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709"/>
  <workbookPr defaultThemeVersion="166925"/>
  <mc:AlternateContent xmlns:mc="http://schemas.openxmlformats.org/markup-compatibility/2006">
    <mc:Choice Requires="x15">
      <x15ac:absPath xmlns:x15ac="http://schemas.microsoft.com/office/spreadsheetml/2010/11/ac" url="/Users/morganmoyer/Dropbox/morgan_scripts/Stakes/processing/present/"/>
    </mc:Choice>
  </mc:AlternateContent>
  <xr:revisionPtr revIDLastSave="0" documentId="10_ncr:8140008_{32BD1CAB-AFED-9844-9D2A-AA4496F35AA4}" xr6:coauthVersionLast="34" xr6:coauthVersionMax="34" xr10:uidLastSave="{00000000-0000-0000-0000-000000000000}"/>
  <bookViews>
    <workbookView xWindow="80" yWindow="460" windowWidth="25440" windowHeight="14580" activeTab="1"/>
  </bookViews>
  <sheets>
    <sheet name="present" sheetId="1" r:id="rId1"/>
    <sheet name="Sheet1" sheetId="2" r:id="rId2"/>
  </sheets>
  <definedNames>
    <definedName name="_xlnm._FilterDatabase" localSheetId="0" hidden="1">present!$A$1:$AE$1</definedName>
  </definedNames>
  <calcPr calcId="0"/>
  <pivotCaches>
    <pivotCache cacheId="11" r:id="rId3"/>
  </pivotCaches>
</workbook>
</file>

<file path=xl/calcChain.xml><?xml version="1.0" encoding="utf-8"?>
<calcChain xmlns="http://schemas.openxmlformats.org/spreadsheetml/2006/main">
  <c r="D31" i="2" l="1"/>
  <c r="E31" i="2"/>
  <c r="F31" i="2"/>
  <c r="G31" i="2"/>
  <c r="C31" i="2"/>
  <c r="G29" i="2"/>
  <c r="F29" i="2"/>
  <c r="E29" i="2"/>
  <c r="D29" i="2"/>
  <c r="C29" i="2"/>
  <c r="G28" i="2"/>
  <c r="F28" i="2"/>
  <c r="E28" i="2"/>
  <c r="D28" i="2"/>
  <c r="C28" i="2"/>
  <c r="G27" i="2"/>
  <c r="F27" i="2"/>
  <c r="E27" i="2"/>
  <c r="D27" i="2"/>
  <c r="C27" i="2"/>
  <c r="G26" i="2"/>
  <c r="F26" i="2"/>
  <c r="E26" i="2"/>
  <c r="D26" i="2"/>
  <c r="C26" i="2"/>
  <c r="G25" i="2"/>
  <c r="F25" i="2"/>
  <c r="E25" i="2"/>
  <c r="D25" i="2"/>
  <c r="C25" i="2"/>
  <c r="G24" i="2"/>
  <c r="F24" i="2"/>
  <c r="E24" i="2"/>
  <c r="D24" i="2"/>
  <c r="C24" i="2"/>
</calcChain>
</file>

<file path=xl/sharedStrings.xml><?xml version="1.0" encoding="utf-8"?>
<sst xmlns="http://schemas.openxmlformats.org/spreadsheetml/2006/main" count="21809" uniqueCount="432">
  <si>
    <t>subject</t>
  </si>
  <si>
    <t>native_lang</t>
  </si>
  <si>
    <t>age</t>
  </si>
  <si>
    <t>gender</t>
  </si>
  <si>
    <t>trial</t>
  </si>
  <si>
    <t>story</t>
  </si>
  <si>
    <t>reaction_time</t>
  </si>
  <si>
    <t>response_a</t>
  </si>
  <si>
    <t>response_b</t>
  </si>
  <si>
    <t>response_c</t>
  </si>
  <si>
    <t>response_d</t>
  </si>
  <si>
    <t>report_a</t>
  </si>
  <si>
    <t>report_b</t>
  </si>
  <si>
    <t>report_c</t>
  </si>
  <si>
    <t>tag_a</t>
  </si>
  <si>
    <t>tag_b</t>
  </si>
  <si>
    <t>tag_c</t>
  </si>
  <si>
    <t>exhaustive_seen</t>
  </si>
  <si>
    <t>mention_one_high_seen</t>
  </si>
  <si>
    <t>mention_one_low_seen</t>
  </si>
  <si>
    <t>mention_some_high_seen</t>
  </si>
  <si>
    <t>mention_some_low_seen</t>
  </si>
  <si>
    <t>false_report_seen</t>
  </si>
  <si>
    <t>none_of_above_seen</t>
  </si>
  <si>
    <t>exhaustive_chosen</t>
  </si>
  <si>
    <t>mention_one_high_chosen</t>
  </si>
  <si>
    <t>mention_one_low_chosen</t>
  </si>
  <si>
    <t>mention_some_high_chosen</t>
  </si>
  <si>
    <t>mention_some_low_chosen</t>
  </si>
  <si>
    <t>false_report_chosen</t>
  </si>
  <si>
    <t>none_of_above_chosen</t>
  </si>
  <si>
    <t>A1JQ3GAFW1XZYZ</t>
  </si>
  <si>
    <t>english</t>
  </si>
  <si>
    <t>male</t>
  </si>
  <si>
    <t>consent</t>
  </si>
  <si>
    <t>NA</t>
  </si>
  <si>
    <t>train</t>
  </si>
  <si>
    <t>train_m</t>
  </si>
  <si>
    <t>train_f</t>
  </si>
  <si>
    <t>test</t>
  </si>
  <si>
    <t>test_books</t>
  </si>
  <si>
    <t>Bookstore A.</t>
  </si>
  <si>
    <t>Bookstores D and E.</t>
  </si>
  <si>
    <t>Bookstore E.</t>
  </si>
  <si>
    <t>mo-h</t>
  </si>
  <si>
    <t>ms-l</t>
  </si>
  <si>
    <t>mo-l</t>
  </si>
  <si>
    <t>test_dentist</t>
  </si>
  <si>
    <t>Dentist E.</t>
  </si>
  <si>
    <t>Dentist A.</t>
  </si>
  <si>
    <t>Dentist F.</t>
  </si>
  <si>
    <t>fa</t>
  </si>
  <si>
    <t>control</t>
  </si>
  <si>
    <t>control_when</t>
  </si>
  <si>
    <t>test_coffee</t>
  </si>
  <si>
    <t>Cafe A.</t>
  </si>
  <si>
    <t>Cafes D and E.</t>
  </si>
  <si>
    <t>Cafe E.</t>
  </si>
  <si>
    <t>control_why</t>
  </si>
  <si>
    <t>test_hair</t>
  </si>
  <si>
    <t>Stylist A.</t>
  </si>
  <si>
    <t>Stylist E.</t>
  </si>
  <si>
    <t>Stylists D and E.</t>
  </si>
  <si>
    <t>test_florist</t>
  </si>
  <si>
    <t>Stalls A and B.</t>
  </si>
  <si>
    <t>Stalls A, B, C, D and E.</t>
  </si>
  <si>
    <t>Stalls D and E.</t>
  </si>
  <si>
    <t>ms-h</t>
  </si>
  <si>
    <t>exh</t>
  </si>
  <si>
    <t>control_how</t>
  </si>
  <si>
    <t>test_shoes</t>
  </si>
  <si>
    <t>Stores D and E.</t>
  </si>
  <si>
    <t>Stores A and B.</t>
  </si>
  <si>
    <t>Store A.</t>
  </si>
  <si>
    <t>control_what</t>
  </si>
  <si>
    <t>exit_quest</t>
  </si>
  <si>
    <t>good</t>
  </si>
  <si>
    <t>A251YA0XPAWWIQ</t>
  </si>
  <si>
    <t>female</t>
  </si>
  <si>
    <t>Dentists D and E.</t>
  </si>
  <si>
    <t>Dentists A and B.</t>
  </si>
  <si>
    <t>Bookstores A and B.</t>
  </si>
  <si>
    <t>Bookstores A, B, C, D and E.</t>
  </si>
  <si>
    <t>Stylist F.</t>
  </si>
  <si>
    <t>Stall E.</t>
  </si>
  <si>
    <t>Stall F.</t>
  </si>
  <si>
    <t>Store E.</t>
  </si>
  <si>
    <t>A3PLDW841STU8B</t>
  </si>
  <si>
    <t>Cafe F.</t>
  </si>
  <si>
    <t>Cafes A and B.</t>
  </si>
  <si>
    <t>Stall A.</t>
  </si>
  <si>
    <t>Bookstore F.</t>
  </si>
  <si>
    <t>Store F.</t>
  </si>
  <si>
    <t>Stores A, B, C, D and E.</t>
  </si>
  <si>
    <t>Stylists A, B, C, D and E.</t>
  </si>
  <si>
    <t>Dentists A, B, C, D and E.</t>
  </si>
  <si>
    <t>very good</t>
  </si>
  <si>
    <t>knoweldge</t>
  </si>
  <si>
    <t>A3A4UFCFF9DMW3</t>
  </si>
  <si>
    <t>Stylists A and B.</t>
  </si>
  <si>
    <t>no</t>
  </si>
  <si>
    <t>A1WKF2VH7TV0H2</t>
  </si>
  <si>
    <t>English</t>
  </si>
  <si>
    <t>Yes%2C it's 2 different questions.</t>
  </si>
  <si>
    <t>No%2C because it's not hard.</t>
  </si>
  <si>
    <t>No.</t>
  </si>
  <si>
    <t>ADUACF4TW5833</t>
  </si>
  <si>
    <t>ENGLISH</t>
  </si>
  <si>
    <t>Best Sunday Brunch in Mumbai Menu%2C Photos</t>
  </si>
  <si>
    <t>small bites are served on cocktail sticks.</t>
  </si>
  <si>
    <t>Here are the places to have brunch</t>
  </si>
  <si>
    <t>ABZ1LM3J8REE6</t>
  </si>
  <si>
    <t>the quality is good</t>
  </si>
  <si>
    <t>no because is an knowledgeable task</t>
  </si>
  <si>
    <t>A1WL6K3EUA2WOX</t>
  </si>
  <si>
    <t>SHE SAYS GO FOR THE TOWN</t>
  </si>
  <si>
    <t>NO</t>
  </si>
  <si>
    <t>NICE TASK</t>
  </si>
  <si>
    <t>A2APHZ2KOI1MPI</t>
  </si>
  <si>
    <t>she is also go for that place so ask that</t>
  </si>
  <si>
    <t>no difficult</t>
  </si>
  <si>
    <t>A1C7XI68SED8JE</t>
  </si>
  <si>
    <t>Cafes A, B, C, D and E.</t>
  </si>
  <si>
    <t>no%2C it's the same thing</t>
  </si>
  <si>
    <t>A15340BRCER2UO</t>
  </si>
  <si>
    <t>No%2C to me they both mean the same thing</t>
  </si>
  <si>
    <t>It was fine. A little strange and took some concentration%2C but nothing too difficult</t>
  </si>
  <si>
    <t>No further comment%2C thanks</t>
  </si>
  <si>
    <t>AL5UXD1GLG4X0</t>
  </si>
  <si>
    <t>no%2C answer would be the same</t>
  </si>
  <si>
    <t>not too difficult. Just had to pay attention</t>
  </si>
  <si>
    <t>it was interesting</t>
  </si>
  <si>
    <t>A17DXR1QC8GWL8</t>
  </si>
  <si>
    <t>No%2C in essence it is the same question</t>
  </si>
  <si>
    <t>A little%2C some of the questions were ambiguous. For example%2C none of the acquaintances could have been absolutely sure were (e.g.) someone got their knitting yarn from unless they had seen it or heard testimony. So we can't say for sure that they know.</t>
  </si>
  <si>
    <t>A55V2U9UG3Z47</t>
  </si>
  <si>
    <t xml:space="preserve">No%2C I feel both sentences could be used interchangeably. </t>
  </si>
  <si>
    <t xml:space="preserve">No%2C it was actually very interesting to complete. </t>
  </si>
  <si>
    <t>A35BY30TC8WCL4</t>
  </si>
  <si>
    <t>No. I don't see much difference between the two. If the traveler said%2C where should I go%2C it would be different%2C but where can I is asking the same thing as the first question.</t>
  </si>
  <si>
    <t>Don't think so%2C was just straightforward.</t>
  </si>
  <si>
    <t>Nope.</t>
  </si>
  <si>
    <t>A39PWM9C4U0TEP</t>
  </si>
  <si>
    <t>Yes%2C I think the first question would just to be list all places that serve brunch.  The second question I would answer with my opinion on what it worth checking out and what is not.</t>
  </si>
  <si>
    <t>A little%2C I wasn't sure if I was correct or not.</t>
  </si>
  <si>
    <t>This was interesting.</t>
  </si>
  <si>
    <t>A1WLRHL0U23N38</t>
  </si>
  <si>
    <t>No%2C because both are asking the same thing about where brunch is served.</t>
  </si>
  <si>
    <t>Not really. Just plain English is simple.</t>
  </si>
  <si>
    <t>none</t>
  </si>
  <si>
    <t>AW9WE7LS8R57M</t>
  </si>
  <si>
    <t>wherever she can go to brunch</t>
  </si>
  <si>
    <t>no this is not difficult</t>
  </si>
  <si>
    <t>A1PZIN8H1VI6SY</t>
  </si>
  <si>
    <t>because its more gentil to ask where can i go for brunch in town than the other way to talk%2C allways we need to talk saft and easy to  the persons thats the better way to do the things in your life</t>
  </si>
  <si>
    <t xml:space="preserve">very easy to do </t>
  </si>
  <si>
    <t>very good survey</t>
  </si>
  <si>
    <t>A173XG3NZ7JPT7</t>
  </si>
  <si>
    <t>No.  Both involve restaurants that would serve brunch.  If a restaurant serves brunch then that would be included in my response of where the traveler could go for brunch.</t>
  </si>
  <si>
    <t>I don't think it was difficult but I think it is subjective so I think there could be different responses.</t>
  </si>
  <si>
    <t>No.  Interesting.  Thank you.</t>
  </si>
  <si>
    <t>A10LLZZHZVGWRW</t>
  </si>
  <si>
    <t>Yes - 'which restaurants serve brunch' is a very general question that will generate a long list whereas 'where should I go' will lead me to offer a few choice favorites.</t>
  </si>
  <si>
    <t>a little bit challenging%2C but more because it was different than most surveys than anything in particular.</t>
  </si>
  <si>
    <t>nope - thanks!</t>
  </si>
  <si>
    <t>A2541C8MY0BYV3</t>
  </si>
  <si>
    <t>No. I think they both mean the same thing.</t>
  </si>
  <si>
    <t>Yes because some of the answers sound the same.</t>
  </si>
  <si>
    <t>A2GV053CR3O08G</t>
  </si>
  <si>
    <t>With more spots than ever serving up the city‚Äôs favorite meal of the week%2C restaurants around Pittsburgh have taken brunching to the next level%2C offering so much more than bacon and eggs. From quiet caf√©s to bustling food halls%2C these best-of-the-best spots can help to satisfy your weekend morning cravings for French toast%2C eggs Benedict%2C and cocktails that were made for day-drinking.</t>
  </si>
  <si>
    <t xml:space="preserve">IT INTEREST TO KNOW MORE </t>
  </si>
  <si>
    <t>A30UE6DWFNUCWX</t>
  </si>
  <si>
    <t>I will answer it differently%2C since in first question s/he asked which are the restaurants that serve brunch%2C while if s/he asks second question I will answer with one or two restaurant names which are best for him/her according to me.</t>
  </si>
  <si>
    <t>I didn't find it difficult at all. The short scenarios were easy to understand and so are the questions.</t>
  </si>
  <si>
    <t>A2A3X2W4YS9X8A</t>
  </si>
  <si>
    <t>Yes%2C I view the first question as please list all of the possible places.  I view the second one as where do you suggest I go.</t>
  </si>
  <si>
    <t>No%2C it was pretty straight forward.</t>
  </si>
  <si>
    <t>no.</t>
  </si>
  <si>
    <t>A19D2W1PR68NO</t>
  </si>
  <si>
    <t>No%2C the questions mean essentially the same thing.</t>
  </si>
  <si>
    <t>No%2C I speak English.</t>
  </si>
  <si>
    <t>No</t>
  </si>
  <si>
    <t>A26FRAYAIDR4NV</t>
  </si>
  <si>
    <t>yes</t>
  </si>
  <si>
    <t>nice</t>
  </si>
  <si>
    <t>A3JODCUHJMCSA2</t>
  </si>
  <si>
    <t>No%2C it's basically the same question just worded differently</t>
  </si>
  <si>
    <t>Somewhat</t>
  </si>
  <si>
    <t>N/A</t>
  </si>
  <si>
    <t>A03172343NB8PHOPICC1</t>
  </si>
  <si>
    <t>No%2C I think they are basically the same question that would warrant the same answer.</t>
  </si>
  <si>
    <t>A bit difficult because it was a little bit repetitive.</t>
  </si>
  <si>
    <t>Overall%2C I enjoyed it.</t>
  </si>
  <si>
    <t>ADOVF9SBJJK33</t>
  </si>
  <si>
    <t>No because I consider anyplace that serves brunch to be a restaurant as well so it's the same question to me.</t>
  </si>
  <si>
    <t>Sort of. I dont think I did well. Some of the A/B/C/D type questions confused me.</t>
  </si>
  <si>
    <t>A2EW08X2I87RXL</t>
  </si>
  <si>
    <t>No%2C the answer will be same.</t>
  </si>
  <si>
    <t xml:space="preserve">Not difficult%2C because It was interesting </t>
  </si>
  <si>
    <t>None</t>
  </si>
  <si>
    <t>ALF9AAZGQP4K5</t>
  </si>
  <si>
    <t>i would asnwer the same unless there were places other than restaurants that serve brunch</t>
  </si>
  <si>
    <t>just aggravating and monotonous</t>
  </si>
  <si>
    <t>A28LPPFS7FW2SD</t>
  </si>
  <si>
    <t>the quality is important</t>
  </si>
  <si>
    <t>no because its to concerntration</t>
  </si>
  <si>
    <t>A38YLXHJTSE5VD</t>
  </si>
  <si>
    <t xml:space="preserve">English </t>
  </si>
  <si>
    <t>other</t>
  </si>
  <si>
    <t>Yes for the first question I would answer all the places you can go for brunch and for the second I would say the places I like.</t>
  </si>
  <si>
    <t>Yes some of them it was hard to determine who knew what.</t>
  </si>
  <si>
    <t>AWZCVOUD0LPT</t>
  </si>
  <si>
    <t>hindi</t>
  </si>
  <si>
    <t>AZCGSVDT79E6X</t>
  </si>
  <si>
    <t>No%2C  they are asking a the same question%2C about what places serve brunch.</t>
  </si>
  <si>
    <t>No%2C it was easy to understand with how the information was presented to me.</t>
  </si>
  <si>
    <t>It was fun and interesting to complete.</t>
  </si>
  <si>
    <t>A3UN1F1EOHKKE6</t>
  </si>
  <si>
    <t>I would answer the same way%2C because I think that both questions are asking the same thing. Brunch is served in restaurants%2C and that fact can be assumed when the question is phrased the second way.</t>
  </si>
  <si>
    <t xml:space="preserve">Sometimes it was difficult because there seemed to be a level of philosophy in some of the questions and answers </t>
  </si>
  <si>
    <t>Nothing else.</t>
  </si>
  <si>
    <t>AXP8EG22MPZY8</t>
  </si>
  <si>
    <t>No I would answer the same</t>
  </si>
  <si>
    <t>No%2C because it is easy</t>
  </si>
  <si>
    <t>A1XATJA7ENOGWB</t>
  </si>
  <si>
    <t>No%2C the traveler is still asking the same thing.</t>
  </si>
  <si>
    <t>A2W5Q0IVJUS7Y6</t>
  </si>
  <si>
    <t>No%2Ca traveler would 0nly go to a restaurant.</t>
  </si>
  <si>
    <t>Yes%2C a little but I think a traveler only go to a restaurant and not somewhere else.</t>
  </si>
  <si>
    <t>thank you</t>
  </si>
  <si>
    <t>AKAPWAUEDPVGV</t>
  </si>
  <si>
    <t>almost every restaurants save the brunch but the specific restaurants are more useful than others</t>
  </si>
  <si>
    <t>it's interesting</t>
  </si>
  <si>
    <t>A39BSJLRE2AQD4</t>
  </si>
  <si>
    <t>Brunch%2C that long and lazy late morning mean which stretches in to the early afternoon.</t>
  </si>
  <si>
    <t>No difficult its very good.</t>
  </si>
  <si>
    <t>Nice</t>
  </si>
  <si>
    <t>A125AOX978LDG7</t>
  </si>
  <si>
    <t>I wouldn‚Äôt answer differently because the questions are the same except they are worded differently.¬†</t>
  </si>
  <si>
    <t>Not at the moment.¬†</t>
  </si>
  <si>
    <t>A20Q6LGMUJLJDG</t>
  </si>
  <si>
    <t>NONE</t>
  </si>
  <si>
    <t>NICE</t>
  </si>
  <si>
    <t>A264G2H7KNNP3C</t>
  </si>
  <si>
    <t>The difference is knowing what places serve brunch%2C -or- what place would I suggest someone go specifically.</t>
  </si>
  <si>
    <t xml:space="preserve">It was not difficult. It felt to be a very simple survey on understanding of language of speech. </t>
  </si>
  <si>
    <t>A2RC8VX4LS3WQW</t>
  </si>
  <si>
    <t>Yes%2C one question is asking for a list of places. While the other one is seeking a recommendation.¬†</t>
  </si>
  <si>
    <t>No%2C tad bit confusing.</t>
  </si>
  <si>
    <t>A12569NJ7KY1KX</t>
  </si>
  <si>
    <t>GRT %0ACOFFE DAY%0ARELIANCE%0A%0A</t>
  </si>
  <si>
    <t>NO ELSE</t>
  </si>
  <si>
    <t>A30FCN88F8DZOT</t>
  </si>
  <si>
    <t>IS THERE IS ANY OTHER RESTAURANTS WHO SERVE BRUNCH IN TOWN ..?</t>
  </si>
  <si>
    <t>NO .. ITS A BIT EASY TO DO IF WE READ THE STATEMENTS CAREFULLY</t>
  </si>
  <si>
    <t>NOTHING</t>
  </si>
  <si>
    <t>A2W1QLIYADUJU3</t>
  </si>
  <si>
    <t>brunch that long and lazy latter morning mean witch stretches into early afternoon.</t>
  </si>
  <si>
    <t>Nothing because easily understanding</t>
  </si>
  <si>
    <t>nice and this study very useful.</t>
  </si>
  <si>
    <t>A1TSQCY9QR6RM7</t>
  </si>
  <si>
    <t>No%2C the answer would remain the same however I might ask for further clarification as to what kind of restaurant she prefers.</t>
  </si>
  <si>
    <t>Somewhat%2C yes. %0AI found myself inferring when I shouldn't and not sure if that was the acceptable answer.</t>
  </si>
  <si>
    <t>Yes. %0AThere was an inconsistency in one of the questions. In one of the stories%2C the question asks about coworker opinions and the answers refer to relatives. %0ANot sure if that was intentional but I wanted to point it out.%0A Dee asks%2C "Where does Joe go for his dental work?%0ACoworker 1 says%2C "Dentist A."%0A%0ACoworker 2 says%2C "Dentists A and B."%0A%0ACoworker 3 says%2C "Dentists A%2C B%2C C%2C D and E."%0A%0A%0AWho knows where Joe goes for his dental work? (Choose all that apply)%0ARelative 1  Relative 2  Relative 3  No one</t>
  </si>
  <si>
    <t>A1CJZOKUD5J0H1</t>
  </si>
  <si>
    <t>If you‚Äôre looking for a classic French brunch%2C head to Bastille in North Old Town. Choose from cocktails like the Kir Royal or the Parisian Morning with orange juice%2C aperol and sparkling wine%2C paired perfectly with hors d‚Äôoeuvres%2C soups%2C salads and sandwiches. Brunch specialties include the steak and eggs%2C the Galette au Saumon Fum√© and more. Bonus: their brunch desserts will win over any sweets-lover%2C with options like cookies and cream with house-baked cookies and ice cream%2C a rotating menu of bread puddings and more.</t>
  </si>
  <si>
    <t>NO DIFFICULT</t>
  </si>
  <si>
    <t>A2W046PDRTCZW7</t>
  </si>
  <si>
    <t>Both will have similar answers but not the same. For the first question%2C I can give restaurant names while for the second question I can give some brief information about the restaurants.</t>
  </si>
  <si>
    <t>Little bit difficult as few options were confusing and most them were similar to each other.</t>
  </si>
  <si>
    <t>A2SZRPGIEYRCG6</t>
  </si>
  <si>
    <t>NO IDEA</t>
  </si>
  <si>
    <t>A2LV5432PV1S39</t>
  </si>
  <si>
    <t>No they're both the same question.</t>
  </si>
  <si>
    <t>No it was simple to read and understand.</t>
  </si>
  <si>
    <t>A1BZNPQ0H7ZSER</t>
  </si>
  <si>
    <t>No%2C they are both asking which restaurants serve brunch%2C and it should be safe to assume that they have access to any of them.</t>
  </si>
  <si>
    <t>no%2C it seemed straightforward if you stuck with grammar rules</t>
  </si>
  <si>
    <t>AC7Z8O1RETQC4</t>
  </si>
  <si>
    <t>I CHOOSE NEARABLE HOTEL. I WILL EAT TASTY FOOD AND VARIETIES OF FOOD. SO I GO TO BEST HOTEL IN MY TRIP.</t>
  </si>
  <si>
    <t>LITTLE DIFFICULT</t>
  </si>
  <si>
    <t>A15SJZQBR8I3B3</t>
  </si>
  <si>
    <t>No I would not have responded differently. It's the same question.</t>
  </si>
  <si>
    <t xml:space="preserve">At times it was difficult. The reason is because I was second guessing myself. </t>
  </si>
  <si>
    <t>A12IHTKQFQIPD1</t>
  </si>
  <si>
    <t xml:space="preserve">No both questions are nearly identical. </t>
  </si>
  <si>
    <t xml:space="preserve">no%2C because it was multiple choice. </t>
  </si>
  <si>
    <t>A2KPTC4K228GM3</t>
  </si>
  <si>
    <t>I CHOOSE NEARABLE HOTEL TO MY TRIP. I WILL EAT TASTY FOOD AND VARIETIES OF FOOD. SO I GO TO BEST HOTEL IN MY TRIP.%0A%0A</t>
  </si>
  <si>
    <t>NOTHING.THIS SURVEY IS VERY NICE</t>
  </si>
  <si>
    <t>A38JCBX2DD2ILP</t>
  </si>
  <si>
    <t>I CHOOSE NEARABLE HOTEL. I WILL EAT TASTY FOOD AND VARIETIES OF FOOD. SO I GO TO BEST HOTEL IN MY TRIP.%0A%0A</t>
  </si>
  <si>
    <t>DIFFICULT</t>
  </si>
  <si>
    <t>A1Q16A7AICS0C4</t>
  </si>
  <si>
    <t>A1SHLWKA0UH1IS</t>
  </si>
  <si>
    <t xml:space="preserve">For question 1 I'd probably just give a list of all restaurants that serve brunch. For Q2 I'd give the restaurants that I thought served the best brunch. </t>
  </si>
  <si>
    <t xml:space="preserve">A little. A few times I questioned myself%2C thinking there could be more than one answer when I only ended up choosing one. Or choosing all of the sentences in one of the last exercises%2C when two sounded awkward but I could still imagine someone saying them and being understood. </t>
  </si>
  <si>
    <t xml:space="preserve">That was interesting. </t>
  </si>
  <si>
    <t>A23OS0HQ12VVOR</t>
  </si>
  <si>
    <t>No%2C it's the same question but phrased in a different way - they both have the same meaning.</t>
  </si>
  <si>
    <t>Not really%2C some of the tasks were a bit tough but only because of how they were worded</t>
  </si>
  <si>
    <t>A2JIY3NSLQJWAE</t>
  </si>
  <si>
    <t>We began with scones and also ordered pimiento cheese spread for the table‚Äîthis is a Southern restaurant%2C after all. The pimiento cheese spread was perfectly presented‚Äîserved in a mini mason jar atop a wooden rectangular cutting board with crackers%2Cits very interesting</t>
  </si>
  <si>
    <t>nothing%2Cvery nice survey</t>
  </si>
  <si>
    <t>AZXTZQBZ1F4UV</t>
  </si>
  <si>
    <t>it's very difficult</t>
  </si>
  <si>
    <t>no nothing</t>
  </si>
  <si>
    <t>A120PN22KW0VPY</t>
  </si>
  <si>
    <t>I don't think I'd answer differently because I know it's a restaurant. I would just just add more information%2C such as contents of the brunch%2C mapquest%2C and hours open.</t>
  </si>
  <si>
    <t xml:space="preserve">I had to think carefully. Then I needed to re-read most of the ones given. </t>
  </si>
  <si>
    <t>My brain is tired. Just kidding. Thanks.</t>
  </si>
  <si>
    <t>A2JWHS06PQMJ1</t>
  </si>
  <si>
    <t>I would not. Both questions would be answered with names of restaurants that serve brunch in town.</t>
  </si>
  <si>
    <t>Some parts were almost like riddles. They were fun to try to solve.</t>
  </si>
  <si>
    <t>AD6FEEQSW8PRE</t>
  </si>
  <si>
    <t>YES%2C DIFFICULT. VERY TOUGH TO UNDERSTAND.</t>
  </si>
  <si>
    <t>A2TNTYHHICCA3Z</t>
  </si>
  <si>
    <t>NO DIFFICULT TASK VERY EASY</t>
  </si>
  <si>
    <t>VERY NICE</t>
  </si>
  <si>
    <t>AT53IAFG8BTZO</t>
  </si>
  <si>
    <t>no%2C I would provide the same answer if either of the questions were asked%2C because they questions mean the same thing. If it was worried%2C which is the least expensive or which is the best brunch place%2C then that would be different.</t>
  </si>
  <si>
    <t>I found it a little difficult%2C because the questions didn't make a whole lot of sense to me%2C well some of the scenerios</t>
  </si>
  <si>
    <t>n/a</t>
  </si>
  <si>
    <t>A2YCHYBHJESOUD</t>
  </si>
  <si>
    <t>i suggest then you can go to kenny's wood fried grill</t>
  </si>
  <si>
    <t>nothing</t>
  </si>
  <si>
    <t>ADNSFH55XO2F8</t>
  </si>
  <si>
    <t>KFC</t>
  </si>
  <si>
    <t>GOOD</t>
  </si>
  <si>
    <t>A157L6Z8QU3SDE</t>
  </si>
  <si>
    <t xml:space="preserve">I would not answer differently as it is the same core question. </t>
  </si>
  <si>
    <t xml:space="preserve">It was not difficult but the questions were really open and by stretching your mind you can think different answers. I answered literally%2C if they knew the exact answer they were right and if they kind of knew I did not find it correct. </t>
  </si>
  <si>
    <t xml:space="preserve">No. </t>
  </si>
  <si>
    <t>A2VRDE2FHCBMF8</t>
  </si>
  <si>
    <t>Italian</t>
  </si>
  <si>
    <t>I would answer in the same way</t>
  </si>
  <si>
    <t>It wasn't difficult%2C even if I'm not a native speaker</t>
  </si>
  <si>
    <t>Thank you very much for this HIT%2C and best of luck with your research</t>
  </si>
  <si>
    <t>A9EQ4FWCUQVBL</t>
  </si>
  <si>
    <t>yes i would answer different because i have many options to say in the second question.</t>
  </si>
  <si>
    <t xml:space="preserve">no it was really fun and easy to understand </t>
  </si>
  <si>
    <t xml:space="preserve">no%2C thank you </t>
  </si>
  <si>
    <t>A3908297ZI3LES</t>
  </si>
  <si>
    <t>maybe if there was a bar or the hotel served brunch</t>
  </si>
  <si>
    <t>medium%2C took some thought</t>
  </si>
  <si>
    <t>thanx</t>
  </si>
  <si>
    <t>A6EJ7EU0KMGPL</t>
  </si>
  <si>
    <t>No%2C they are both the same question asking about availability. Neither one ask for recommendations which is a different answer.</t>
  </si>
  <si>
    <t>No. All of the text was self-explanatory.</t>
  </si>
  <si>
    <t>A1IJ9VL8YPIE3T</t>
  </si>
  <si>
    <t>prefernot</t>
  </si>
  <si>
    <t xml:space="preserve">go to top rated restaurants </t>
  </si>
  <si>
    <t>A3IYDY7TO808Z3</t>
  </si>
  <si>
    <t>No%2C because both are asking for where brunch is served in town</t>
  </si>
  <si>
    <t>Yes%2C because it's hard to infer context in so few sentences</t>
  </si>
  <si>
    <t>A3DEG7PE4RFCWB</t>
  </si>
  <si>
    <t>we would go for the famous restaurant in this place for brunch in town.</t>
  </si>
  <si>
    <t>Its very difficult to decide.</t>
  </si>
  <si>
    <t>AHZ7C7ETHYX3N</t>
  </si>
  <si>
    <t>I would answer the same%2C it the same question asked in two different ways</t>
  </si>
  <si>
    <t>not difficult but a little confusing</t>
  </si>
  <si>
    <t>AT13EK8JER5C3</t>
  </si>
  <si>
    <t>A1AWHHBTJF1XCH</t>
  </si>
  <si>
    <t>No. I think they both would have the same answer.</t>
  </si>
  <si>
    <t>No. Not difficult just time consuming for such little pay.</t>
  </si>
  <si>
    <t>Yes. This survey takes way to long for the amount of pay. It took me 20 minutes (another 6 mins writing this) to take it so would only pay $3.00 an hour which is not appropriate pay obviously. You should state that in your hit information before we start so we can choose whether to waste our time or not beforehand. You also misrepresent the hit saying we only have to read one story and answer questions about it when really it is a whole series of STORIES and questions. BE HONEST from the start or you will get bad reviews from the workers. Also put a bar across the top telling us our progress so we can see how much longer the hit will take. Once we start we never know when it will end so just keep doing it hoping this is the last question but surveys like these never are and next thing you know its been 20 minutes and you don't want to stop after all the time invested and not get paid anything at all  so just keep going to only get paid a whole dollar. YAY! NOT!! :(</t>
  </si>
  <si>
    <t>A3OB6REG5CGHK1</t>
  </si>
  <si>
    <t>No%2C sounds like the same question</t>
  </si>
  <si>
    <t>A255V2M0CC1G8L</t>
  </si>
  <si>
    <t>WHERE CAN I GO BRUNCH IN TOWN</t>
  </si>
  <si>
    <t>A3RL02A3JRAUS4</t>
  </si>
  <si>
    <t>No%2C they both mean the same thing in the end being both questions are asking where brunch is served.</t>
  </si>
  <si>
    <t>Some questions were more difficult than others as the info was a bit confusing.</t>
  </si>
  <si>
    <t>A13FUEPWBCLBUY</t>
  </si>
  <si>
    <t>No%2C this is asking for the same information but just worded differently.</t>
  </si>
  <si>
    <t>No%2C the answers all seemed like common sense.</t>
  </si>
  <si>
    <t>Fun task!</t>
  </si>
  <si>
    <t>A1V2H0UF94ATWY</t>
  </si>
  <si>
    <t>Yes. "Where can I go for brunch in town?" implies "Where should I go for brunch in town?" because of the type of website the question is being asked on. "Which restaurants serve brunch in town?" just means which restaurants are open for brunch.</t>
  </si>
  <si>
    <t>I found it a little confusing and ambiguous%2C especially the Star Wars questions.</t>
  </si>
  <si>
    <t>A2BZY06YRWGEDL</t>
  </si>
  <si>
    <t xml:space="preserve">It would be the same thing really. You are looking for brunch. </t>
  </si>
  <si>
    <t>No. It was just reading an answering questions</t>
  </si>
  <si>
    <t>A1EQ1LHEEIQ3UA</t>
  </si>
  <si>
    <t>No%2C she's basically asking the same question.</t>
  </si>
  <si>
    <t>A little bit. I wasn't quite sure the answers you were looking for. Most of the questions didn't actually specify where the person went to get something%2C only their recommendations%2C so I usually chose the "No one" option.</t>
  </si>
  <si>
    <t>AJFVK3O1D7SPE</t>
  </si>
  <si>
    <t>No%2C if answer the same because I'm assuming in both instances she's asking for a good place to have brunch and if want to recommend the best I know.</t>
  </si>
  <si>
    <t>A little. Some of the questions were ambiguous and it was tough to decide whether to go with the answer that was probably closer to reality or the options that were technically correct.</t>
  </si>
  <si>
    <t>A10T7GP0TH27RB</t>
  </si>
  <si>
    <t>A1GV1POLY1EHJV</t>
  </si>
  <si>
    <t>restruant</t>
  </si>
  <si>
    <t>nope</t>
  </si>
  <si>
    <t>A36IYIE23IO4HE</t>
  </si>
  <si>
    <t>no because it is basically asking the same question</t>
  </si>
  <si>
    <t>a little  it was hard to figure out some</t>
  </si>
  <si>
    <t>have a great day</t>
  </si>
  <si>
    <t>APLBF6JY2C1QZ</t>
  </si>
  <si>
    <t>I would answer the same for both questions as it is obvious the traveler is asking for recommendations of where to go eat brunch in both questions.</t>
  </si>
  <si>
    <t xml:space="preserve">It was a little long for the pay and there is no progress bar to know how much is left. </t>
  </si>
  <si>
    <t>AZTHBV93S8U3T</t>
  </si>
  <si>
    <t xml:space="preserve">No%2C for both questions I would think of restaurants. </t>
  </si>
  <si>
    <t>It didn't involve too much critical thinking</t>
  </si>
  <si>
    <t>AY43RJRF8IEBN</t>
  </si>
  <si>
    <t>Yes. "Where can I go" is asking for the best ones. "Which restaurants" is factual.</t>
  </si>
  <si>
    <t>Very. I was never sure what I was supposed to answer.</t>
  </si>
  <si>
    <t>A35KO5LPASBFI9</t>
  </si>
  <si>
    <t>No%2C I think they would be responded to in a similar manner.</t>
  </si>
  <si>
    <t>Values</t>
  </si>
  <si>
    <t>Column Labels</t>
  </si>
  <si>
    <t>Grand Total</t>
  </si>
  <si>
    <t>Sum of exhaustive_seen</t>
  </si>
  <si>
    <t>Sum of mention_one_high_seen</t>
  </si>
  <si>
    <t>Sum of mention_one_low_seen</t>
  </si>
  <si>
    <t>Sum of mention_some_high_seen</t>
  </si>
  <si>
    <t>Sum of mention_some_low_seen</t>
  </si>
  <si>
    <t>Sum of false_report_seen</t>
  </si>
  <si>
    <t>Sum of none_of_above_seen</t>
  </si>
  <si>
    <t>Sum of exhaustive_chosen</t>
  </si>
  <si>
    <t>Sum of mention_one_high_chosen</t>
  </si>
  <si>
    <t>Sum of mention_one_low_chosen</t>
  </si>
  <si>
    <t>Sum of mention_some_high_chosen</t>
  </si>
  <si>
    <t>Sum of mention_some_low_chosen</t>
  </si>
  <si>
    <t>Sum of false_report_chosen</t>
  </si>
  <si>
    <t>Sum of none_of_above_chosen</t>
  </si>
  <si>
    <t>books</t>
  </si>
  <si>
    <t>coffee</t>
  </si>
  <si>
    <t>dentist</t>
  </si>
  <si>
    <t>hair</t>
  </si>
  <si>
    <t>shoes</t>
  </si>
  <si>
    <t>yarn</t>
  </si>
  <si>
    <t>avg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</si>
</sst>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applyNumberFormat="1"/>
    <xf numFmtId="0" fontId="0" fillId="0" borderId="0" xfId="0" pivotButton="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 tense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Sheet1!$C$23</c:f>
              <c:strCache>
                <c:ptCount val="1"/>
                <c:pt idx="0">
                  <c:v>exh</c:v>
                </c:pt>
              </c:strCache>
            </c:strRef>
          </c:tx>
          <c:spPr>
            <a:solidFill>
              <a:schemeClr val="accent1"/>
            </a:solidFill>
            <a:ln>
              <a:noFill/>
            </a:ln>
            <a:effectLst/>
          </c:spPr>
          <c:invertIfNegative val="0"/>
          <c:cat>
            <c:strRef>
              <c:f>Sheet1!$B$24:$B$29</c:f>
              <c:strCache>
                <c:ptCount val="6"/>
                <c:pt idx="0">
                  <c:v>books</c:v>
                </c:pt>
                <c:pt idx="1">
                  <c:v>coffee</c:v>
                </c:pt>
                <c:pt idx="2">
                  <c:v>dentist</c:v>
                </c:pt>
                <c:pt idx="3">
                  <c:v>yarn</c:v>
                </c:pt>
                <c:pt idx="4">
                  <c:v>hair</c:v>
                </c:pt>
                <c:pt idx="5">
                  <c:v>shoes</c:v>
                </c:pt>
              </c:strCache>
            </c:strRef>
          </c:cat>
          <c:val>
            <c:numRef>
              <c:f>Sheet1!$C$24:$C$29</c:f>
              <c:numCache>
                <c:formatCode>General</c:formatCode>
                <c:ptCount val="6"/>
                <c:pt idx="0">
                  <c:v>0.35185185185185186</c:v>
                </c:pt>
                <c:pt idx="1">
                  <c:v>0.55555555555555558</c:v>
                </c:pt>
                <c:pt idx="2">
                  <c:v>0.36363636363636365</c:v>
                </c:pt>
                <c:pt idx="3">
                  <c:v>0.54545454545454541</c:v>
                </c:pt>
                <c:pt idx="4">
                  <c:v>0.5757575757575758</c:v>
                </c:pt>
                <c:pt idx="5">
                  <c:v>0.64516129032258063</c:v>
                </c:pt>
              </c:numCache>
            </c:numRef>
          </c:val>
          <c:extLst>
            <c:ext xmlns:c16="http://schemas.microsoft.com/office/drawing/2014/chart" uri="{C3380CC4-5D6E-409C-BE32-E72D297353CC}">
              <c16:uniqueId val="{00000000-7739-B948-A06B-FA73BA8602EB}"/>
            </c:ext>
          </c:extLst>
        </c:ser>
        <c:ser>
          <c:idx val="1"/>
          <c:order val="1"/>
          <c:tx>
            <c:strRef>
              <c:f>Sheet1!$D$23</c:f>
              <c:strCache>
                <c:ptCount val="1"/>
                <c:pt idx="0">
                  <c:v>mo-h</c:v>
                </c:pt>
              </c:strCache>
            </c:strRef>
          </c:tx>
          <c:spPr>
            <a:solidFill>
              <a:schemeClr val="accent2"/>
            </a:solidFill>
            <a:ln>
              <a:noFill/>
            </a:ln>
            <a:effectLst/>
          </c:spPr>
          <c:invertIfNegative val="0"/>
          <c:cat>
            <c:strRef>
              <c:f>Sheet1!$B$24:$B$29</c:f>
              <c:strCache>
                <c:ptCount val="6"/>
                <c:pt idx="0">
                  <c:v>books</c:v>
                </c:pt>
                <c:pt idx="1">
                  <c:v>coffee</c:v>
                </c:pt>
                <c:pt idx="2">
                  <c:v>dentist</c:v>
                </c:pt>
                <c:pt idx="3">
                  <c:v>yarn</c:v>
                </c:pt>
                <c:pt idx="4">
                  <c:v>hair</c:v>
                </c:pt>
                <c:pt idx="5">
                  <c:v>shoes</c:v>
                </c:pt>
              </c:strCache>
            </c:strRef>
          </c:cat>
          <c:val>
            <c:numRef>
              <c:f>Sheet1!$D$24:$D$29</c:f>
              <c:numCache>
                <c:formatCode>General</c:formatCode>
                <c:ptCount val="6"/>
                <c:pt idx="0">
                  <c:v>0.66666666666666663</c:v>
                </c:pt>
                <c:pt idx="1">
                  <c:v>0.69696969696969702</c:v>
                </c:pt>
                <c:pt idx="2">
                  <c:v>0.46031746031746029</c:v>
                </c:pt>
                <c:pt idx="3">
                  <c:v>0.61538461538461542</c:v>
                </c:pt>
                <c:pt idx="4">
                  <c:v>0.61290322580645162</c:v>
                </c:pt>
                <c:pt idx="5">
                  <c:v>0.60344827586206895</c:v>
                </c:pt>
              </c:numCache>
            </c:numRef>
          </c:val>
          <c:extLst>
            <c:ext xmlns:c16="http://schemas.microsoft.com/office/drawing/2014/chart" uri="{C3380CC4-5D6E-409C-BE32-E72D297353CC}">
              <c16:uniqueId val="{00000001-7739-B948-A06B-FA73BA8602EB}"/>
            </c:ext>
          </c:extLst>
        </c:ser>
        <c:ser>
          <c:idx val="2"/>
          <c:order val="2"/>
          <c:tx>
            <c:strRef>
              <c:f>Sheet1!$E$23</c:f>
              <c:strCache>
                <c:ptCount val="1"/>
                <c:pt idx="0">
                  <c:v>mo-l</c:v>
                </c:pt>
              </c:strCache>
            </c:strRef>
          </c:tx>
          <c:spPr>
            <a:solidFill>
              <a:schemeClr val="accent3"/>
            </a:solidFill>
            <a:ln>
              <a:noFill/>
            </a:ln>
            <a:effectLst/>
          </c:spPr>
          <c:invertIfNegative val="0"/>
          <c:cat>
            <c:strRef>
              <c:f>Sheet1!$B$24:$B$29</c:f>
              <c:strCache>
                <c:ptCount val="6"/>
                <c:pt idx="0">
                  <c:v>books</c:v>
                </c:pt>
                <c:pt idx="1">
                  <c:v>coffee</c:v>
                </c:pt>
                <c:pt idx="2">
                  <c:v>dentist</c:v>
                </c:pt>
                <c:pt idx="3">
                  <c:v>yarn</c:v>
                </c:pt>
                <c:pt idx="4">
                  <c:v>hair</c:v>
                </c:pt>
                <c:pt idx="5">
                  <c:v>shoes</c:v>
                </c:pt>
              </c:strCache>
            </c:strRef>
          </c:cat>
          <c:val>
            <c:numRef>
              <c:f>Sheet1!$E$24:$E$29</c:f>
              <c:numCache>
                <c:formatCode>General</c:formatCode>
                <c:ptCount val="6"/>
                <c:pt idx="0">
                  <c:v>0.328125</c:v>
                </c:pt>
                <c:pt idx="1">
                  <c:v>0.41935483870967744</c:v>
                </c:pt>
                <c:pt idx="2">
                  <c:v>0.33333333333333331</c:v>
                </c:pt>
                <c:pt idx="3">
                  <c:v>0.39344262295081966</c:v>
                </c:pt>
                <c:pt idx="4">
                  <c:v>0.36</c:v>
                </c:pt>
                <c:pt idx="5">
                  <c:v>0.35087719298245612</c:v>
                </c:pt>
              </c:numCache>
            </c:numRef>
          </c:val>
          <c:extLst>
            <c:ext xmlns:c16="http://schemas.microsoft.com/office/drawing/2014/chart" uri="{C3380CC4-5D6E-409C-BE32-E72D297353CC}">
              <c16:uniqueId val="{00000002-7739-B948-A06B-FA73BA8602EB}"/>
            </c:ext>
          </c:extLst>
        </c:ser>
        <c:ser>
          <c:idx val="3"/>
          <c:order val="3"/>
          <c:tx>
            <c:strRef>
              <c:f>Sheet1!$F$23</c:f>
              <c:strCache>
                <c:ptCount val="1"/>
                <c:pt idx="0">
                  <c:v>ms-h</c:v>
                </c:pt>
              </c:strCache>
            </c:strRef>
          </c:tx>
          <c:spPr>
            <a:solidFill>
              <a:schemeClr val="accent4"/>
            </a:solidFill>
            <a:ln>
              <a:noFill/>
            </a:ln>
            <a:effectLst/>
          </c:spPr>
          <c:invertIfNegative val="0"/>
          <c:cat>
            <c:strRef>
              <c:f>Sheet1!$B$24:$B$29</c:f>
              <c:strCache>
                <c:ptCount val="6"/>
                <c:pt idx="0">
                  <c:v>books</c:v>
                </c:pt>
                <c:pt idx="1">
                  <c:v>coffee</c:v>
                </c:pt>
                <c:pt idx="2">
                  <c:v>dentist</c:v>
                </c:pt>
                <c:pt idx="3">
                  <c:v>yarn</c:v>
                </c:pt>
                <c:pt idx="4">
                  <c:v>hair</c:v>
                </c:pt>
                <c:pt idx="5">
                  <c:v>shoes</c:v>
                </c:pt>
              </c:strCache>
            </c:strRef>
          </c:cat>
          <c:val>
            <c:numRef>
              <c:f>Sheet1!$F$24:$F$29</c:f>
              <c:numCache>
                <c:formatCode>General</c:formatCode>
                <c:ptCount val="6"/>
                <c:pt idx="0">
                  <c:v>0.57894736842105265</c:v>
                </c:pt>
                <c:pt idx="1">
                  <c:v>0.75</c:v>
                </c:pt>
                <c:pt idx="2">
                  <c:v>0.4</c:v>
                </c:pt>
                <c:pt idx="3">
                  <c:v>0.44444444444444442</c:v>
                </c:pt>
                <c:pt idx="4">
                  <c:v>0.49056603773584906</c:v>
                </c:pt>
                <c:pt idx="5">
                  <c:v>0.6166666666666667</c:v>
                </c:pt>
              </c:numCache>
            </c:numRef>
          </c:val>
          <c:extLst>
            <c:ext xmlns:c16="http://schemas.microsoft.com/office/drawing/2014/chart" uri="{C3380CC4-5D6E-409C-BE32-E72D297353CC}">
              <c16:uniqueId val="{00000003-7739-B948-A06B-FA73BA8602EB}"/>
            </c:ext>
          </c:extLst>
        </c:ser>
        <c:ser>
          <c:idx val="4"/>
          <c:order val="4"/>
          <c:tx>
            <c:strRef>
              <c:f>Sheet1!$G$23</c:f>
              <c:strCache>
                <c:ptCount val="1"/>
                <c:pt idx="0">
                  <c:v>ms-l</c:v>
                </c:pt>
              </c:strCache>
            </c:strRef>
          </c:tx>
          <c:spPr>
            <a:solidFill>
              <a:schemeClr val="accent5"/>
            </a:solidFill>
            <a:ln>
              <a:noFill/>
            </a:ln>
            <a:effectLst/>
          </c:spPr>
          <c:invertIfNegative val="0"/>
          <c:cat>
            <c:strRef>
              <c:f>Sheet1!$B$24:$B$29</c:f>
              <c:strCache>
                <c:ptCount val="6"/>
                <c:pt idx="0">
                  <c:v>books</c:v>
                </c:pt>
                <c:pt idx="1">
                  <c:v>coffee</c:v>
                </c:pt>
                <c:pt idx="2">
                  <c:v>dentist</c:v>
                </c:pt>
                <c:pt idx="3">
                  <c:v>yarn</c:v>
                </c:pt>
                <c:pt idx="4">
                  <c:v>hair</c:v>
                </c:pt>
                <c:pt idx="5">
                  <c:v>shoes</c:v>
                </c:pt>
              </c:strCache>
            </c:strRef>
          </c:cat>
          <c:val>
            <c:numRef>
              <c:f>Sheet1!$G$24:$G$29</c:f>
              <c:numCache>
                <c:formatCode>General</c:formatCode>
                <c:ptCount val="6"/>
                <c:pt idx="0">
                  <c:v>0.50943396226415094</c:v>
                </c:pt>
                <c:pt idx="1">
                  <c:v>0.29310344827586204</c:v>
                </c:pt>
                <c:pt idx="2">
                  <c:v>0.30158730158730157</c:v>
                </c:pt>
                <c:pt idx="3">
                  <c:v>0.38095238095238093</c:v>
                </c:pt>
                <c:pt idx="4">
                  <c:v>0.37704918032786883</c:v>
                </c:pt>
                <c:pt idx="5">
                  <c:v>0.40350877192982454</c:v>
                </c:pt>
              </c:numCache>
            </c:numRef>
          </c:val>
          <c:extLst>
            <c:ext xmlns:c16="http://schemas.microsoft.com/office/drawing/2014/chart" uri="{C3380CC4-5D6E-409C-BE32-E72D297353CC}">
              <c16:uniqueId val="{00000004-7739-B948-A06B-FA73BA8602EB}"/>
            </c:ext>
          </c:extLst>
        </c:ser>
        <c:dLbls>
          <c:showLegendKey val="0"/>
          <c:showVal val="0"/>
          <c:showCatName val="0"/>
          <c:showSerName val="0"/>
          <c:showPercent val="0"/>
          <c:showBubbleSize val="0"/>
        </c:dLbls>
        <c:gapWidth val="219"/>
        <c:overlap val="-27"/>
        <c:axId val="1078649615"/>
        <c:axId val="1077979759"/>
      </c:barChart>
      <c:catAx>
        <c:axId val="107864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7979759"/>
        <c:crosses val="autoZero"/>
        <c:auto val="1"/>
        <c:lblAlgn val="ctr"/>
        <c:lblOffset val="100"/>
        <c:noMultiLvlLbl val="0"/>
      </c:catAx>
      <c:valAx>
        <c:axId val="1077979759"/>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649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response for present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Sheet1!$B$31</c:f>
              <c:strCache>
                <c:ptCount val="1"/>
                <c:pt idx="0">
                  <c:v>avg</c:v>
                </c:pt>
              </c:strCache>
            </c:strRef>
          </c:tx>
          <c:spPr>
            <a:solidFill>
              <a:schemeClr val="accent1"/>
            </a:solidFill>
            <a:ln>
              <a:noFill/>
            </a:ln>
            <a:effectLst/>
          </c:spPr>
          <c:invertIfNegative val="0"/>
          <c:cat>
            <c:strRef>
              <c:f>Sheet1!$C$30:$G$30</c:f>
              <c:strCache>
                <c:ptCount val="5"/>
                <c:pt idx="0">
                  <c:v>exh</c:v>
                </c:pt>
                <c:pt idx="1">
                  <c:v>mo-h</c:v>
                </c:pt>
                <c:pt idx="2">
                  <c:v>mo-l</c:v>
                </c:pt>
                <c:pt idx="3">
                  <c:v>ms-h</c:v>
                </c:pt>
                <c:pt idx="4">
                  <c:v>ms-l</c:v>
                </c:pt>
              </c:strCache>
            </c:strRef>
          </c:cat>
          <c:val>
            <c:numRef>
              <c:f>Sheet1!$C$31:$G$31</c:f>
              <c:numCache>
                <c:formatCode>General</c:formatCode>
                <c:ptCount val="5"/>
                <c:pt idx="0">
                  <c:v>0.5062361970964121</c:v>
                </c:pt>
                <c:pt idx="1">
                  <c:v>0.60928165683449331</c:v>
                </c:pt>
                <c:pt idx="2">
                  <c:v>0.36418883132938112</c:v>
                </c:pt>
                <c:pt idx="3">
                  <c:v>0.54677075287800214</c:v>
                </c:pt>
                <c:pt idx="4">
                  <c:v>0.37760584088956484</c:v>
                </c:pt>
              </c:numCache>
            </c:numRef>
          </c:val>
          <c:extLst>
            <c:ext xmlns:c16="http://schemas.microsoft.com/office/drawing/2014/chart" uri="{C3380CC4-5D6E-409C-BE32-E72D297353CC}">
              <c16:uniqueId val="{00000000-4C17-5E41-B51B-B1A3FE4615E3}"/>
            </c:ext>
          </c:extLst>
        </c:ser>
        <c:dLbls>
          <c:showLegendKey val="0"/>
          <c:showVal val="0"/>
          <c:showCatName val="0"/>
          <c:showSerName val="0"/>
          <c:showPercent val="0"/>
          <c:showBubbleSize val="0"/>
        </c:dLbls>
        <c:gapWidth val="219"/>
        <c:overlap val="-27"/>
        <c:axId val="718697087"/>
        <c:axId val="712787423"/>
      </c:barChart>
      <c:catAx>
        <c:axId val="71869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787423"/>
        <c:crosses val="autoZero"/>
        <c:auto val="1"/>
        <c:lblAlgn val="ctr"/>
        <c:lblOffset val="100"/>
        <c:noMultiLvlLbl val="0"/>
      </c:catAx>
      <c:valAx>
        <c:axId val="712787423"/>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697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2139950</xdr:colOff>
      <xdr:row>33</xdr:row>
      <xdr:rowOff>190500</xdr:rowOff>
    </xdr:from>
    <xdr:to>
      <xdr:col>7</xdr:col>
      <xdr:colOff>69850</xdr:colOff>
      <xdr:row>47</xdr:row>
      <xdr:rowOff>88900</xdr:rowOff>
    </xdr:to>
    <xdr:graphicFrame macro="">
      <xdr:nvGraphicFramePr>
        <xdr:cNvPr id="2" name="Chart 1">
          <a:extLst>
            <a:ext uri="{FF2B5EF4-FFF2-40B4-BE49-F238E27FC236}">
              <a16:creationId xmlns:a16="http://schemas.microsoft.com/office/drawing/2014/main" id="{6DAC3D0C-91E5-444E-9284-6AD5991EA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514350</xdr:colOff>
      <xdr:row>25</xdr:row>
      <xdr:rowOff>88900</xdr:rowOff>
    </xdr:from>
    <xdr:to>
      <xdr:col>14</xdr:col>
      <xdr:colOff>133350</xdr:colOff>
      <xdr:row>38</xdr:row>
      <xdr:rowOff>190500</xdr:rowOff>
    </xdr:to>
    <xdr:graphicFrame macro="">
      <xdr:nvGraphicFramePr>
        <xdr:cNvPr id="4" name="Chart 3">
          <a:extLst>
            <a:ext uri="{FF2B5EF4-FFF2-40B4-BE49-F238E27FC236}">
              <a16:creationId xmlns:a16="http://schemas.microsoft.com/office/drawing/2014/main" id="{6895D16B-0031-5F4C-A052-9583595182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crosoft Office User" refreshedDate="43334.400228935185" createdVersion="6" refreshedVersion="6" minRefreshableVersion="3" recordCount="1372">
  <cacheSource type="worksheet">
    <worksheetSource ref="A1:AE1373" sheet="present"/>
  </cacheSource>
  <cacheFields count="31">
    <cacheField name="subject" numFmtId="0">
      <sharedItems/>
    </cacheField>
    <cacheField name="native_lang" numFmtId="0">
      <sharedItems/>
    </cacheField>
    <cacheField name="age" numFmtId="0">
      <sharedItems containsSemiMixedTypes="0" containsString="0" containsNumber="1" containsInteger="1" minValue="21" maxValue="76"/>
    </cacheField>
    <cacheField name="gender" numFmtId="0">
      <sharedItems/>
    </cacheField>
    <cacheField name="trial" numFmtId="0">
      <sharedItems/>
    </cacheField>
    <cacheField name="story" numFmtId="0">
      <sharedItems count="13">
        <s v="NA"/>
        <s v="train_m"/>
        <s v="train_f"/>
        <s v="test_books"/>
        <s v="test_dentist"/>
        <s v="control_when"/>
        <s v="test_coffee"/>
        <s v="control_why"/>
        <s v="test_hair"/>
        <s v="test_florist"/>
        <s v="control_how"/>
        <s v="test_shoes"/>
        <s v="control_what"/>
      </sharedItems>
    </cacheField>
    <cacheField name="reaction_time" numFmtId="0">
      <sharedItems containsSemiMixedTypes="0" containsString="0" containsNumber="1" containsInteger="1" minValue="1806" maxValue="5457758"/>
    </cacheField>
    <cacheField name="response_a" numFmtId="0">
      <sharedItems containsBlank="1" containsMixedTypes="1" containsNumber="1" containsInteger="1" minValue="0" maxValue="1" longText="1"/>
    </cacheField>
    <cacheField name="response_b" numFmtId="0">
      <sharedItems containsBlank="1" containsMixedTypes="1" containsNumber="1" containsInteger="1" minValue="0" maxValue="1" longText="1"/>
    </cacheField>
    <cacheField name="response_c" numFmtId="0">
      <sharedItems containsBlank="1" containsMixedTypes="1" containsNumber="1" containsInteger="1" minValue="0" maxValue="1" longText="1"/>
    </cacheField>
    <cacheField name="response_d" numFmtId="0">
      <sharedItems containsMixedTypes="1" containsNumber="1" containsInteger="1" minValue="0" maxValue="1"/>
    </cacheField>
    <cacheField name="report_a" numFmtId="0">
      <sharedItems/>
    </cacheField>
    <cacheField name="report_b" numFmtId="0">
      <sharedItems/>
    </cacheField>
    <cacheField name="report_c" numFmtId="0">
      <sharedItems/>
    </cacheField>
    <cacheField name="tag_a" numFmtId="0">
      <sharedItems/>
    </cacheField>
    <cacheField name="tag_b" numFmtId="0">
      <sharedItems/>
    </cacheField>
    <cacheField name="tag_c" numFmtId="0">
      <sharedItems/>
    </cacheField>
    <cacheField name="exhaustive_seen" numFmtId="0">
      <sharedItems containsMixedTypes="1" containsNumber="1" containsInteger="1" minValue="0" maxValue="1"/>
    </cacheField>
    <cacheField name="mention_one_high_seen" numFmtId="0">
      <sharedItems containsMixedTypes="1" containsNumber="1" containsInteger="1" minValue="0" maxValue="1"/>
    </cacheField>
    <cacheField name="mention_one_low_seen" numFmtId="0">
      <sharedItems containsMixedTypes="1" containsNumber="1" containsInteger="1" minValue="0" maxValue="1"/>
    </cacheField>
    <cacheField name="mention_some_high_seen" numFmtId="0">
      <sharedItems containsMixedTypes="1" containsNumber="1" containsInteger="1" minValue="0" maxValue="1"/>
    </cacheField>
    <cacheField name="mention_some_low_seen" numFmtId="0">
      <sharedItems containsMixedTypes="1" containsNumber="1" containsInteger="1" minValue="0" maxValue="1"/>
    </cacheField>
    <cacheField name="false_report_seen" numFmtId="0">
      <sharedItems containsMixedTypes="1" containsNumber="1" containsInteger="1" minValue="0" maxValue="0"/>
    </cacheField>
    <cacheField name="none_of_above_seen" numFmtId="0">
      <sharedItems containsMixedTypes="1" containsNumber="1" containsInteger="1" minValue="1" maxValue="1"/>
    </cacheField>
    <cacheField name="exhaustive_chosen" numFmtId="0">
      <sharedItems containsMixedTypes="1" containsNumber="1" containsInteger="1" minValue="0" maxValue="1"/>
    </cacheField>
    <cacheField name="mention_one_high_chosen" numFmtId="0">
      <sharedItems containsMixedTypes="1" containsNumber="1" containsInteger="1" minValue="0" maxValue="1"/>
    </cacheField>
    <cacheField name="mention_one_low_chosen" numFmtId="0">
      <sharedItems containsMixedTypes="1" containsNumber="1" containsInteger="1" minValue="0" maxValue="1"/>
    </cacheField>
    <cacheField name="mention_some_high_chosen" numFmtId="0">
      <sharedItems containsMixedTypes="1" containsNumber="1" containsInteger="1" minValue="0" maxValue="1"/>
    </cacheField>
    <cacheField name="mention_some_low_chosen" numFmtId="0">
      <sharedItems containsMixedTypes="1" containsNumber="1" containsInteger="1" minValue="0" maxValue="1"/>
    </cacheField>
    <cacheField name="false_report_chosen" numFmtId="0">
      <sharedItems containsMixedTypes="1" containsNumber="1" containsInteger="1" minValue="0" maxValue="0"/>
    </cacheField>
    <cacheField name="none_of_above_chosen" numFmtId="0">
      <sharedItems containsMixedTypes="1"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72">
  <r>
    <s v="A1JQ3GAFW1XZYZ"/>
    <s v="english"/>
    <n v="21"/>
    <s v="male"/>
    <s v="consent"/>
    <x v="0"/>
    <n v="82756"/>
    <s v="NA"/>
    <s v="NA"/>
    <s v="NA"/>
    <s v="NA"/>
    <s v="NA"/>
    <s v="NA"/>
    <s v="NA"/>
    <s v="NA"/>
    <s v="NA"/>
    <s v="NA"/>
    <s v="NA"/>
    <s v="NA"/>
    <s v="NA"/>
    <s v="NA"/>
    <s v="NA"/>
    <s v="NA"/>
    <s v="NA"/>
    <s v="NA"/>
    <s v="NA"/>
    <s v="NA"/>
    <s v="NA"/>
    <s v="NA"/>
    <s v="NA"/>
    <s v="NA"/>
  </r>
  <r>
    <s v="A1JQ3GAFW1XZYZ"/>
    <s v="english"/>
    <n v="21"/>
    <s v="male"/>
    <s v="train"/>
    <x v="1"/>
    <n v="5812"/>
    <n v="0"/>
    <n v="1"/>
    <n v="0"/>
    <n v="0"/>
    <s v="NA"/>
    <s v="NA"/>
    <s v="NA"/>
    <s v="NA"/>
    <s v="NA"/>
    <s v="NA"/>
    <s v="NA"/>
    <s v="NA"/>
    <s v="NA"/>
    <s v="NA"/>
    <s v="NA"/>
    <s v="NA"/>
    <s v="NA"/>
    <s v="NA"/>
    <s v="NA"/>
    <s v="NA"/>
    <s v="NA"/>
    <s v="NA"/>
    <s v="NA"/>
    <s v="NA"/>
  </r>
  <r>
    <s v="A1JQ3GAFW1XZYZ"/>
    <s v="english"/>
    <n v="21"/>
    <s v="male"/>
    <s v="train"/>
    <x v="2"/>
    <n v="2900"/>
    <n v="0"/>
    <n v="1"/>
    <n v="0"/>
    <n v="0"/>
    <s v="NA"/>
    <s v="NA"/>
    <s v="NA"/>
    <s v="NA"/>
    <s v="NA"/>
    <s v="NA"/>
    <s v="NA"/>
    <s v="NA"/>
    <s v="NA"/>
    <s v="NA"/>
    <s v="NA"/>
    <s v="NA"/>
    <s v="NA"/>
    <s v="NA"/>
    <s v="NA"/>
    <s v="NA"/>
    <s v="NA"/>
    <s v="NA"/>
    <s v="NA"/>
    <s v="NA"/>
  </r>
  <r>
    <s v="A1JQ3GAFW1XZYZ"/>
    <s v="english"/>
    <n v="21"/>
    <s v="male"/>
    <s v="test"/>
    <x v="3"/>
    <n v="4852"/>
    <n v="1"/>
    <n v="0"/>
    <n v="0"/>
    <n v="0"/>
    <s v="Bookstore A."/>
    <s v="Bookstores D and E."/>
    <s v="Bookstore E."/>
    <s v="mo-h"/>
    <s v="ms-l"/>
    <s v="mo-l"/>
    <n v="0"/>
    <n v="1"/>
    <n v="1"/>
    <n v="0"/>
    <n v="1"/>
    <n v="0"/>
    <n v="1"/>
    <n v="0"/>
    <n v="1"/>
    <n v="0"/>
    <n v="0"/>
    <n v="0"/>
    <n v="0"/>
    <n v="0"/>
  </r>
  <r>
    <s v="A1JQ3GAFW1XZYZ"/>
    <s v="english"/>
    <n v="21"/>
    <s v="male"/>
    <s v="test"/>
    <x v="4"/>
    <n v="2733"/>
    <n v="1"/>
    <n v="0"/>
    <n v="0"/>
    <n v="0"/>
    <s v="Dentist E."/>
    <s v="Dentist A."/>
    <s v="Dentist F."/>
    <s v="mo-l"/>
    <s v="mo-h"/>
    <s v="fa"/>
    <n v="0"/>
    <n v="1"/>
    <n v="1"/>
    <n v="0"/>
    <n v="0"/>
    <n v="0"/>
    <n v="1"/>
    <n v="0"/>
    <n v="0"/>
    <n v="1"/>
    <n v="0"/>
    <n v="0"/>
    <n v="0"/>
    <n v="0"/>
  </r>
  <r>
    <s v="A1JQ3GAFW1XZYZ"/>
    <s v="english"/>
    <n v="21"/>
    <s v="male"/>
    <s v="control"/>
    <x v="5"/>
    <n v="2668"/>
    <n v="1"/>
    <n v="0"/>
    <n v="0"/>
    <n v="0"/>
    <s v="NA"/>
    <s v="NA"/>
    <s v="NA"/>
    <s v="NA"/>
    <s v="NA"/>
    <s v="NA"/>
    <s v="NA"/>
    <n v="1"/>
    <n v="1"/>
    <n v="0"/>
    <n v="0"/>
    <n v="0"/>
    <n v="1"/>
    <n v="0"/>
    <n v="0"/>
    <n v="1"/>
    <n v="0"/>
    <n v="0"/>
    <n v="0"/>
    <n v="0"/>
  </r>
  <r>
    <s v="A1JQ3GAFW1XZYZ"/>
    <s v="english"/>
    <n v="21"/>
    <s v="male"/>
    <s v="test"/>
    <x v="6"/>
    <n v="2685"/>
    <n v="1"/>
    <n v="0"/>
    <n v="0"/>
    <n v="0"/>
    <s v="Cafe A."/>
    <s v="Cafes D and E."/>
    <s v="Cafe E."/>
    <s v="mo-h"/>
    <s v="ms-l"/>
    <s v="mo-l"/>
    <n v="0"/>
    <n v="1"/>
    <n v="1"/>
    <n v="0"/>
    <n v="1"/>
    <n v="0"/>
    <n v="1"/>
    <n v="0"/>
    <n v="1"/>
    <n v="0"/>
    <n v="0"/>
    <n v="0"/>
    <n v="0"/>
    <n v="0"/>
  </r>
  <r>
    <s v="A1JQ3GAFW1XZYZ"/>
    <s v="english"/>
    <n v="21"/>
    <s v="male"/>
    <s v="control"/>
    <x v="7"/>
    <n v="1949"/>
    <n v="0"/>
    <n v="0"/>
    <n v="0"/>
    <n v="0"/>
    <s v="NA"/>
    <s v="NA"/>
    <s v="NA"/>
    <s v="NA"/>
    <s v="NA"/>
    <s v="NA"/>
    <s v="NA"/>
    <n v="1"/>
    <n v="1"/>
    <n v="0"/>
    <n v="1"/>
    <n v="0"/>
    <n v="1"/>
    <n v="0"/>
    <n v="1"/>
    <n v="0"/>
    <n v="0"/>
    <n v="0"/>
    <n v="0"/>
    <n v="0"/>
  </r>
  <r>
    <s v="A1JQ3GAFW1XZYZ"/>
    <s v="english"/>
    <n v="21"/>
    <s v="male"/>
    <s v="test"/>
    <x v="8"/>
    <n v="2957"/>
    <n v="0"/>
    <n v="1"/>
    <n v="0"/>
    <n v="0"/>
    <s v="Stylist A."/>
    <s v="Stylist E."/>
    <s v="Stylists D and E."/>
    <s v="mo-h"/>
    <s v="mo-l"/>
    <s v="ms-l"/>
    <n v="0"/>
    <n v="1"/>
    <n v="1"/>
    <n v="0"/>
    <n v="1"/>
    <n v="0"/>
    <n v="1"/>
    <n v="0"/>
    <n v="0"/>
    <n v="1"/>
    <n v="0"/>
    <n v="0"/>
    <n v="0"/>
    <n v="0"/>
  </r>
  <r>
    <s v="A1JQ3GAFW1XZYZ"/>
    <s v="english"/>
    <n v="21"/>
    <s v="male"/>
    <s v="test"/>
    <x v="9"/>
    <n v="6229"/>
    <n v="0"/>
    <n v="1"/>
    <n v="0"/>
    <n v="0"/>
    <s v="Stalls A and B."/>
    <s v="Stalls A, B, C, D and E."/>
    <s v="Stalls D and E."/>
    <s v="ms-h"/>
    <s v="exh"/>
    <s v="ms-l"/>
    <n v="1"/>
    <n v="0"/>
    <n v="0"/>
    <n v="1"/>
    <n v="1"/>
    <n v="0"/>
    <n v="1"/>
    <n v="1"/>
    <n v="0"/>
    <n v="0"/>
    <n v="0"/>
    <n v="0"/>
    <n v="0"/>
    <n v="0"/>
  </r>
  <r>
    <s v="A1JQ3GAFW1XZYZ"/>
    <s v="english"/>
    <n v="21"/>
    <s v="male"/>
    <s v="control"/>
    <x v="10"/>
    <n v="8269"/>
    <n v="0"/>
    <n v="1"/>
    <n v="0"/>
    <n v="0"/>
    <s v="NA"/>
    <s v="NA"/>
    <s v="NA"/>
    <s v="NA"/>
    <s v="NA"/>
    <s v="NA"/>
    <s v="NA"/>
    <n v="0"/>
    <n v="0"/>
    <n v="1"/>
    <n v="1"/>
    <n v="0"/>
    <n v="1"/>
    <n v="1"/>
    <n v="0"/>
    <n v="0"/>
    <n v="0"/>
    <n v="0"/>
    <n v="0"/>
    <n v="0"/>
  </r>
  <r>
    <s v="A1JQ3GAFW1XZYZ"/>
    <s v="english"/>
    <n v="21"/>
    <s v="male"/>
    <s v="test"/>
    <x v="11"/>
    <n v="5316"/>
    <n v="1"/>
    <n v="0"/>
    <n v="0"/>
    <n v="0"/>
    <s v="Stores D and E."/>
    <s v="Stores A and B."/>
    <s v="Store A."/>
    <s v="ms-l"/>
    <s v="ms-h"/>
    <s v="mo-h"/>
    <n v="0"/>
    <n v="1"/>
    <n v="0"/>
    <n v="1"/>
    <n v="1"/>
    <n v="0"/>
    <n v="1"/>
    <n v="0"/>
    <n v="0"/>
    <n v="0"/>
    <n v="0"/>
    <n v="1"/>
    <n v="0"/>
    <n v="0"/>
  </r>
  <r>
    <s v="A1JQ3GAFW1XZYZ"/>
    <s v="english"/>
    <n v="21"/>
    <s v="male"/>
    <s v="control"/>
    <x v="12"/>
    <n v="2110"/>
    <n v="1"/>
    <n v="0"/>
    <n v="0"/>
    <n v="0"/>
    <s v="NA"/>
    <s v="NA"/>
    <s v="NA"/>
    <s v="NA"/>
    <s v="NA"/>
    <s v="NA"/>
    <s v="NA"/>
    <n v="1"/>
    <n v="0"/>
    <n v="1"/>
    <n v="1"/>
    <n v="0"/>
    <n v="1"/>
    <n v="0"/>
    <n v="0"/>
    <n v="0"/>
    <n v="0"/>
    <n v="1"/>
    <n v="0"/>
    <n v="0"/>
  </r>
  <r>
    <s v="A1JQ3GAFW1XZYZ"/>
    <s v="english"/>
    <n v="21"/>
    <s v="male"/>
    <s v="exit_quest"/>
    <x v="0"/>
    <n v="20125"/>
    <s v="good"/>
    <s v="good"/>
    <s v="good"/>
    <s v="NA"/>
    <s v="NA"/>
    <s v="NA"/>
    <s v="NA"/>
    <s v="NA"/>
    <s v="NA"/>
    <s v="NA"/>
    <s v="NA"/>
    <s v="NA"/>
    <s v="NA"/>
    <s v="NA"/>
    <s v="NA"/>
    <s v="NA"/>
    <s v="NA"/>
    <s v="NA"/>
    <s v="NA"/>
    <s v="NA"/>
    <s v="NA"/>
    <s v="NA"/>
    <s v="NA"/>
    <s v="NA"/>
  </r>
  <r>
    <s v="A251YA0XPAWWIQ"/>
    <s v="english"/>
    <n v="32"/>
    <s v="female"/>
    <s v="consent"/>
    <x v="0"/>
    <n v="27655"/>
    <s v="NA"/>
    <s v="NA"/>
    <s v="NA"/>
    <s v="NA"/>
    <s v="NA"/>
    <s v="NA"/>
    <s v="NA"/>
    <s v="NA"/>
    <s v="NA"/>
    <s v="NA"/>
    <s v="NA"/>
    <s v="NA"/>
    <s v="NA"/>
    <s v="NA"/>
    <s v="NA"/>
    <s v="NA"/>
    <s v="NA"/>
    <s v="NA"/>
    <s v="NA"/>
    <s v="NA"/>
    <s v="NA"/>
    <s v="NA"/>
    <s v="NA"/>
    <s v="NA"/>
  </r>
  <r>
    <s v="A251YA0XPAWWIQ"/>
    <s v="english"/>
    <n v="32"/>
    <s v="female"/>
    <s v="train"/>
    <x v="2"/>
    <n v="23445"/>
    <n v="0"/>
    <n v="0"/>
    <n v="0"/>
    <n v="1"/>
    <s v="NA"/>
    <s v="NA"/>
    <s v="NA"/>
    <s v="NA"/>
    <s v="NA"/>
    <s v="NA"/>
    <s v="NA"/>
    <s v="NA"/>
    <s v="NA"/>
    <s v="NA"/>
    <s v="NA"/>
    <s v="NA"/>
    <s v="NA"/>
    <s v="NA"/>
    <s v="NA"/>
    <s v="NA"/>
    <s v="NA"/>
    <s v="NA"/>
    <s v="NA"/>
    <s v="NA"/>
  </r>
  <r>
    <s v="A251YA0XPAWWIQ"/>
    <s v="english"/>
    <n v="32"/>
    <s v="female"/>
    <s v="train"/>
    <x v="1"/>
    <n v="17950"/>
    <n v="0"/>
    <n v="1"/>
    <n v="0"/>
    <n v="0"/>
    <s v="NA"/>
    <s v="NA"/>
    <s v="NA"/>
    <s v="NA"/>
    <s v="NA"/>
    <s v="NA"/>
    <s v="NA"/>
    <s v="NA"/>
    <s v="NA"/>
    <s v="NA"/>
    <s v="NA"/>
    <s v="NA"/>
    <s v="NA"/>
    <s v="NA"/>
    <s v="NA"/>
    <s v="NA"/>
    <s v="NA"/>
    <s v="NA"/>
    <s v="NA"/>
    <s v="NA"/>
  </r>
  <r>
    <s v="A251YA0XPAWWIQ"/>
    <s v="english"/>
    <n v="32"/>
    <s v="female"/>
    <s v="test"/>
    <x v="4"/>
    <n v="32496"/>
    <n v="0"/>
    <n v="0"/>
    <n v="1"/>
    <n v="0"/>
    <s v="Dentists D and E."/>
    <s v="Dentists A and B."/>
    <s v="Dentist E."/>
    <s v="ms-l"/>
    <s v="ms-h"/>
    <s v="mo-l"/>
    <n v="0"/>
    <n v="0"/>
    <n v="1"/>
    <n v="1"/>
    <n v="1"/>
    <n v="0"/>
    <n v="1"/>
    <n v="0"/>
    <n v="0"/>
    <n v="1"/>
    <n v="0"/>
    <n v="0"/>
    <n v="0"/>
    <n v="0"/>
  </r>
  <r>
    <s v="A251YA0XPAWWIQ"/>
    <s v="english"/>
    <n v="32"/>
    <s v="female"/>
    <s v="test"/>
    <x v="3"/>
    <n v="8003"/>
    <n v="0"/>
    <n v="0"/>
    <n v="1"/>
    <n v="0"/>
    <s v="Bookstores A and B."/>
    <s v="Bookstores A, B, C, D and E."/>
    <s v="Bookstore A."/>
    <s v="ms-h"/>
    <s v="exh"/>
    <s v="mo-h"/>
    <n v="1"/>
    <n v="1"/>
    <n v="0"/>
    <n v="1"/>
    <n v="0"/>
    <n v="0"/>
    <n v="1"/>
    <n v="0"/>
    <n v="1"/>
    <n v="0"/>
    <n v="0"/>
    <n v="0"/>
    <n v="0"/>
    <n v="0"/>
  </r>
  <r>
    <s v="A251YA0XPAWWIQ"/>
    <s v="english"/>
    <n v="32"/>
    <s v="female"/>
    <s v="control"/>
    <x v="5"/>
    <n v="3347"/>
    <n v="0"/>
    <n v="0"/>
    <n v="1"/>
    <n v="0"/>
    <s v="NA"/>
    <s v="NA"/>
    <s v="NA"/>
    <s v="NA"/>
    <s v="NA"/>
    <s v="NA"/>
    <s v="NA"/>
    <n v="1"/>
    <n v="0"/>
    <n v="1"/>
    <n v="0"/>
    <n v="0"/>
    <n v="1"/>
    <n v="0"/>
    <n v="1"/>
    <n v="0"/>
    <n v="0"/>
    <n v="0"/>
    <n v="0"/>
    <n v="0"/>
  </r>
  <r>
    <s v="A251YA0XPAWWIQ"/>
    <s v="english"/>
    <n v="32"/>
    <s v="female"/>
    <s v="test"/>
    <x v="8"/>
    <n v="4341"/>
    <n v="0"/>
    <n v="0"/>
    <n v="1"/>
    <n v="0"/>
    <s v="Stylist F."/>
    <s v="Stylist E."/>
    <s v="Stylist A."/>
    <s v="fa"/>
    <s v="mo-l"/>
    <s v="mo-h"/>
    <n v="0"/>
    <n v="1"/>
    <n v="1"/>
    <n v="0"/>
    <n v="0"/>
    <n v="0"/>
    <n v="1"/>
    <n v="0"/>
    <n v="1"/>
    <n v="0"/>
    <n v="0"/>
    <n v="0"/>
    <n v="0"/>
    <n v="0"/>
  </r>
  <r>
    <s v="A251YA0XPAWWIQ"/>
    <s v="english"/>
    <n v="32"/>
    <s v="female"/>
    <s v="control"/>
    <x v="12"/>
    <n v="7565"/>
    <n v="0"/>
    <n v="0"/>
    <n v="1"/>
    <n v="0"/>
    <s v="NA"/>
    <s v="NA"/>
    <s v="NA"/>
    <s v="NA"/>
    <s v="NA"/>
    <s v="NA"/>
    <s v="NA"/>
    <n v="1"/>
    <n v="1"/>
    <n v="0"/>
    <n v="0"/>
    <n v="0"/>
    <n v="1"/>
    <n v="0"/>
    <n v="1"/>
    <n v="0"/>
    <n v="0"/>
    <n v="0"/>
    <n v="0"/>
    <n v="0"/>
  </r>
  <r>
    <s v="A251YA0XPAWWIQ"/>
    <s v="english"/>
    <n v="32"/>
    <s v="female"/>
    <s v="test"/>
    <x v="9"/>
    <n v="5535"/>
    <n v="0"/>
    <n v="0"/>
    <n v="1"/>
    <n v="0"/>
    <s v="Stalls A and B."/>
    <s v="Stall E."/>
    <s v="Stall F."/>
    <s v="ms-h"/>
    <s v="mo-l"/>
    <s v="fa"/>
    <n v="0"/>
    <n v="0"/>
    <n v="1"/>
    <n v="1"/>
    <n v="0"/>
    <n v="0"/>
    <n v="1"/>
    <n v="0"/>
    <n v="0"/>
    <n v="0"/>
    <n v="0"/>
    <n v="0"/>
    <n v="0"/>
    <n v="0"/>
  </r>
  <r>
    <s v="A251YA0XPAWWIQ"/>
    <s v="english"/>
    <n v="32"/>
    <s v="female"/>
    <s v="test"/>
    <x v="11"/>
    <n v="3813"/>
    <n v="0"/>
    <n v="0"/>
    <n v="1"/>
    <n v="0"/>
    <s v="Stores D and E."/>
    <s v="Store A."/>
    <s v="Store E."/>
    <s v="ms-l"/>
    <s v="mo-h"/>
    <s v="mo-l"/>
    <n v="0"/>
    <n v="1"/>
    <n v="1"/>
    <n v="0"/>
    <n v="1"/>
    <n v="0"/>
    <n v="1"/>
    <n v="0"/>
    <n v="0"/>
    <n v="1"/>
    <n v="0"/>
    <n v="0"/>
    <n v="0"/>
    <n v="0"/>
  </r>
  <r>
    <s v="A251YA0XPAWWIQ"/>
    <s v="english"/>
    <n v="32"/>
    <s v="female"/>
    <s v="control"/>
    <x v="7"/>
    <n v="13521"/>
    <n v="0"/>
    <n v="0"/>
    <n v="1"/>
    <n v="0"/>
    <s v="NA"/>
    <s v="NA"/>
    <s v="NA"/>
    <s v="NA"/>
    <s v="NA"/>
    <s v="NA"/>
    <s v="NA"/>
    <n v="1"/>
    <n v="1"/>
    <n v="0"/>
    <n v="1"/>
    <n v="0"/>
    <n v="1"/>
    <n v="0"/>
    <n v="0"/>
    <n v="1"/>
    <n v="0"/>
    <n v="0"/>
    <n v="0"/>
    <n v="0"/>
  </r>
  <r>
    <s v="A251YA0XPAWWIQ"/>
    <s v="english"/>
    <n v="32"/>
    <s v="female"/>
    <s v="test"/>
    <x v="6"/>
    <n v="5374"/>
    <n v="1"/>
    <n v="0"/>
    <n v="0"/>
    <n v="0"/>
    <s v="Cafes D and E."/>
    <s v="Cafe A."/>
    <s v="Cafe E."/>
    <s v="ms-l"/>
    <s v="mo-h"/>
    <s v="mo-l"/>
    <n v="0"/>
    <n v="1"/>
    <n v="1"/>
    <n v="0"/>
    <n v="1"/>
    <n v="0"/>
    <n v="1"/>
    <n v="0"/>
    <n v="0"/>
    <n v="0"/>
    <n v="0"/>
    <n v="1"/>
    <n v="0"/>
    <n v="0"/>
  </r>
  <r>
    <s v="A251YA0XPAWWIQ"/>
    <s v="english"/>
    <n v="32"/>
    <s v="female"/>
    <s v="control"/>
    <x v="10"/>
    <n v="3742"/>
    <n v="0"/>
    <n v="0"/>
    <n v="1"/>
    <n v="0"/>
    <s v="NA"/>
    <s v="NA"/>
    <s v="NA"/>
    <s v="NA"/>
    <s v="NA"/>
    <s v="NA"/>
    <s v="NA"/>
    <n v="1"/>
    <n v="1"/>
    <n v="0"/>
    <n v="1"/>
    <n v="0"/>
    <n v="1"/>
    <n v="0"/>
    <n v="0"/>
    <n v="0"/>
    <n v="0"/>
    <n v="1"/>
    <n v="0"/>
    <n v="0"/>
  </r>
  <r>
    <s v="A251YA0XPAWWIQ"/>
    <s v="english"/>
    <n v="32"/>
    <s v="female"/>
    <s v="exit_quest"/>
    <x v="0"/>
    <n v="3967"/>
    <m/>
    <m/>
    <m/>
    <s v="NA"/>
    <s v="NA"/>
    <s v="NA"/>
    <s v="NA"/>
    <s v="NA"/>
    <s v="NA"/>
    <s v="NA"/>
    <s v="NA"/>
    <s v="NA"/>
    <s v="NA"/>
    <s v="NA"/>
    <s v="NA"/>
    <s v="NA"/>
    <s v="NA"/>
    <s v="NA"/>
    <s v="NA"/>
    <s v="NA"/>
    <s v="NA"/>
    <s v="NA"/>
    <s v="NA"/>
    <s v="NA"/>
  </r>
  <r>
    <s v="A3PLDW841STU8B"/>
    <s v="english"/>
    <n v="21"/>
    <s v="male"/>
    <s v="consent"/>
    <x v="0"/>
    <n v="35676"/>
    <s v="NA"/>
    <s v="NA"/>
    <s v="NA"/>
    <s v="NA"/>
    <s v="NA"/>
    <s v="NA"/>
    <s v="NA"/>
    <s v="NA"/>
    <s v="NA"/>
    <s v="NA"/>
    <s v="NA"/>
    <s v="NA"/>
    <s v="NA"/>
    <s v="NA"/>
    <s v="NA"/>
    <s v="NA"/>
    <s v="NA"/>
    <s v="NA"/>
    <s v="NA"/>
    <s v="NA"/>
    <s v="NA"/>
    <s v="NA"/>
    <s v="NA"/>
    <s v="NA"/>
  </r>
  <r>
    <s v="A3PLDW841STU8B"/>
    <s v="english"/>
    <n v="21"/>
    <s v="male"/>
    <s v="train"/>
    <x v="2"/>
    <n v="28897"/>
    <n v="1"/>
    <n v="0"/>
    <n v="0"/>
    <n v="0"/>
    <s v="NA"/>
    <s v="NA"/>
    <s v="NA"/>
    <s v="NA"/>
    <s v="NA"/>
    <s v="NA"/>
    <s v="NA"/>
    <s v="NA"/>
    <s v="NA"/>
    <s v="NA"/>
    <s v="NA"/>
    <s v="NA"/>
    <s v="NA"/>
    <s v="NA"/>
    <s v="NA"/>
    <s v="NA"/>
    <s v="NA"/>
    <s v="NA"/>
    <s v="NA"/>
    <s v="NA"/>
  </r>
  <r>
    <s v="A3PLDW841STU8B"/>
    <s v="english"/>
    <n v="21"/>
    <s v="male"/>
    <s v="train"/>
    <x v="1"/>
    <n v="5361"/>
    <n v="0"/>
    <n v="0"/>
    <n v="1"/>
    <n v="0"/>
    <s v="NA"/>
    <s v="NA"/>
    <s v="NA"/>
    <s v="NA"/>
    <s v="NA"/>
    <s v="NA"/>
    <s v="NA"/>
    <s v="NA"/>
    <s v="NA"/>
    <s v="NA"/>
    <s v="NA"/>
    <s v="NA"/>
    <s v="NA"/>
    <s v="NA"/>
    <s v="NA"/>
    <s v="NA"/>
    <s v="NA"/>
    <s v="NA"/>
    <s v="NA"/>
    <s v="NA"/>
  </r>
  <r>
    <s v="A3PLDW841STU8B"/>
    <s v="english"/>
    <n v="21"/>
    <s v="male"/>
    <s v="test"/>
    <x v="6"/>
    <n v="6496"/>
    <n v="0"/>
    <n v="1"/>
    <n v="0"/>
    <n v="0"/>
    <s v="Cafe F."/>
    <s v="Cafe E."/>
    <s v="Cafes A and B."/>
    <s v="fa"/>
    <s v="mo-l"/>
    <s v="ms-h"/>
    <n v="0"/>
    <n v="0"/>
    <n v="1"/>
    <n v="1"/>
    <n v="0"/>
    <n v="0"/>
    <n v="1"/>
    <n v="0"/>
    <n v="0"/>
    <n v="1"/>
    <n v="0"/>
    <n v="0"/>
    <n v="0"/>
    <n v="0"/>
  </r>
  <r>
    <s v="A3PLDW841STU8B"/>
    <s v="english"/>
    <n v="21"/>
    <s v="male"/>
    <s v="control"/>
    <x v="5"/>
    <n v="4533"/>
    <n v="1"/>
    <n v="0"/>
    <n v="0"/>
    <n v="0"/>
    <s v="NA"/>
    <s v="NA"/>
    <s v="NA"/>
    <s v="NA"/>
    <s v="NA"/>
    <s v="NA"/>
    <s v="NA"/>
    <n v="0"/>
    <n v="1"/>
    <n v="1"/>
    <n v="0"/>
    <n v="0"/>
    <n v="1"/>
    <n v="0"/>
    <n v="0"/>
    <n v="1"/>
    <n v="0"/>
    <n v="0"/>
    <n v="0"/>
    <n v="0"/>
  </r>
  <r>
    <s v="A3PLDW841STU8B"/>
    <s v="english"/>
    <n v="21"/>
    <s v="male"/>
    <s v="test"/>
    <x v="9"/>
    <n v="3773"/>
    <n v="0"/>
    <n v="0"/>
    <n v="1"/>
    <n v="0"/>
    <s v="Stall E."/>
    <s v="Stall A."/>
    <s v="Stall F."/>
    <s v="mo-l"/>
    <s v="mo-h"/>
    <s v="fa"/>
    <n v="0"/>
    <n v="1"/>
    <n v="1"/>
    <n v="0"/>
    <n v="0"/>
    <n v="0"/>
    <n v="1"/>
    <n v="0"/>
    <n v="0"/>
    <n v="0"/>
    <n v="0"/>
    <n v="0"/>
    <n v="0"/>
    <n v="0"/>
  </r>
  <r>
    <s v="A3PLDW841STU8B"/>
    <s v="english"/>
    <n v="21"/>
    <s v="male"/>
    <s v="test"/>
    <x v="3"/>
    <n v="3994"/>
    <n v="0"/>
    <n v="0"/>
    <n v="1"/>
    <n v="0"/>
    <s v="Bookstores D and E."/>
    <s v="Bookstore E."/>
    <s v="Bookstore F."/>
    <s v="ms-l"/>
    <s v="mo-l"/>
    <s v="fa"/>
    <n v="0"/>
    <n v="0"/>
    <n v="1"/>
    <n v="0"/>
    <n v="1"/>
    <n v="0"/>
    <n v="1"/>
    <n v="0"/>
    <n v="0"/>
    <n v="0"/>
    <n v="0"/>
    <n v="0"/>
    <n v="0"/>
    <n v="0"/>
  </r>
  <r>
    <s v="A3PLDW841STU8B"/>
    <s v="english"/>
    <n v="21"/>
    <s v="male"/>
    <s v="control"/>
    <x v="10"/>
    <n v="2433"/>
    <n v="0"/>
    <n v="0"/>
    <n v="1"/>
    <n v="0"/>
    <s v="NA"/>
    <s v="NA"/>
    <s v="NA"/>
    <s v="NA"/>
    <s v="NA"/>
    <s v="NA"/>
    <s v="NA"/>
    <n v="0"/>
    <n v="1"/>
    <n v="0"/>
    <n v="1"/>
    <n v="0"/>
    <n v="1"/>
    <n v="0"/>
    <n v="0"/>
    <n v="0"/>
    <n v="0"/>
    <n v="0"/>
    <n v="0"/>
    <n v="0"/>
  </r>
  <r>
    <s v="A3PLDW841STU8B"/>
    <s v="english"/>
    <n v="21"/>
    <s v="male"/>
    <s v="test"/>
    <x v="11"/>
    <n v="2977"/>
    <n v="0"/>
    <n v="1"/>
    <n v="0"/>
    <n v="0"/>
    <s v="Store F."/>
    <s v="Stores D and E."/>
    <s v="Stores A, B, C, D and E."/>
    <s v="fa"/>
    <s v="ms-l"/>
    <s v="exh"/>
    <n v="1"/>
    <n v="0"/>
    <n v="0"/>
    <n v="0"/>
    <n v="1"/>
    <n v="0"/>
    <n v="1"/>
    <n v="0"/>
    <n v="0"/>
    <n v="0"/>
    <n v="0"/>
    <n v="1"/>
    <n v="0"/>
    <n v="0"/>
  </r>
  <r>
    <s v="A3PLDW841STU8B"/>
    <s v="english"/>
    <n v="21"/>
    <s v="male"/>
    <s v="control"/>
    <x v="7"/>
    <n v="3155"/>
    <n v="0"/>
    <n v="0"/>
    <n v="1"/>
    <n v="0"/>
    <s v="NA"/>
    <s v="NA"/>
    <s v="NA"/>
    <s v="NA"/>
    <s v="NA"/>
    <s v="NA"/>
    <s v="NA"/>
    <n v="0"/>
    <n v="0"/>
    <n v="0"/>
    <n v="1"/>
    <n v="0"/>
    <n v="1"/>
    <n v="0"/>
    <n v="0"/>
    <n v="0"/>
    <n v="0"/>
    <n v="1"/>
    <n v="0"/>
    <n v="0"/>
  </r>
  <r>
    <s v="A3PLDW841STU8B"/>
    <s v="english"/>
    <n v="21"/>
    <s v="male"/>
    <s v="test"/>
    <x v="8"/>
    <n v="4169"/>
    <n v="0"/>
    <n v="1"/>
    <n v="0"/>
    <n v="0"/>
    <s v="Stylist E."/>
    <s v="Stylist A."/>
    <s v="Stylists A, B, C, D and E."/>
    <s v="mo-l"/>
    <s v="mo-h"/>
    <s v="exh"/>
    <n v="1"/>
    <n v="1"/>
    <n v="1"/>
    <n v="0"/>
    <n v="0"/>
    <n v="0"/>
    <n v="1"/>
    <n v="0"/>
    <n v="1"/>
    <n v="0"/>
    <n v="0"/>
    <n v="0"/>
    <n v="0"/>
    <n v="0"/>
  </r>
  <r>
    <s v="A3PLDW841STU8B"/>
    <s v="english"/>
    <n v="21"/>
    <s v="male"/>
    <s v="test"/>
    <x v="4"/>
    <n v="2273"/>
    <n v="1"/>
    <n v="0"/>
    <n v="0"/>
    <n v="0"/>
    <s v="Dentists A and B."/>
    <s v="Dentist E."/>
    <s v="Dentists A, B, C, D and E."/>
    <s v="ms-h"/>
    <s v="mo-l"/>
    <s v="exh"/>
    <n v="1"/>
    <n v="0"/>
    <n v="1"/>
    <n v="1"/>
    <n v="0"/>
    <n v="0"/>
    <n v="1"/>
    <n v="0"/>
    <n v="0"/>
    <n v="0"/>
    <n v="1"/>
    <n v="0"/>
    <n v="0"/>
    <n v="0"/>
  </r>
  <r>
    <s v="A3PLDW841STU8B"/>
    <s v="english"/>
    <n v="21"/>
    <s v="male"/>
    <s v="control"/>
    <x v="12"/>
    <n v="1882"/>
    <n v="0"/>
    <n v="1"/>
    <n v="0"/>
    <n v="0"/>
    <s v="NA"/>
    <s v="NA"/>
    <s v="NA"/>
    <s v="NA"/>
    <s v="NA"/>
    <s v="NA"/>
    <s v="NA"/>
    <n v="0"/>
    <n v="1"/>
    <n v="1"/>
    <n v="0"/>
    <n v="0"/>
    <n v="1"/>
    <n v="0"/>
    <n v="0"/>
    <n v="0"/>
    <n v="1"/>
    <n v="0"/>
    <n v="0"/>
    <n v="0"/>
  </r>
  <r>
    <s v="A3PLDW841STU8B"/>
    <s v="english"/>
    <n v="21"/>
    <s v="male"/>
    <s v="exit_quest"/>
    <x v="0"/>
    <n v="114571"/>
    <s v="good"/>
    <s v="very good"/>
    <s v="knoweldge"/>
    <s v="NA"/>
    <s v="NA"/>
    <s v="NA"/>
    <s v="NA"/>
    <s v="NA"/>
    <s v="NA"/>
    <s v="NA"/>
    <s v="NA"/>
    <s v="NA"/>
    <s v="NA"/>
    <s v="NA"/>
    <s v="NA"/>
    <s v="NA"/>
    <s v="NA"/>
    <s v="NA"/>
    <s v="NA"/>
    <s v="NA"/>
    <s v="NA"/>
    <s v="NA"/>
    <s v="NA"/>
    <s v="NA"/>
  </r>
  <r>
    <s v="A3A4UFCFF9DMW3"/>
    <s v="english"/>
    <n v="22"/>
    <s v="male"/>
    <s v="consent"/>
    <x v="0"/>
    <n v="28126"/>
    <s v="NA"/>
    <s v="NA"/>
    <s v="NA"/>
    <s v="NA"/>
    <s v="NA"/>
    <s v="NA"/>
    <s v="NA"/>
    <s v="NA"/>
    <s v="NA"/>
    <s v="NA"/>
    <s v="NA"/>
    <s v="NA"/>
    <s v="NA"/>
    <s v="NA"/>
    <s v="NA"/>
    <s v="NA"/>
    <s v="NA"/>
    <s v="NA"/>
    <s v="NA"/>
    <s v="NA"/>
    <s v="NA"/>
    <s v="NA"/>
    <s v="NA"/>
    <s v="NA"/>
  </r>
  <r>
    <s v="A3A4UFCFF9DMW3"/>
    <s v="english"/>
    <n v="22"/>
    <s v="male"/>
    <s v="train"/>
    <x v="2"/>
    <n v="10890"/>
    <n v="0"/>
    <n v="0"/>
    <n v="1"/>
    <n v="0"/>
    <s v="NA"/>
    <s v="NA"/>
    <s v="NA"/>
    <s v="NA"/>
    <s v="NA"/>
    <s v="NA"/>
    <s v="NA"/>
    <s v="NA"/>
    <s v="NA"/>
    <s v="NA"/>
    <s v="NA"/>
    <s v="NA"/>
    <s v="NA"/>
    <s v="NA"/>
    <s v="NA"/>
    <s v="NA"/>
    <s v="NA"/>
    <s v="NA"/>
    <s v="NA"/>
    <s v="NA"/>
  </r>
  <r>
    <s v="A3A4UFCFF9DMW3"/>
    <s v="english"/>
    <n v="22"/>
    <s v="male"/>
    <s v="train"/>
    <x v="1"/>
    <n v="10071"/>
    <n v="1"/>
    <n v="0"/>
    <n v="0"/>
    <n v="0"/>
    <s v="NA"/>
    <s v="NA"/>
    <s v="NA"/>
    <s v="NA"/>
    <s v="NA"/>
    <s v="NA"/>
    <s v="NA"/>
    <s v="NA"/>
    <s v="NA"/>
    <s v="NA"/>
    <s v="NA"/>
    <s v="NA"/>
    <s v="NA"/>
    <s v="NA"/>
    <s v="NA"/>
    <s v="NA"/>
    <s v="NA"/>
    <s v="NA"/>
    <s v="NA"/>
    <s v="NA"/>
  </r>
  <r>
    <s v="A3A4UFCFF9DMW3"/>
    <s v="english"/>
    <n v="22"/>
    <s v="male"/>
    <s v="test"/>
    <x v="4"/>
    <n v="5944"/>
    <n v="0"/>
    <n v="1"/>
    <n v="0"/>
    <n v="0"/>
    <s v="Dentists A and B."/>
    <s v="Dentist E."/>
    <s v="Dentist A."/>
    <s v="ms-h"/>
    <s v="mo-l"/>
    <s v="mo-h"/>
    <n v="0"/>
    <n v="1"/>
    <n v="1"/>
    <n v="1"/>
    <n v="0"/>
    <n v="0"/>
    <n v="1"/>
    <n v="0"/>
    <n v="0"/>
    <n v="1"/>
    <n v="0"/>
    <n v="0"/>
    <n v="0"/>
    <n v="0"/>
  </r>
  <r>
    <s v="A3A4UFCFF9DMW3"/>
    <s v="english"/>
    <n v="22"/>
    <s v="male"/>
    <s v="test"/>
    <x v="3"/>
    <n v="7010"/>
    <n v="0"/>
    <n v="0"/>
    <n v="1"/>
    <n v="0"/>
    <s v="Bookstore E."/>
    <s v="Bookstores A and B."/>
    <s v="Bookstores D and E."/>
    <s v="mo-l"/>
    <s v="ms-h"/>
    <s v="ms-l"/>
    <n v="0"/>
    <n v="0"/>
    <n v="1"/>
    <n v="1"/>
    <n v="1"/>
    <n v="0"/>
    <n v="1"/>
    <n v="0"/>
    <n v="0"/>
    <n v="0"/>
    <n v="0"/>
    <n v="1"/>
    <n v="0"/>
    <n v="0"/>
  </r>
  <r>
    <s v="A3A4UFCFF9DMW3"/>
    <s v="english"/>
    <n v="22"/>
    <s v="male"/>
    <s v="control"/>
    <x v="12"/>
    <n v="5275"/>
    <n v="0"/>
    <n v="1"/>
    <n v="0"/>
    <n v="0"/>
    <s v="NA"/>
    <s v="NA"/>
    <s v="NA"/>
    <s v="NA"/>
    <s v="NA"/>
    <s v="NA"/>
    <s v="NA"/>
    <n v="0"/>
    <n v="1"/>
    <n v="1"/>
    <n v="1"/>
    <n v="0"/>
    <n v="1"/>
    <n v="0"/>
    <n v="0"/>
    <n v="0"/>
    <n v="0"/>
    <n v="1"/>
    <n v="0"/>
    <n v="0"/>
  </r>
  <r>
    <s v="A3A4UFCFF9DMW3"/>
    <s v="english"/>
    <n v="22"/>
    <s v="male"/>
    <s v="test"/>
    <x v="11"/>
    <n v="6752"/>
    <n v="0"/>
    <n v="0"/>
    <n v="1"/>
    <n v="0"/>
    <s v="Stores D and E."/>
    <s v="Stores A, B, C, D and E."/>
    <s v="Store E."/>
    <s v="ms-l"/>
    <s v="exh"/>
    <s v="mo-l"/>
    <n v="1"/>
    <n v="0"/>
    <n v="1"/>
    <n v="0"/>
    <n v="1"/>
    <n v="0"/>
    <n v="1"/>
    <n v="0"/>
    <n v="0"/>
    <n v="1"/>
    <n v="0"/>
    <n v="0"/>
    <n v="0"/>
    <n v="0"/>
  </r>
  <r>
    <s v="A3A4UFCFF9DMW3"/>
    <s v="english"/>
    <n v="22"/>
    <s v="male"/>
    <s v="control"/>
    <x v="10"/>
    <n v="3195"/>
    <n v="0"/>
    <n v="1"/>
    <n v="0"/>
    <n v="0"/>
    <s v="NA"/>
    <s v="NA"/>
    <s v="NA"/>
    <s v="NA"/>
    <s v="NA"/>
    <s v="NA"/>
    <s v="NA"/>
    <n v="0"/>
    <n v="1"/>
    <n v="0"/>
    <n v="1"/>
    <n v="0"/>
    <n v="1"/>
    <n v="0"/>
    <n v="0"/>
    <n v="1"/>
    <n v="0"/>
    <n v="0"/>
    <n v="0"/>
    <n v="0"/>
  </r>
  <r>
    <s v="A3A4UFCFF9DMW3"/>
    <s v="english"/>
    <n v="22"/>
    <s v="male"/>
    <s v="test"/>
    <x v="8"/>
    <n v="4028"/>
    <n v="0"/>
    <n v="1"/>
    <n v="0"/>
    <n v="0"/>
    <s v="Stylists A and B."/>
    <s v="Stylist E."/>
    <s v="Stylists D and E."/>
    <s v="ms-h"/>
    <s v="mo-l"/>
    <s v="ms-l"/>
    <n v="0"/>
    <n v="0"/>
    <n v="1"/>
    <n v="1"/>
    <n v="1"/>
    <n v="0"/>
    <n v="1"/>
    <n v="0"/>
    <n v="0"/>
    <n v="1"/>
    <n v="0"/>
    <n v="0"/>
    <n v="0"/>
    <n v="0"/>
  </r>
  <r>
    <s v="A3A4UFCFF9DMW3"/>
    <s v="english"/>
    <n v="22"/>
    <s v="male"/>
    <s v="test"/>
    <x v="9"/>
    <n v="2209"/>
    <n v="0"/>
    <n v="1"/>
    <n v="0"/>
    <n v="0"/>
    <s v="Stall A."/>
    <s v="Stalls D and E."/>
    <s v="Stall F."/>
    <s v="mo-h"/>
    <s v="ms-l"/>
    <s v="fa"/>
    <n v="0"/>
    <n v="1"/>
    <n v="0"/>
    <n v="0"/>
    <n v="1"/>
    <n v="0"/>
    <n v="1"/>
    <n v="0"/>
    <n v="0"/>
    <n v="0"/>
    <n v="0"/>
    <n v="1"/>
    <n v="0"/>
    <n v="0"/>
  </r>
  <r>
    <s v="A3A4UFCFF9DMW3"/>
    <s v="english"/>
    <n v="22"/>
    <s v="male"/>
    <s v="control"/>
    <x v="5"/>
    <n v="4421"/>
    <n v="1"/>
    <n v="0"/>
    <n v="0"/>
    <n v="0"/>
    <s v="NA"/>
    <s v="NA"/>
    <s v="NA"/>
    <s v="NA"/>
    <s v="NA"/>
    <s v="NA"/>
    <s v="NA"/>
    <n v="1"/>
    <n v="0"/>
    <n v="0"/>
    <n v="1"/>
    <n v="0"/>
    <n v="1"/>
    <n v="0"/>
    <n v="0"/>
    <n v="0"/>
    <n v="0"/>
    <n v="1"/>
    <n v="0"/>
    <n v="0"/>
  </r>
  <r>
    <s v="A3A4UFCFF9DMW3"/>
    <s v="english"/>
    <n v="22"/>
    <s v="male"/>
    <s v="test"/>
    <x v="6"/>
    <n v="4430"/>
    <n v="1"/>
    <n v="0"/>
    <n v="0"/>
    <n v="0"/>
    <s v="Cafe E."/>
    <s v="Cafes D and E."/>
    <s v="Cafes A and B."/>
    <s v="mo-l"/>
    <s v="ms-l"/>
    <s v="ms-h"/>
    <n v="0"/>
    <n v="0"/>
    <n v="1"/>
    <n v="1"/>
    <n v="1"/>
    <n v="0"/>
    <n v="1"/>
    <n v="0"/>
    <n v="0"/>
    <n v="1"/>
    <n v="0"/>
    <n v="0"/>
    <n v="0"/>
    <n v="0"/>
  </r>
  <r>
    <s v="A3A4UFCFF9DMW3"/>
    <s v="english"/>
    <n v="22"/>
    <s v="male"/>
    <s v="control"/>
    <x v="7"/>
    <n v="2267"/>
    <n v="0"/>
    <n v="1"/>
    <n v="0"/>
    <n v="0"/>
    <s v="NA"/>
    <s v="NA"/>
    <s v="NA"/>
    <s v="NA"/>
    <s v="NA"/>
    <s v="NA"/>
    <s v="NA"/>
    <n v="0"/>
    <n v="1"/>
    <n v="1"/>
    <n v="1"/>
    <n v="0"/>
    <n v="1"/>
    <n v="0"/>
    <n v="0"/>
    <n v="1"/>
    <n v="0"/>
    <n v="0"/>
    <n v="0"/>
    <n v="0"/>
  </r>
  <r>
    <s v="A3A4UFCFF9DMW3"/>
    <s v="english"/>
    <n v="22"/>
    <s v="male"/>
    <s v="exit_quest"/>
    <x v="0"/>
    <n v="87152"/>
    <s v="good"/>
    <s v="no"/>
    <s v="very good"/>
    <s v="NA"/>
    <s v="NA"/>
    <s v="NA"/>
    <s v="NA"/>
    <s v="NA"/>
    <s v="NA"/>
    <s v="NA"/>
    <s v="NA"/>
    <s v="NA"/>
    <s v="NA"/>
    <s v="NA"/>
    <s v="NA"/>
    <s v="NA"/>
    <s v="NA"/>
    <s v="NA"/>
    <s v="NA"/>
    <s v="NA"/>
    <s v="NA"/>
    <s v="NA"/>
    <s v="NA"/>
    <s v="NA"/>
  </r>
  <r>
    <s v="A1WKF2VH7TV0H2"/>
    <s v="english"/>
    <n v="22"/>
    <s v="female"/>
    <s v="consent"/>
    <x v="0"/>
    <n v="12128"/>
    <s v="NA"/>
    <s v="NA"/>
    <s v="NA"/>
    <s v="NA"/>
    <s v="NA"/>
    <s v="NA"/>
    <s v="NA"/>
    <s v="NA"/>
    <s v="NA"/>
    <s v="NA"/>
    <s v="NA"/>
    <s v="NA"/>
    <s v="NA"/>
    <s v="NA"/>
    <s v="NA"/>
    <s v="NA"/>
    <s v="NA"/>
    <s v="NA"/>
    <s v="NA"/>
    <s v="NA"/>
    <s v="NA"/>
    <s v="NA"/>
    <s v="NA"/>
    <s v="NA"/>
  </r>
  <r>
    <s v="A1WKF2VH7TV0H2"/>
    <s v="english"/>
    <n v="22"/>
    <s v="female"/>
    <s v="train"/>
    <x v="1"/>
    <n v="12421"/>
    <n v="0"/>
    <n v="0"/>
    <n v="1"/>
    <n v="0"/>
    <s v="NA"/>
    <s v="NA"/>
    <s v="NA"/>
    <s v="NA"/>
    <s v="NA"/>
    <s v="NA"/>
    <s v="NA"/>
    <s v="NA"/>
    <s v="NA"/>
    <s v="NA"/>
    <s v="NA"/>
    <s v="NA"/>
    <s v="NA"/>
    <s v="NA"/>
    <s v="NA"/>
    <s v="NA"/>
    <s v="NA"/>
    <s v="NA"/>
    <s v="NA"/>
    <s v="NA"/>
  </r>
  <r>
    <s v="A1WKF2VH7TV0H2"/>
    <s v="english"/>
    <n v="22"/>
    <s v="female"/>
    <s v="train"/>
    <x v="2"/>
    <n v="14637"/>
    <n v="0"/>
    <n v="0"/>
    <n v="0"/>
    <n v="1"/>
    <s v="NA"/>
    <s v="NA"/>
    <s v="NA"/>
    <s v="NA"/>
    <s v="NA"/>
    <s v="NA"/>
    <s v="NA"/>
    <s v="NA"/>
    <s v="NA"/>
    <s v="NA"/>
    <s v="NA"/>
    <s v="NA"/>
    <s v="NA"/>
    <s v="NA"/>
    <s v="NA"/>
    <s v="NA"/>
    <s v="NA"/>
    <s v="NA"/>
    <s v="NA"/>
    <s v="NA"/>
  </r>
  <r>
    <s v="A1WKF2VH7TV0H2"/>
    <s v="english"/>
    <n v="22"/>
    <s v="female"/>
    <s v="test"/>
    <x v="4"/>
    <n v="13399"/>
    <n v="1"/>
    <n v="1"/>
    <n v="1"/>
    <n v="0"/>
    <s v="Dentists D and E."/>
    <s v="Dentist A."/>
    <s v="Dentists A, B, C, D and E."/>
    <s v="ms-l"/>
    <s v="mo-h"/>
    <s v="exh"/>
    <n v="1"/>
    <n v="1"/>
    <n v="0"/>
    <n v="0"/>
    <n v="1"/>
    <n v="0"/>
    <n v="1"/>
    <n v="1"/>
    <n v="1"/>
    <n v="0"/>
    <n v="0"/>
    <n v="1"/>
    <n v="0"/>
    <n v="0"/>
  </r>
  <r>
    <s v="A1WKF2VH7TV0H2"/>
    <s v="english"/>
    <n v="22"/>
    <s v="female"/>
    <s v="test"/>
    <x v="11"/>
    <n v="7786"/>
    <n v="1"/>
    <n v="1"/>
    <n v="1"/>
    <n v="0"/>
    <s v="Store A."/>
    <s v="Store E."/>
    <s v="Store F."/>
    <s v="mo-h"/>
    <s v="mo-l"/>
    <s v="fa"/>
    <n v="0"/>
    <n v="1"/>
    <n v="1"/>
    <n v="0"/>
    <n v="0"/>
    <n v="0"/>
    <n v="1"/>
    <n v="0"/>
    <n v="1"/>
    <n v="1"/>
    <n v="0"/>
    <n v="0"/>
    <n v="0"/>
    <n v="0"/>
  </r>
  <r>
    <s v="A1WKF2VH7TV0H2"/>
    <s v="english"/>
    <n v="22"/>
    <s v="female"/>
    <s v="control"/>
    <x v="10"/>
    <n v="16051"/>
    <n v="1"/>
    <n v="1"/>
    <n v="1"/>
    <n v="0"/>
    <s v="NA"/>
    <s v="NA"/>
    <s v="NA"/>
    <s v="NA"/>
    <s v="NA"/>
    <s v="NA"/>
    <s v="NA"/>
    <n v="1"/>
    <n v="1"/>
    <n v="0"/>
    <n v="0"/>
    <n v="0"/>
    <n v="1"/>
    <n v="0"/>
    <n v="1"/>
    <n v="1"/>
    <n v="0"/>
    <n v="0"/>
    <n v="0"/>
    <n v="0"/>
  </r>
  <r>
    <s v="A1WKF2VH7TV0H2"/>
    <s v="english"/>
    <n v="22"/>
    <s v="female"/>
    <s v="test"/>
    <x v="9"/>
    <n v="16402"/>
    <n v="0"/>
    <n v="1"/>
    <n v="1"/>
    <n v="0"/>
    <s v="Stalls D and E."/>
    <s v="Stall A."/>
    <s v="Stalls A and B."/>
    <s v="ms-l"/>
    <s v="mo-h"/>
    <s v="ms-h"/>
    <n v="0"/>
    <n v="1"/>
    <n v="0"/>
    <n v="1"/>
    <n v="1"/>
    <n v="0"/>
    <n v="1"/>
    <n v="0"/>
    <n v="1"/>
    <n v="0"/>
    <n v="1"/>
    <n v="0"/>
    <n v="0"/>
    <n v="0"/>
  </r>
  <r>
    <s v="A1WKF2VH7TV0H2"/>
    <s v="english"/>
    <n v="22"/>
    <s v="female"/>
    <s v="test"/>
    <x v="6"/>
    <n v="29700"/>
    <n v="0"/>
    <n v="1"/>
    <n v="0"/>
    <n v="0"/>
    <s v="Cafe F."/>
    <s v="Cafes A and B."/>
    <s v="Cafe E."/>
    <s v="fa"/>
    <s v="ms-h"/>
    <s v="mo-l"/>
    <n v="0"/>
    <n v="0"/>
    <n v="1"/>
    <n v="1"/>
    <n v="0"/>
    <n v="0"/>
    <n v="1"/>
    <n v="0"/>
    <n v="0"/>
    <n v="0"/>
    <n v="1"/>
    <n v="0"/>
    <n v="0"/>
    <n v="0"/>
  </r>
  <r>
    <s v="A1WKF2VH7TV0H2"/>
    <s v="english"/>
    <n v="22"/>
    <s v="female"/>
    <s v="control"/>
    <x v="7"/>
    <n v="5321"/>
    <n v="1"/>
    <n v="1"/>
    <n v="0"/>
    <n v="0"/>
    <s v="NA"/>
    <s v="NA"/>
    <s v="NA"/>
    <s v="NA"/>
    <s v="NA"/>
    <s v="NA"/>
    <s v="NA"/>
    <n v="0"/>
    <n v="1"/>
    <n v="1"/>
    <n v="0"/>
    <n v="0"/>
    <n v="1"/>
    <n v="0"/>
    <n v="0"/>
    <n v="0"/>
    <n v="1"/>
    <n v="0"/>
    <n v="0"/>
    <n v="0"/>
  </r>
  <r>
    <s v="A1WKF2VH7TV0H2"/>
    <s v="english"/>
    <n v="22"/>
    <s v="female"/>
    <s v="test"/>
    <x v="8"/>
    <n v="9980"/>
    <n v="0"/>
    <n v="1"/>
    <n v="1"/>
    <n v="0"/>
    <s v="Stylists D and E."/>
    <s v="Stylists A and B."/>
    <s v="Stylist A."/>
    <s v="ms-l"/>
    <s v="ms-h"/>
    <s v="mo-h"/>
    <n v="0"/>
    <n v="1"/>
    <n v="0"/>
    <n v="1"/>
    <n v="1"/>
    <n v="0"/>
    <n v="1"/>
    <n v="0"/>
    <n v="1"/>
    <n v="0"/>
    <n v="1"/>
    <n v="0"/>
    <n v="0"/>
    <n v="0"/>
  </r>
  <r>
    <s v="A1WKF2VH7TV0H2"/>
    <s v="english"/>
    <n v="22"/>
    <s v="female"/>
    <s v="control"/>
    <x v="12"/>
    <n v="10001"/>
    <n v="1"/>
    <n v="0"/>
    <n v="0"/>
    <n v="0"/>
    <s v="NA"/>
    <s v="NA"/>
    <s v="NA"/>
    <s v="NA"/>
    <s v="NA"/>
    <s v="NA"/>
    <s v="NA"/>
    <n v="1"/>
    <n v="0"/>
    <n v="1"/>
    <n v="1"/>
    <n v="0"/>
    <n v="1"/>
    <n v="0"/>
    <n v="1"/>
    <n v="0"/>
    <n v="1"/>
    <n v="0"/>
    <n v="0"/>
    <n v="0"/>
  </r>
  <r>
    <s v="A1WKF2VH7TV0H2"/>
    <s v="english"/>
    <n v="22"/>
    <s v="female"/>
    <s v="test"/>
    <x v="3"/>
    <n v="2810"/>
    <n v="0"/>
    <n v="0"/>
    <n v="1"/>
    <n v="0"/>
    <s v="Bookstores D and E."/>
    <s v="Bookstore E."/>
    <s v="Bookstore A."/>
    <s v="ms-l"/>
    <s v="mo-l"/>
    <s v="mo-h"/>
    <n v="0"/>
    <n v="1"/>
    <n v="1"/>
    <n v="0"/>
    <n v="1"/>
    <n v="0"/>
    <n v="1"/>
    <n v="0"/>
    <n v="1"/>
    <n v="0"/>
    <n v="0"/>
    <n v="0"/>
    <n v="0"/>
    <n v="0"/>
  </r>
  <r>
    <s v="A1WKF2VH7TV0H2"/>
    <s v="english"/>
    <n v="22"/>
    <s v="female"/>
    <s v="control"/>
    <x v="5"/>
    <n v="8993"/>
    <n v="0"/>
    <n v="0"/>
    <n v="0"/>
    <n v="1"/>
    <s v="NA"/>
    <s v="NA"/>
    <s v="NA"/>
    <s v="NA"/>
    <s v="NA"/>
    <s v="NA"/>
    <s v="NA"/>
    <n v="1"/>
    <n v="1"/>
    <n v="0"/>
    <n v="1"/>
    <n v="0"/>
    <n v="1"/>
    <n v="0"/>
    <n v="1"/>
    <n v="0"/>
    <n v="0"/>
    <n v="0"/>
    <n v="0"/>
    <n v="0"/>
  </r>
  <r>
    <s v="A1WKF2VH7TV0H2"/>
    <s v="english"/>
    <n v="22"/>
    <s v="female"/>
    <s v="exit_quest"/>
    <x v="0"/>
    <n v="20332"/>
    <s v="Yes%2C it's 2 different questions."/>
    <s v="No%2C because it's not hard."/>
    <s v="No."/>
    <s v="NA"/>
    <s v="NA"/>
    <s v="NA"/>
    <s v="NA"/>
    <s v="NA"/>
    <s v="NA"/>
    <s v="NA"/>
    <s v="NA"/>
    <s v="NA"/>
    <s v="NA"/>
    <s v="NA"/>
    <s v="NA"/>
    <s v="NA"/>
    <s v="NA"/>
    <s v="NA"/>
    <s v="NA"/>
    <s v="NA"/>
    <s v="NA"/>
    <s v="NA"/>
    <s v="NA"/>
    <s v="NA"/>
  </r>
  <r>
    <s v="ADUACF4TW5833"/>
    <s v="english"/>
    <n v="28"/>
    <s v="male"/>
    <s v="consent"/>
    <x v="0"/>
    <n v="38642"/>
    <s v="NA"/>
    <s v="NA"/>
    <s v="NA"/>
    <s v="NA"/>
    <s v="NA"/>
    <s v="NA"/>
    <s v="NA"/>
    <s v="NA"/>
    <s v="NA"/>
    <s v="NA"/>
    <s v="NA"/>
    <s v="NA"/>
    <s v="NA"/>
    <s v="NA"/>
    <s v="NA"/>
    <s v="NA"/>
    <s v="NA"/>
    <s v="NA"/>
    <s v="NA"/>
    <s v="NA"/>
    <s v="NA"/>
    <s v="NA"/>
    <s v="NA"/>
    <s v="NA"/>
  </r>
  <r>
    <s v="ADUACF4TW5833"/>
    <s v="english"/>
    <n v="28"/>
    <s v="male"/>
    <s v="train"/>
    <x v="1"/>
    <n v="7892"/>
    <n v="1"/>
    <n v="0"/>
    <n v="0"/>
    <n v="0"/>
    <s v="NA"/>
    <s v="NA"/>
    <s v="NA"/>
    <s v="NA"/>
    <s v="NA"/>
    <s v="NA"/>
    <s v="NA"/>
    <s v="NA"/>
    <s v="NA"/>
    <s v="NA"/>
    <s v="NA"/>
    <s v="NA"/>
    <s v="NA"/>
    <s v="NA"/>
    <s v="NA"/>
    <s v="NA"/>
    <s v="NA"/>
    <s v="NA"/>
    <s v="NA"/>
    <s v="NA"/>
  </r>
  <r>
    <s v="ADUACF4TW5833"/>
    <s v="english"/>
    <n v="28"/>
    <s v="male"/>
    <s v="train"/>
    <x v="2"/>
    <n v="4194"/>
    <n v="1"/>
    <n v="0"/>
    <n v="0"/>
    <n v="0"/>
    <s v="NA"/>
    <s v="NA"/>
    <s v="NA"/>
    <s v="NA"/>
    <s v="NA"/>
    <s v="NA"/>
    <s v="NA"/>
    <s v="NA"/>
    <s v="NA"/>
    <s v="NA"/>
    <s v="NA"/>
    <s v="NA"/>
    <s v="NA"/>
    <s v="NA"/>
    <s v="NA"/>
    <s v="NA"/>
    <s v="NA"/>
    <s v="NA"/>
    <s v="NA"/>
    <s v="NA"/>
  </r>
  <r>
    <s v="ADUACF4TW5833"/>
    <s v="english"/>
    <n v="28"/>
    <s v="male"/>
    <s v="test"/>
    <x v="4"/>
    <n v="5956"/>
    <n v="0"/>
    <n v="0"/>
    <n v="1"/>
    <n v="0"/>
    <s v="Dentists A, B, C, D and E."/>
    <s v="Dentists D and E."/>
    <s v="Dentist A."/>
    <s v="exh"/>
    <s v="ms-l"/>
    <s v="mo-h"/>
    <n v="1"/>
    <n v="1"/>
    <n v="0"/>
    <n v="0"/>
    <n v="1"/>
    <n v="0"/>
    <n v="1"/>
    <n v="0"/>
    <n v="1"/>
    <n v="0"/>
    <n v="0"/>
    <n v="0"/>
    <n v="0"/>
    <n v="0"/>
  </r>
  <r>
    <s v="ADUACF4TW5833"/>
    <s v="english"/>
    <n v="28"/>
    <s v="male"/>
    <s v="test"/>
    <x v="6"/>
    <n v="3661"/>
    <n v="1"/>
    <n v="0"/>
    <n v="0"/>
    <n v="0"/>
    <s v="Cafes D and E."/>
    <s v="Cafe E."/>
    <s v="Cafes A and B."/>
    <s v="ms-l"/>
    <s v="mo-l"/>
    <s v="ms-h"/>
    <n v="0"/>
    <n v="0"/>
    <n v="1"/>
    <n v="1"/>
    <n v="1"/>
    <n v="0"/>
    <n v="1"/>
    <n v="0"/>
    <n v="0"/>
    <n v="0"/>
    <n v="0"/>
    <n v="1"/>
    <n v="0"/>
    <n v="0"/>
  </r>
  <r>
    <s v="ADUACF4TW5833"/>
    <s v="english"/>
    <n v="28"/>
    <s v="male"/>
    <s v="control"/>
    <x v="7"/>
    <n v="2951"/>
    <n v="0"/>
    <n v="0"/>
    <n v="0"/>
    <n v="0"/>
    <s v="NA"/>
    <s v="NA"/>
    <s v="NA"/>
    <s v="NA"/>
    <s v="NA"/>
    <s v="NA"/>
    <s v="NA"/>
    <n v="0"/>
    <n v="1"/>
    <n v="1"/>
    <n v="1"/>
    <n v="0"/>
    <n v="1"/>
    <n v="0"/>
    <n v="0"/>
    <n v="0"/>
    <n v="0"/>
    <n v="1"/>
    <n v="0"/>
    <n v="0"/>
  </r>
  <r>
    <s v="ADUACF4TW5833"/>
    <s v="english"/>
    <n v="28"/>
    <s v="male"/>
    <s v="test"/>
    <x v="11"/>
    <n v="8286"/>
    <n v="1"/>
    <n v="0"/>
    <n v="0"/>
    <n v="0"/>
    <s v="Store A."/>
    <s v="Store F."/>
    <s v="Store E."/>
    <s v="mo-h"/>
    <s v="fa"/>
    <s v="mo-l"/>
    <n v="0"/>
    <n v="1"/>
    <n v="1"/>
    <n v="0"/>
    <n v="0"/>
    <n v="0"/>
    <n v="1"/>
    <n v="0"/>
    <n v="1"/>
    <n v="0"/>
    <n v="0"/>
    <n v="0"/>
    <n v="0"/>
    <n v="0"/>
  </r>
  <r>
    <s v="ADUACF4TW5833"/>
    <s v="english"/>
    <n v="28"/>
    <s v="male"/>
    <s v="control"/>
    <x v="10"/>
    <n v="2520"/>
    <n v="1"/>
    <n v="0"/>
    <n v="0"/>
    <n v="0"/>
    <s v="NA"/>
    <s v="NA"/>
    <s v="NA"/>
    <s v="NA"/>
    <s v="NA"/>
    <s v="NA"/>
    <s v="NA"/>
    <n v="1"/>
    <n v="1"/>
    <n v="0"/>
    <n v="0"/>
    <n v="0"/>
    <n v="1"/>
    <n v="0"/>
    <n v="1"/>
    <n v="0"/>
    <n v="0"/>
    <n v="0"/>
    <n v="0"/>
    <n v="0"/>
  </r>
  <r>
    <s v="ADUACF4TW5833"/>
    <s v="english"/>
    <n v="28"/>
    <s v="male"/>
    <s v="test"/>
    <x v="3"/>
    <n v="4266"/>
    <n v="1"/>
    <n v="0"/>
    <n v="0"/>
    <n v="0"/>
    <s v="Bookstores A, B, C, D and E."/>
    <s v="Bookstore A."/>
    <s v="Bookstores A and B."/>
    <s v="exh"/>
    <s v="mo-h"/>
    <s v="ms-h"/>
    <n v="1"/>
    <n v="1"/>
    <n v="0"/>
    <n v="1"/>
    <n v="0"/>
    <n v="0"/>
    <n v="1"/>
    <n v="1"/>
    <n v="0"/>
    <n v="0"/>
    <n v="0"/>
    <n v="0"/>
    <n v="0"/>
    <n v="0"/>
  </r>
  <r>
    <s v="ADUACF4TW5833"/>
    <s v="english"/>
    <n v="28"/>
    <s v="male"/>
    <s v="test"/>
    <x v="8"/>
    <n v="3726"/>
    <n v="1"/>
    <n v="0"/>
    <n v="0"/>
    <n v="0"/>
    <s v="Stylists D and E."/>
    <s v="Stylists A, B, C, D and E."/>
    <s v="Stylist A."/>
    <s v="ms-l"/>
    <s v="exh"/>
    <s v="mo-h"/>
    <n v="1"/>
    <n v="1"/>
    <n v="0"/>
    <n v="0"/>
    <n v="1"/>
    <n v="0"/>
    <n v="1"/>
    <n v="0"/>
    <n v="0"/>
    <n v="0"/>
    <n v="0"/>
    <n v="1"/>
    <n v="0"/>
    <n v="0"/>
  </r>
  <r>
    <s v="ADUACF4TW5833"/>
    <s v="english"/>
    <n v="28"/>
    <s v="male"/>
    <s v="control"/>
    <x v="12"/>
    <n v="2968"/>
    <n v="1"/>
    <n v="0"/>
    <n v="0"/>
    <n v="0"/>
    <s v="NA"/>
    <s v="NA"/>
    <s v="NA"/>
    <s v="NA"/>
    <s v="NA"/>
    <s v="NA"/>
    <s v="NA"/>
    <n v="1"/>
    <n v="0"/>
    <n v="0"/>
    <n v="1"/>
    <n v="0"/>
    <n v="1"/>
    <n v="0"/>
    <n v="0"/>
    <n v="0"/>
    <n v="0"/>
    <n v="1"/>
    <n v="0"/>
    <n v="0"/>
  </r>
  <r>
    <s v="ADUACF4TW5833"/>
    <s v="english"/>
    <n v="28"/>
    <s v="male"/>
    <s v="test"/>
    <x v="9"/>
    <n v="3738"/>
    <n v="1"/>
    <n v="0"/>
    <n v="0"/>
    <n v="0"/>
    <s v="Stalls D and E."/>
    <s v="Stall E."/>
    <s v="Stalls A, B, C, D and E."/>
    <s v="ms-l"/>
    <s v="mo-l"/>
    <s v="exh"/>
    <n v="1"/>
    <n v="0"/>
    <n v="1"/>
    <n v="0"/>
    <n v="1"/>
    <n v="0"/>
    <n v="1"/>
    <n v="0"/>
    <n v="0"/>
    <n v="0"/>
    <n v="0"/>
    <n v="1"/>
    <n v="0"/>
    <n v="0"/>
  </r>
  <r>
    <s v="ADUACF4TW5833"/>
    <s v="english"/>
    <n v="28"/>
    <s v="male"/>
    <s v="control"/>
    <x v="5"/>
    <n v="2177"/>
    <n v="1"/>
    <n v="0"/>
    <n v="0"/>
    <n v="0"/>
    <s v="NA"/>
    <s v="NA"/>
    <s v="NA"/>
    <s v="NA"/>
    <s v="NA"/>
    <s v="NA"/>
    <s v="NA"/>
    <n v="0"/>
    <n v="1"/>
    <n v="0"/>
    <n v="1"/>
    <n v="0"/>
    <n v="1"/>
    <n v="0"/>
    <n v="0"/>
    <n v="0"/>
    <n v="0"/>
    <n v="1"/>
    <n v="0"/>
    <n v="0"/>
  </r>
  <r>
    <s v="ADUACF4TW5833"/>
    <s v="english"/>
    <n v="28"/>
    <s v="male"/>
    <s v="exit_quest"/>
    <x v="0"/>
    <n v="116004"/>
    <s v="Best Sunday Brunch in Mumbai Menu%2C Photos"/>
    <s v="small bites are served on cocktail sticks."/>
    <s v="Here are the places to have brunch"/>
    <s v="NA"/>
    <s v="NA"/>
    <s v="NA"/>
    <s v="NA"/>
    <s v="NA"/>
    <s v="NA"/>
    <s v="NA"/>
    <s v="NA"/>
    <s v="NA"/>
    <s v="NA"/>
    <s v="NA"/>
    <s v="NA"/>
    <s v="NA"/>
    <s v="NA"/>
    <s v="NA"/>
    <s v="NA"/>
    <s v="NA"/>
    <s v="NA"/>
    <s v="NA"/>
    <s v="NA"/>
    <s v="NA"/>
  </r>
  <r>
    <s v="ABZ1LM3J8REE6"/>
    <s v="english"/>
    <n v="58"/>
    <s v="male"/>
    <s v="consent"/>
    <x v="0"/>
    <n v="41002"/>
    <s v="NA"/>
    <s v="NA"/>
    <s v="NA"/>
    <s v="NA"/>
    <s v="NA"/>
    <s v="NA"/>
    <s v="NA"/>
    <s v="NA"/>
    <s v="NA"/>
    <s v="NA"/>
    <s v="NA"/>
    <s v="NA"/>
    <s v="NA"/>
    <s v="NA"/>
    <s v="NA"/>
    <s v="NA"/>
    <s v="NA"/>
    <s v="NA"/>
    <s v="NA"/>
    <s v="NA"/>
    <s v="NA"/>
    <s v="NA"/>
    <s v="NA"/>
    <s v="NA"/>
  </r>
  <r>
    <s v="ABZ1LM3J8REE6"/>
    <s v="english"/>
    <n v="58"/>
    <s v="male"/>
    <s v="train"/>
    <x v="2"/>
    <n v="14755"/>
    <n v="1"/>
    <n v="0"/>
    <n v="0"/>
    <n v="0"/>
    <s v="NA"/>
    <s v="NA"/>
    <s v="NA"/>
    <s v="NA"/>
    <s v="NA"/>
    <s v="NA"/>
    <s v="NA"/>
    <s v="NA"/>
    <s v="NA"/>
    <s v="NA"/>
    <s v="NA"/>
    <s v="NA"/>
    <s v="NA"/>
    <s v="NA"/>
    <s v="NA"/>
    <s v="NA"/>
    <s v="NA"/>
    <s v="NA"/>
    <s v="NA"/>
    <s v="NA"/>
  </r>
  <r>
    <s v="ABZ1LM3J8REE6"/>
    <s v="english"/>
    <n v="58"/>
    <s v="male"/>
    <s v="train"/>
    <x v="1"/>
    <n v="15940"/>
    <n v="1"/>
    <n v="0"/>
    <n v="0"/>
    <n v="0"/>
    <s v="NA"/>
    <s v="NA"/>
    <s v="NA"/>
    <s v="NA"/>
    <s v="NA"/>
    <s v="NA"/>
    <s v="NA"/>
    <s v="NA"/>
    <s v="NA"/>
    <s v="NA"/>
    <s v="NA"/>
    <s v="NA"/>
    <s v="NA"/>
    <s v="NA"/>
    <s v="NA"/>
    <s v="NA"/>
    <s v="NA"/>
    <s v="NA"/>
    <s v="NA"/>
    <s v="NA"/>
  </r>
  <r>
    <s v="ABZ1LM3J8REE6"/>
    <s v="english"/>
    <n v="58"/>
    <s v="male"/>
    <s v="test"/>
    <x v="11"/>
    <n v="14414"/>
    <n v="0"/>
    <n v="1"/>
    <n v="0"/>
    <n v="0"/>
    <s v="Stores A, B, C, D and E."/>
    <s v="Store A."/>
    <s v="Store E."/>
    <s v="exh"/>
    <s v="mo-h"/>
    <s v="mo-l"/>
    <n v="1"/>
    <n v="1"/>
    <n v="1"/>
    <n v="0"/>
    <n v="0"/>
    <n v="0"/>
    <n v="1"/>
    <n v="0"/>
    <n v="1"/>
    <n v="0"/>
    <n v="0"/>
    <n v="0"/>
    <n v="0"/>
    <n v="0"/>
  </r>
  <r>
    <s v="ABZ1LM3J8REE6"/>
    <s v="english"/>
    <n v="58"/>
    <s v="male"/>
    <s v="control"/>
    <x v="7"/>
    <n v="29365"/>
    <n v="1"/>
    <n v="1"/>
    <n v="1"/>
    <n v="1"/>
    <s v="NA"/>
    <s v="NA"/>
    <s v="NA"/>
    <s v="NA"/>
    <s v="NA"/>
    <s v="NA"/>
    <s v="NA"/>
    <n v="1"/>
    <n v="1"/>
    <n v="0"/>
    <n v="0"/>
    <n v="0"/>
    <n v="1"/>
    <n v="0"/>
    <n v="1"/>
    <n v="0"/>
    <n v="0"/>
    <n v="0"/>
    <n v="0"/>
    <n v="0"/>
  </r>
  <r>
    <s v="ABZ1LM3J8REE6"/>
    <s v="english"/>
    <n v="58"/>
    <s v="male"/>
    <s v="test"/>
    <x v="6"/>
    <n v="9687"/>
    <n v="0"/>
    <n v="0"/>
    <n v="0"/>
    <n v="0"/>
    <s v="Cafes D and E."/>
    <s v="Cafe A."/>
    <s v="Cafe E."/>
    <s v="ms-l"/>
    <s v="mo-h"/>
    <s v="mo-l"/>
    <n v="0"/>
    <n v="1"/>
    <n v="1"/>
    <n v="0"/>
    <n v="1"/>
    <n v="0"/>
    <n v="1"/>
    <n v="0"/>
    <n v="0"/>
    <n v="0"/>
    <n v="0"/>
    <n v="0"/>
    <n v="0"/>
    <n v="0"/>
  </r>
  <r>
    <s v="ABZ1LM3J8REE6"/>
    <s v="english"/>
    <n v="58"/>
    <s v="male"/>
    <s v="test"/>
    <x v="4"/>
    <n v="9434"/>
    <n v="0"/>
    <n v="0"/>
    <n v="1"/>
    <n v="0"/>
    <s v="Dentists A and B."/>
    <s v="Dentist E."/>
    <s v="Dentists D and E."/>
    <s v="ms-h"/>
    <s v="mo-l"/>
    <s v="ms-l"/>
    <n v="0"/>
    <n v="0"/>
    <n v="1"/>
    <n v="1"/>
    <n v="1"/>
    <n v="0"/>
    <n v="1"/>
    <n v="0"/>
    <n v="0"/>
    <n v="0"/>
    <n v="0"/>
    <n v="1"/>
    <n v="0"/>
    <n v="0"/>
  </r>
  <r>
    <s v="ABZ1LM3J8REE6"/>
    <s v="english"/>
    <n v="58"/>
    <s v="male"/>
    <s v="control"/>
    <x v="12"/>
    <n v="5580"/>
    <n v="1"/>
    <n v="0"/>
    <n v="0"/>
    <n v="0"/>
    <s v="NA"/>
    <s v="NA"/>
    <s v="NA"/>
    <s v="NA"/>
    <s v="NA"/>
    <s v="NA"/>
    <s v="NA"/>
    <n v="0"/>
    <n v="1"/>
    <n v="1"/>
    <n v="1"/>
    <n v="0"/>
    <n v="1"/>
    <n v="0"/>
    <n v="0"/>
    <n v="0"/>
    <n v="0"/>
    <n v="1"/>
    <n v="0"/>
    <n v="0"/>
  </r>
  <r>
    <s v="ABZ1LM3J8REE6"/>
    <s v="english"/>
    <n v="58"/>
    <s v="male"/>
    <s v="test"/>
    <x v="3"/>
    <n v="8792"/>
    <n v="0"/>
    <n v="1"/>
    <n v="0"/>
    <n v="0"/>
    <s v="Bookstores A and B."/>
    <s v="Bookstore E."/>
    <s v="Bookstore A."/>
    <s v="ms-h"/>
    <s v="mo-l"/>
    <s v="mo-h"/>
    <n v="0"/>
    <n v="1"/>
    <n v="1"/>
    <n v="1"/>
    <n v="0"/>
    <n v="0"/>
    <n v="1"/>
    <n v="0"/>
    <n v="0"/>
    <n v="1"/>
    <n v="0"/>
    <n v="0"/>
    <n v="0"/>
    <n v="0"/>
  </r>
  <r>
    <s v="ABZ1LM3J8REE6"/>
    <s v="english"/>
    <n v="58"/>
    <s v="male"/>
    <s v="control"/>
    <x v="10"/>
    <n v="12728"/>
    <n v="1"/>
    <n v="1"/>
    <n v="1"/>
    <n v="1"/>
    <s v="NA"/>
    <s v="NA"/>
    <s v="NA"/>
    <s v="NA"/>
    <s v="NA"/>
    <s v="NA"/>
    <s v="NA"/>
    <n v="1"/>
    <n v="1"/>
    <n v="1"/>
    <n v="0"/>
    <n v="0"/>
    <n v="1"/>
    <n v="0"/>
    <n v="0"/>
    <n v="1"/>
    <n v="0"/>
    <n v="0"/>
    <n v="0"/>
    <n v="0"/>
  </r>
  <r>
    <s v="ABZ1LM3J8REE6"/>
    <s v="english"/>
    <n v="58"/>
    <s v="male"/>
    <s v="test"/>
    <x v="8"/>
    <n v="11206"/>
    <n v="1"/>
    <n v="1"/>
    <n v="1"/>
    <n v="0"/>
    <s v="Stylist E."/>
    <s v="Stylists A and B."/>
    <s v="Stylists A, B, C, D and E."/>
    <s v="mo-l"/>
    <s v="ms-h"/>
    <s v="exh"/>
    <n v="1"/>
    <n v="0"/>
    <n v="1"/>
    <n v="1"/>
    <n v="0"/>
    <n v="0"/>
    <n v="1"/>
    <n v="1"/>
    <n v="0"/>
    <n v="1"/>
    <n v="1"/>
    <n v="0"/>
    <n v="0"/>
    <n v="0"/>
  </r>
  <r>
    <s v="ABZ1LM3J8REE6"/>
    <s v="english"/>
    <n v="58"/>
    <s v="male"/>
    <s v="test"/>
    <x v="9"/>
    <n v="9360"/>
    <n v="1"/>
    <n v="1"/>
    <n v="1"/>
    <n v="0"/>
    <s v="Stall F."/>
    <s v="Stalls A, B, C, D and E."/>
    <s v="Stalls D and E."/>
    <s v="fa"/>
    <s v="exh"/>
    <s v="ms-l"/>
    <n v="1"/>
    <n v="0"/>
    <n v="0"/>
    <n v="0"/>
    <n v="1"/>
    <n v="0"/>
    <n v="1"/>
    <n v="1"/>
    <n v="0"/>
    <n v="0"/>
    <n v="0"/>
    <n v="1"/>
    <n v="0"/>
    <n v="0"/>
  </r>
  <r>
    <s v="ABZ1LM3J8REE6"/>
    <s v="english"/>
    <n v="58"/>
    <s v="male"/>
    <s v="control"/>
    <x v="5"/>
    <n v="5436"/>
    <n v="0"/>
    <n v="1"/>
    <n v="0"/>
    <n v="0"/>
    <s v="NA"/>
    <s v="NA"/>
    <s v="NA"/>
    <s v="NA"/>
    <s v="NA"/>
    <s v="NA"/>
    <s v="NA"/>
    <n v="0"/>
    <n v="0"/>
    <n v="0"/>
    <n v="1"/>
    <n v="0"/>
    <n v="1"/>
    <n v="1"/>
    <n v="0"/>
    <n v="0"/>
    <n v="0"/>
    <n v="1"/>
    <n v="0"/>
    <n v="0"/>
  </r>
  <r>
    <s v="ABZ1LM3J8REE6"/>
    <s v="english"/>
    <n v="58"/>
    <s v="male"/>
    <s v="exit_quest"/>
    <x v="0"/>
    <n v="87111"/>
    <s v="the quality is good"/>
    <s v="no because is an knowledgeable task"/>
    <s v="good"/>
    <s v="NA"/>
    <s v="NA"/>
    <s v="NA"/>
    <s v="NA"/>
    <s v="NA"/>
    <s v="NA"/>
    <s v="NA"/>
    <s v="NA"/>
    <s v="NA"/>
    <s v="NA"/>
    <s v="NA"/>
    <s v="NA"/>
    <s v="NA"/>
    <s v="NA"/>
    <s v="NA"/>
    <s v="NA"/>
    <s v="NA"/>
    <s v="NA"/>
    <s v="NA"/>
    <s v="NA"/>
    <s v="NA"/>
  </r>
  <r>
    <s v="A1WL6K3EUA2WOX"/>
    <s v="english"/>
    <n v="72"/>
    <s v="male"/>
    <s v="consent"/>
    <x v="0"/>
    <n v="24087"/>
    <s v="NA"/>
    <s v="NA"/>
    <s v="NA"/>
    <s v="NA"/>
    <s v="NA"/>
    <s v="NA"/>
    <s v="NA"/>
    <s v="NA"/>
    <s v="NA"/>
    <s v="NA"/>
    <s v="NA"/>
    <s v="NA"/>
    <s v="NA"/>
    <s v="NA"/>
    <s v="NA"/>
    <s v="NA"/>
    <s v="NA"/>
    <s v="NA"/>
    <s v="NA"/>
    <s v="NA"/>
    <s v="NA"/>
    <s v="NA"/>
    <s v="NA"/>
    <s v="NA"/>
  </r>
  <r>
    <s v="A1WL6K3EUA2WOX"/>
    <s v="english"/>
    <n v="72"/>
    <s v="male"/>
    <s v="train"/>
    <x v="1"/>
    <n v="48521"/>
    <n v="1"/>
    <n v="1"/>
    <n v="1"/>
    <n v="1"/>
    <s v="NA"/>
    <s v="NA"/>
    <s v="NA"/>
    <s v="NA"/>
    <s v="NA"/>
    <s v="NA"/>
    <s v="NA"/>
    <s v="NA"/>
    <s v="NA"/>
    <s v="NA"/>
    <s v="NA"/>
    <s v="NA"/>
    <s v="NA"/>
    <s v="NA"/>
    <s v="NA"/>
    <s v="NA"/>
    <s v="NA"/>
    <s v="NA"/>
    <s v="NA"/>
    <s v="NA"/>
  </r>
  <r>
    <s v="A1WL6K3EUA2WOX"/>
    <s v="english"/>
    <n v="72"/>
    <s v="male"/>
    <s v="train"/>
    <x v="2"/>
    <n v="10292"/>
    <n v="1"/>
    <n v="1"/>
    <n v="1"/>
    <n v="1"/>
    <s v="NA"/>
    <s v="NA"/>
    <s v="NA"/>
    <s v="NA"/>
    <s v="NA"/>
    <s v="NA"/>
    <s v="NA"/>
    <s v="NA"/>
    <s v="NA"/>
    <s v="NA"/>
    <s v="NA"/>
    <s v="NA"/>
    <s v="NA"/>
    <s v="NA"/>
    <s v="NA"/>
    <s v="NA"/>
    <s v="NA"/>
    <s v="NA"/>
    <s v="NA"/>
    <s v="NA"/>
  </r>
  <r>
    <s v="A1WL6K3EUA2WOX"/>
    <s v="english"/>
    <n v="72"/>
    <s v="male"/>
    <s v="test"/>
    <x v="11"/>
    <n v="10261"/>
    <n v="1"/>
    <n v="1"/>
    <n v="1"/>
    <n v="0"/>
    <s v="Store E."/>
    <s v="Stores D and E."/>
    <s v="Stores A, B, C, D and E."/>
    <s v="mo-l"/>
    <s v="ms-l"/>
    <s v="exh"/>
    <n v="1"/>
    <n v="0"/>
    <n v="1"/>
    <n v="0"/>
    <n v="1"/>
    <n v="0"/>
    <n v="1"/>
    <n v="1"/>
    <n v="0"/>
    <n v="1"/>
    <n v="0"/>
    <n v="1"/>
    <n v="0"/>
    <n v="0"/>
  </r>
  <r>
    <s v="A1WL6K3EUA2WOX"/>
    <s v="english"/>
    <n v="72"/>
    <s v="male"/>
    <s v="test"/>
    <x v="8"/>
    <n v="7855"/>
    <n v="1"/>
    <n v="1"/>
    <n v="1"/>
    <n v="0"/>
    <s v="Stylist E."/>
    <s v="Stylist F."/>
    <s v="Stylists D and E."/>
    <s v="mo-l"/>
    <s v="fa"/>
    <s v="ms-l"/>
    <n v="0"/>
    <n v="0"/>
    <n v="1"/>
    <n v="0"/>
    <n v="1"/>
    <n v="0"/>
    <n v="1"/>
    <n v="0"/>
    <n v="0"/>
    <n v="1"/>
    <n v="0"/>
    <n v="1"/>
    <n v="0"/>
    <n v="0"/>
  </r>
  <r>
    <s v="A1WL6K3EUA2WOX"/>
    <s v="english"/>
    <n v="72"/>
    <s v="male"/>
    <s v="control"/>
    <x v="7"/>
    <n v="6078"/>
    <n v="1"/>
    <n v="1"/>
    <n v="1"/>
    <n v="0"/>
    <s v="NA"/>
    <s v="NA"/>
    <s v="NA"/>
    <s v="NA"/>
    <s v="NA"/>
    <s v="NA"/>
    <s v="NA"/>
    <n v="0"/>
    <n v="1"/>
    <n v="0"/>
    <n v="1"/>
    <n v="0"/>
    <n v="1"/>
    <n v="0"/>
    <n v="0"/>
    <n v="1"/>
    <n v="0"/>
    <n v="1"/>
    <n v="0"/>
    <n v="0"/>
  </r>
  <r>
    <s v="A1WL6K3EUA2WOX"/>
    <s v="english"/>
    <n v="72"/>
    <s v="male"/>
    <s v="test"/>
    <x v="9"/>
    <n v="5102"/>
    <n v="1"/>
    <n v="1"/>
    <n v="1"/>
    <n v="0"/>
    <s v="Stalls A, B, C, D and E."/>
    <s v="Stall E."/>
    <s v="Stalls D and E."/>
    <s v="exh"/>
    <s v="mo-l"/>
    <s v="ms-l"/>
    <n v="1"/>
    <n v="0"/>
    <n v="1"/>
    <n v="0"/>
    <n v="1"/>
    <n v="0"/>
    <n v="1"/>
    <n v="1"/>
    <n v="0"/>
    <n v="1"/>
    <n v="0"/>
    <n v="1"/>
    <n v="0"/>
    <n v="0"/>
  </r>
  <r>
    <s v="A1WL6K3EUA2WOX"/>
    <s v="english"/>
    <n v="72"/>
    <s v="male"/>
    <s v="test"/>
    <x v="3"/>
    <n v="5806"/>
    <n v="1"/>
    <n v="1"/>
    <n v="1"/>
    <n v="0"/>
    <s v="Bookstores A and B."/>
    <s v="Bookstores D and E."/>
    <s v="Bookstore E."/>
    <s v="ms-h"/>
    <s v="ms-l"/>
    <s v="mo-l"/>
    <n v="0"/>
    <n v="0"/>
    <n v="1"/>
    <n v="1"/>
    <n v="1"/>
    <n v="0"/>
    <n v="1"/>
    <n v="0"/>
    <n v="0"/>
    <n v="1"/>
    <n v="1"/>
    <n v="1"/>
    <n v="0"/>
    <n v="0"/>
  </r>
  <r>
    <s v="A1WL6K3EUA2WOX"/>
    <s v="english"/>
    <n v="72"/>
    <s v="male"/>
    <s v="control"/>
    <x v="5"/>
    <n v="32986"/>
    <n v="0"/>
    <n v="1"/>
    <n v="0"/>
    <n v="0"/>
    <s v="NA"/>
    <s v="NA"/>
    <s v="NA"/>
    <s v="NA"/>
    <s v="NA"/>
    <s v="NA"/>
    <s v="NA"/>
    <n v="0"/>
    <n v="1"/>
    <n v="1"/>
    <n v="1"/>
    <n v="0"/>
    <n v="1"/>
    <n v="0"/>
    <n v="0"/>
    <n v="1"/>
    <n v="1"/>
    <n v="1"/>
    <n v="0"/>
    <n v="0"/>
  </r>
  <r>
    <s v="A1WL6K3EUA2WOX"/>
    <s v="english"/>
    <n v="72"/>
    <s v="male"/>
    <s v="test"/>
    <x v="6"/>
    <n v="6180"/>
    <n v="1"/>
    <n v="1"/>
    <n v="1"/>
    <n v="0"/>
    <s v="Cafe A."/>
    <s v="Cafe E."/>
    <s v="Cafes D and E."/>
    <s v="mo-h"/>
    <s v="mo-l"/>
    <s v="ms-l"/>
    <n v="0"/>
    <n v="1"/>
    <n v="1"/>
    <n v="0"/>
    <n v="1"/>
    <n v="0"/>
    <n v="1"/>
    <n v="0"/>
    <n v="1"/>
    <n v="1"/>
    <n v="0"/>
    <n v="1"/>
    <n v="0"/>
    <n v="0"/>
  </r>
  <r>
    <s v="A1WL6K3EUA2WOX"/>
    <s v="english"/>
    <n v="72"/>
    <s v="male"/>
    <s v="control"/>
    <x v="10"/>
    <n v="5060"/>
    <n v="1"/>
    <n v="1"/>
    <n v="1"/>
    <n v="0"/>
    <s v="NA"/>
    <s v="NA"/>
    <s v="NA"/>
    <s v="NA"/>
    <s v="NA"/>
    <s v="NA"/>
    <s v="NA"/>
    <n v="1"/>
    <n v="1"/>
    <n v="0"/>
    <n v="1"/>
    <n v="0"/>
    <n v="1"/>
    <n v="0"/>
    <n v="1"/>
    <n v="1"/>
    <n v="0"/>
    <n v="1"/>
    <n v="0"/>
    <n v="0"/>
  </r>
  <r>
    <s v="A1WL6K3EUA2WOX"/>
    <s v="english"/>
    <n v="72"/>
    <s v="male"/>
    <s v="test"/>
    <x v="4"/>
    <n v="7998"/>
    <n v="1"/>
    <n v="1"/>
    <n v="1"/>
    <n v="0"/>
    <s v="Dentist A."/>
    <s v="Dentists A, B, C, D and E."/>
    <s v="Dentists A and B."/>
    <s v="mo-h"/>
    <s v="exh"/>
    <s v="ms-h"/>
    <n v="1"/>
    <n v="1"/>
    <n v="0"/>
    <n v="1"/>
    <n v="0"/>
    <n v="0"/>
    <n v="1"/>
    <n v="1"/>
    <n v="1"/>
    <n v="0"/>
    <n v="1"/>
    <n v="0"/>
    <n v="0"/>
    <n v="0"/>
  </r>
  <r>
    <s v="A1WL6K3EUA2WOX"/>
    <s v="english"/>
    <n v="72"/>
    <s v="male"/>
    <s v="control"/>
    <x v="12"/>
    <n v="5336"/>
    <n v="1"/>
    <n v="1"/>
    <n v="1"/>
    <n v="0"/>
    <s v="NA"/>
    <s v="NA"/>
    <s v="NA"/>
    <s v="NA"/>
    <s v="NA"/>
    <s v="NA"/>
    <s v="NA"/>
    <n v="1"/>
    <n v="0"/>
    <n v="1"/>
    <n v="0"/>
    <n v="0"/>
    <n v="1"/>
    <n v="1"/>
    <n v="1"/>
    <n v="0"/>
    <n v="1"/>
    <n v="0"/>
    <n v="0"/>
    <n v="0"/>
  </r>
  <r>
    <s v="A1WL6K3EUA2WOX"/>
    <s v="english"/>
    <n v="72"/>
    <s v="male"/>
    <s v="exit_quest"/>
    <x v="0"/>
    <n v="49188"/>
    <s v="SHE SAYS GO FOR THE TOWN"/>
    <s v="no"/>
    <s v="NICE TASK"/>
    <s v="NA"/>
    <s v="NA"/>
    <s v="NA"/>
    <s v="NA"/>
    <s v="NA"/>
    <s v="NA"/>
    <s v="NA"/>
    <s v="NA"/>
    <s v="NA"/>
    <s v="NA"/>
    <s v="NA"/>
    <s v="NA"/>
    <s v="NA"/>
    <s v="NA"/>
    <s v="NA"/>
    <s v="NA"/>
    <s v="NA"/>
    <s v="NA"/>
    <s v="NA"/>
    <s v="NA"/>
    <s v="NA"/>
  </r>
  <r>
    <s v="A2APHZ2KOI1MPI"/>
    <s v="english"/>
    <n v="51"/>
    <s v="male"/>
    <s v="consent"/>
    <x v="0"/>
    <n v="41911"/>
    <s v="NA"/>
    <s v="NA"/>
    <s v="NA"/>
    <s v="NA"/>
    <s v="NA"/>
    <s v="NA"/>
    <s v="NA"/>
    <s v="NA"/>
    <s v="NA"/>
    <s v="NA"/>
    <s v="NA"/>
    <s v="NA"/>
    <s v="NA"/>
    <s v="NA"/>
    <s v="NA"/>
    <s v="NA"/>
    <s v="NA"/>
    <s v="NA"/>
    <s v="NA"/>
    <s v="NA"/>
    <s v="NA"/>
    <s v="NA"/>
    <s v="NA"/>
    <s v="NA"/>
  </r>
  <r>
    <s v="A2APHZ2KOI1MPI"/>
    <s v="english"/>
    <n v="51"/>
    <s v="male"/>
    <s v="train"/>
    <x v="1"/>
    <n v="38289"/>
    <n v="1"/>
    <n v="1"/>
    <n v="1"/>
    <n v="0"/>
    <s v="NA"/>
    <s v="NA"/>
    <s v="NA"/>
    <s v="NA"/>
    <s v="NA"/>
    <s v="NA"/>
    <s v="NA"/>
    <s v="NA"/>
    <s v="NA"/>
    <s v="NA"/>
    <s v="NA"/>
    <s v="NA"/>
    <s v="NA"/>
    <s v="NA"/>
    <s v="NA"/>
    <s v="NA"/>
    <s v="NA"/>
    <s v="NA"/>
    <s v="NA"/>
    <s v="NA"/>
  </r>
  <r>
    <s v="A2APHZ2KOI1MPI"/>
    <s v="english"/>
    <n v="51"/>
    <s v="male"/>
    <s v="train"/>
    <x v="2"/>
    <n v="28666"/>
    <n v="1"/>
    <n v="1"/>
    <n v="1"/>
    <n v="0"/>
    <s v="NA"/>
    <s v="NA"/>
    <s v="NA"/>
    <s v="NA"/>
    <s v="NA"/>
    <s v="NA"/>
    <s v="NA"/>
    <s v="NA"/>
    <s v="NA"/>
    <s v="NA"/>
    <s v="NA"/>
    <s v="NA"/>
    <s v="NA"/>
    <s v="NA"/>
    <s v="NA"/>
    <s v="NA"/>
    <s v="NA"/>
    <s v="NA"/>
    <s v="NA"/>
    <s v="NA"/>
  </r>
  <r>
    <s v="A2APHZ2KOI1MPI"/>
    <s v="english"/>
    <n v="51"/>
    <s v="male"/>
    <s v="test"/>
    <x v="9"/>
    <n v="45014"/>
    <n v="1"/>
    <n v="1"/>
    <n v="0"/>
    <n v="0"/>
    <s v="Stalls D and E."/>
    <s v="Stall F."/>
    <s v="Stalls A and B."/>
    <s v="ms-l"/>
    <s v="fa"/>
    <s v="ms-h"/>
    <n v="0"/>
    <n v="0"/>
    <n v="0"/>
    <n v="1"/>
    <n v="1"/>
    <n v="0"/>
    <n v="1"/>
    <n v="0"/>
    <n v="0"/>
    <n v="0"/>
    <n v="0"/>
    <n v="1"/>
    <n v="0"/>
    <n v="0"/>
  </r>
  <r>
    <s v="A2APHZ2KOI1MPI"/>
    <s v="english"/>
    <n v="51"/>
    <s v="male"/>
    <s v="test"/>
    <x v="11"/>
    <n v="6157"/>
    <n v="1"/>
    <n v="1"/>
    <n v="0"/>
    <n v="0"/>
    <s v="Stores A and B."/>
    <s v="Stores D and E."/>
    <s v="Store A."/>
    <s v="ms-h"/>
    <s v="ms-l"/>
    <s v="mo-h"/>
    <n v="0"/>
    <n v="1"/>
    <n v="0"/>
    <n v="1"/>
    <n v="1"/>
    <n v="0"/>
    <n v="1"/>
    <n v="0"/>
    <n v="0"/>
    <n v="0"/>
    <n v="1"/>
    <n v="1"/>
    <n v="0"/>
    <n v="0"/>
  </r>
  <r>
    <s v="A2APHZ2KOI1MPI"/>
    <s v="english"/>
    <n v="51"/>
    <s v="male"/>
    <s v="control"/>
    <x v="5"/>
    <n v="22222"/>
    <n v="1"/>
    <n v="1"/>
    <n v="0"/>
    <n v="0"/>
    <s v="NA"/>
    <s v="NA"/>
    <s v="NA"/>
    <s v="NA"/>
    <s v="NA"/>
    <s v="NA"/>
    <s v="NA"/>
    <n v="1"/>
    <n v="0"/>
    <n v="1"/>
    <n v="1"/>
    <n v="0"/>
    <n v="1"/>
    <n v="0"/>
    <n v="0"/>
    <n v="0"/>
    <n v="1"/>
    <n v="1"/>
    <n v="0"/>
    <n v="0"/>
  </r>
  <r>
    <s v="A2APHZ2KOI1MPI"/>
    <s v="english"/>
    <n v="51"/>
    <s v="male"/>
    <s v="test"/>
    <x v="4"/>
    <n v="9090"/>
    <n v="1"/>
    <n v="1"/>
    <n v="0"/>
    <n v="0"/>
    <s v="Dentists D and E."/>
    <s v="Dentist E."/>
    <s v="Dentists A and B."/>
    <s v="ms-l"/>
    <s v="mo-l"/>
    <s v="ms-h"/>
    <n v="0"/>
    <n v="0"/>
    <n v="1"/>
    <n v="1"/>
    <n v="1"/>
    <n v="0"/>
    <n v="1"/>
    <n v="0"/>
    <n v="0"/>
    <n v="1"/>
    <n v="0"/>
    <n v="1"/>
    <n v="0"/>
    <n v="0"/>
  </r>
  <r>
    <s v="A2APHZ2KOI1MPI"/>
    <s v="english"/>
    <n v="51"/>
    <s v="male"/>
    <s v="test"/>
    <x v="8"/>
    <n v="5078"/>
    <n v="0"/>
    <n v="1"/>
    <n v="1"/>
    <n v="0"/>
    <s v="Stylist A."/>
    <s v="Stylists D and E."/>
    <s v="Stylist E."/>
    <s v="mo-h"/>
    <s v="ms-l"/>
    <s v="mo-l"/>
    <n v="0"/>
    <n v="1"/>
    <n v="1"/>
    <n v="0"/>
    <n v="1"/>
    <n v="0"/>
    <n v="1"/>
    <n v="0"/>
    <n v="0"/>
    <n v="1"/>
    <n v="0"/>
    <n v="1"/>
    <n v="0"/>
    <n v="0"/>
  </r>
  <r>
    <s v="A2APHZ2KOI1MPI"/>
    <s v="english"/>
    <n v="51"/>
    <s v="male"/>
    <s v="control"/>
    <x v="12"/>
    <n v="4777"/>
    <n v="0"/>
    <n v="1"/>
    <n v="1"/>
    <n v="0"/>
    <s v="NA"/>
    <s v="NA"/>
    <s v="NA"/>
    <s v="NA"/>
    <s v="NA"/>
    <s v="NA"/>
    <s v="NA"/>
    <n v="1"/>
    <n v="1"/>
    <n v="0"/>
    <n v="1"/>
    <n v="0"/>
    <n v="1"/>
    <n v="0"/>
    <n v="0"/>
    <n v="1"/>
    <n v="0"/>
    <n v="1"/>
    <n v="0"/>
    <n v="0"/>
  </r>
  <r>
    <s v="A2APHZ2KOI1MPI"/>
    <s v="english"/>
    <n v="51"/>
    <s v="male"/>
    <s v="test"/>
    <x v="6"/>
    <n v="9766"/>
    <n v="1"/>
    <n v="1"/>
    <n v="0"/>
    <n v="0"/>
    <s v="Cafe E."/>
    <s v="Cafe F."/>
    <s v="Cafe A."/>
    <s v="mo-l"/>
    <s v="fa"/>
    <s v="mo-h"/>
    <n v="0"/>
    <n v="1"/>
    <n v="1"/>
    <n v="0"/>
    <n v="0"/>
    <n v="0"/>
    <n v="1"/>
    <n v="0"/>
    <n v="0"/>
    <n v="1"/>
    <n v="0"/>
    <n v="0"/>
    <n v="0"/>
    <n v="0"/>
  </r>
  <r>
    <s v="A2APHZ2KOI1MPI"/>
    <s v="english"/>
    <n v="51"/>
    <s v="male"/>
    <s v="control"/>
    <x v="10"/>
    <n v="5645"/>
    <n v="1"/>
    <n v="1"/>
    <n v="0"/>
    <n v="0"/>
    <s v="NA"/>
    <s v="NA"/>
    <s v="NA"/>
    <s v="NA"/>
    <s v="NA"/>
    <s v="NA"/>
    <s v="NA"/>
    <n v="1"/>
    <n v="1"/>
    <n v="0"/>
    <n v="0"/>
    <n v="0"/>
    <n v="1"/>
    <n v="0"/>
    <n v="0"/>
    <n v="1"/>
    <n v="0"/>
    <n v="0"/>
    <n v="0"/>
    <n v="0"/>
  </r>
  <r>
    <s v="A2APHZ2KOI1MPI"/>
    <s v="english"/>
    <n v="51"/>
    <s v="male"/>
    <s v="test"/>
    <x v="3"/>
    <n v="4521"/>
    <n v="0"/>
    <n v="1"/>
    <n v="1"/>
    <n v="0"/>
    <s v="Bookstore A."/>
    <s v="Bookstores D and E."/>
    <s v="Bookstore E."/>
    <s v="mo-h"/>
    <s v="ms-l"/>
    <s v="mo-l"/>
    <n v="0"/>
    <n v="1"/>
    <n v="1"/>
    <n v="0"/>
    <n v="1"/>
    <n v="0"/>
    <n v="1"/>
    <n v="0"/>
    <n v="0"/>
    <n v="1"/>
    <n v="0"/>
    <n v="1"/>
    <n v="0"/>
    <n v="0"/>
  </r>
  <r>
    <s v="A2APHZ2KOI1MPI"/>
    <s v="english"/>
    <n v="51"/>
    <s v="male"/>
    <s v="control"/>
    <x v="7"/>
    <n v="4498"/>
    <n v="1"/>
    <n v="1"/>
    <n v="0"/>
    <n v="0"/>
    <s v="NA"/>
    <s v="NA"/>
    <s v="NA"/>
    <s v="NA"/>
    <s v="NA"/>
    <s v="NA"/>
    <s v="NA"/>
    <n v="1"/>
    <n v="1"/>
    <n v="0"/>
    <n v="1"/>
    <n v="0"/>
    <n v="1"/>
    <n v="0"/>
    <n v="0"/>
    <n v="1"/>
    <n v="0"/>
    <n v="1"/>
    <n v="0"/>
    <n v="0"/>
  </r>
  <r>
    <s v="A2APHZ2KOI1MPI"/>
    <s v="english"/>
    <n v="51"/>
    <s v="male"/>
    <s v="exit_quest"/>
    <x v="0"/>
    <n v="58911"/>
    <s v="she is also go for that place so ask that"/>
    <s v="no difficult"/>
    <s v="good"/>
    <s v="NA"/>
    <s v="NA"/>
    <s v="NA"/>
    <s v="NA"/>
    <s v="NA"/>
    <s v="NA"/>
    <s v="NA"/>
    <s v="NA"/>
    <s v="NA"/>
    <s v="NA"/>
    <s v="NA"/>
    <s v="NA"/>
    <s v="NA"/>
    <s v="NA"/>
    <s v="NA"/>
    <s v="NA"/>
    <s v="NA"/>
    <s v="NA"/>
    <s v="NA"/>
    <s v="NA"/>
    <s v="NA"/>
  </r>
  <r>
    <s v="A1C7XI68SED8JE"/>
    <s v="english"/>
    <n v="35"/>
    <s v="female"/>
    <s v="consent"/>
    <x v="0"/>
    <n v="29931"/>
    <s v="NA"/>
    <s v="NA"/>
    <s v="NA"/>
    <s v="NA"/>
    <s v="NA"/>
    <s v="NA"/>
    <s v="NA"/>
    <s v="NA"/>
    <s v="NA"/>
    <s v="NA"/>
    <s v="NA"/>
    <s v="NA"/>
    <s v="NA"/>
    <s v="NA"/>
    <s v="NA"/>
    <s v="NA"/>
    <s v="NA"/>
    <s v="NA"/>
    <s v="NA"/>
    <s v="NA"/>
    <s v="NA"/>
    <s v="NA"/>
    <s v="NA"/>
    <s v="NA"/>
  </r>
  <r>
    <s v="A1C7XI68SED8JE"/>
    <s v="english"/>
    <n v="35"/>
    <s v="female"/>
    <s v="train"/>
    <x v="2"/>
    <n v="39429"/>
    <n v="0"/>
    <n v="0"/>
    <n v="0"/>
    <n v="1"/>
    <s v="NA"/>
    <s v="NA"/>
    <s v="NA"/>
    <s v="NA"/>
    <s v="NA"/>
    <s v="NA"/>
    <s v="NA"/>
    <s v="NA"/>
    <s v="NA"/>
    <s v="NA"/>
    <s v="NA"/>
    <s v="NA"/>
    <s v="NA"/>
    <s v="NA"/>
    <s v="NA"/>
    <s v="NA"/>
    <s v="NA"/>
    <s v="NA"/>
    <s v="NA"/>
    <s v="NA"/>
  </r>
  <r>
    <s v="A1C7XI68SED8JE"/>
    <s v="english"/>
    <n v="35"/>
    <s v="female"/>
    <s v="train"/>
    <x v="1"/>
    <n v="39903"/>
    <n v="0"/>
    <n v="0"/>
    <n v="1"/>
    <n v="0"/>
    <s v="NA"/>
    <s v="NA"/>
    <s v="NA"/>
    <s v="NA"/>
    <s v="NA"/>
    <s v="NA"/>
    <s v="NA"/>
    <s v="NA"/>
    <s v="NA"/>
    <s v="NA"/>
    <s v="NA"/>
    <s v="NA"/>
    <s v="NA"/>
    <s v="NA"/>
    <s v="NA"/>
    <s v="NA"/>
    <s v="NA"/>
    <s v="NA"/>
    <s v="NA"/>
    <s v="NA"/>
  </r>
  <r>
    <s v="A1C7XI68SED8JE"/>
    <s v="english"/>
    <n v="35"/>
    <s v="female"/>
    <s v="test"/>
    <x v="11"/>
    <n v="38899"/>
    <n v="1"/>
    <n v="1"/>
    <n v="1"/>
    <n v="0"/>
    <s v="Stores A, B, C, D and E."/>
    <s v="Stores A and B."/>
    <s v="Store E."/>
    <s v="exh"/>
    <s v="ms-h"/>
    <s v="mo-l"/>
    <n v="1"/>
    <n v="0"/>
    <n v="1"/>
    <n v="1"/>
    <n v="0"/>
    <n v="0"/>
    <n v="1"/>
    <n v="1"/>
    <n v="0"/>
    <n v="1"/>
    <n v="1"/>
    <n v="0"/>
    <n v="0"/>
    <n v="0"/>
  </r>
  <r>
    <s v="A1C7XI68SED8JE"/>
    <s v="english"/>
    <n v="35"/>
    <s v="female"/>
    <s v="test"/>
    <x v="6"/>
    <n v="21350"/>
    <n v="1"/>
    <n v="1"/>
    <n v="1"/>
    <n v="0"/>
    <s v="Cafe E."/>
    <s v="Cafes A, B, C, D and E."/>
    <s v="Cafe A."/>
    <s v="mo-l"/>
    <s v="exh"/>
    <s v="mo-h"/>
    <n v="1"/>
    <n v="1"/>
    <n v="1"/>
    <n v="0"/>
    <n v="0"/>
    <n v="0"/>
    <n v="1"/>
    <n v="1"/>
    <n v="1"/>
    <n v="1"/>
    <n v="0"/>
    <n v="0"/>
    <n v="0"/>
    <n v="0"/>
  </r>
  <r>
    <s v="A1C7XI68SED8JE"/>
    <s v="english"/>
    <n v="35"/>
    <s v="female"/>
    <s v="control"/>
    <x v="12"/>
    <n v="19325"/>
    <n v="1"/>
    <n v="1"/>
    <n v="0"/>
    <n v="0"/>
    <s v="NA"/>
    <s v="NA"/>
    <s v="NA"/>
    <s v="NA"/>
    <s v="NA"/>
    <s v="NA"/>
    <s v="NA"/>
    <n v="1"/>
    <n v="1"/>
    <n v="0"/>
    <n v="0"/>
    <n v="0"/>
    <n v="1"/>
    <n v="1"/>
    <n v="1"/>
    <n v="1"/>
    <n v="0"/>
    <n v="0"/>
    <n v="0"/>
    <n v="0"/>
  </r>
  <r>
    <s v="A1C7XI68SED8JE"/>
    <s v="english"/>
    <n v="35"/>
    <s v="female"/>
    <s v="test"/>
    <x v="3"/>
    <n v="20586"/>
    <n v="1"/>
    <n v="1"/>
    <n v="1"/>
    <n v="0"/>
    <s v="Bookstores A and B."/>
    <s v="Bookstores A, B, C, D and E."/>
    <s v="Bookstores D and E."/>
    <s v="ms-h"/>
    <s v="exh"/>
    <s v="ms-l"/>
    <n v="1"/>
    <n v="0"/>
    <n v="0"/>
    <n v="1"/>
    <n v="1"/>
    <n v="0"/>
    <n v="1"/>
    <n v="1"/>
    <n v="0"/>
    <n v="0"/>
    <n v="1"/>
    <n v="1"/>
    <n v="0"/>
    <n v="0"/>
  </r>
  <r>
    <s v="A1C7XI68SED8JE"/>
    <s v="english"/>
    <n v="35"/>
    <s v="female"/>
    <s v="test"/>
    <x v="8"/>
    <n v="17740"/>
    <n v="1"/>
    <n v="1"/>
    <n v="1"/>
    <n v="0"/>
    <s v="Stylists D and E."/>
    <s v="Stylists A and B."/>
    <s v="Stylists A, B, C, D and E."/>
    <s v="ms-l"/>
    <s v="ms-h"/>
    <s v="exh"/>
    <n v="1"/>
    <n v="0"/>
    <n v="0"/>
    <n v="1"/>
    <n v="1"/>
    <n v="0"/>
    <n v="1"/>
    <n v="1"/>
    <n v="0"/>
    <n v="0"/>
    <n v="1"/>
    <n v="1"/>
    <n v="0"/>
    <n v="0"/>
  </r>
  <r>
    <s v="A1C7XI68SED8JE"/>
    <s v="english"/>
    <n v="35"/>
    <s v="female"/>
    <s v="control"/>
    <x v="7"/>
    <n v="33433"/>
    <n v="1"/>
    <n v="0"/>
    <n v="0"/>
    <n v="0"/>
    <s v="NA"/>
    <s v="NA"/>
    <s v="NA"/>
    <s v="NA"/>
    <s v="NA"/>
    <s v="NA"/>
    <s v="NA"/>
    <n v="0"/>
    <n v="0"/>
    <n v="1"/>
    <n v="1"/>
    <n v="0"/>
    <n v="1"/>
    <n v="1"/>
    <n v="0"/>
    <n v="0"/>
    <n v="1"/>
    <n v="1"/>
    <n v="0"/>
    <n v="0"/>
  </r>
  <r>
    <s v="A1C7XI68SED8JE"/>
    <s v="english"/>
    <n v="35"/>
    <s v="female"/>
    <s v="test"/>
    <x v="9"/>
    <n v="19551"/>
    <n v="1"/>
    <n v="1"/>
    <n v="1"/>
    <n v="0"/>
    <s v="Stall A."/>
    <s v="Stalls A and B."/>
    <s v="Stall E."/>
    <s v="mo-h"/>
    <s v="ms-h"/>
    <s v="mo-l"/>
    <n v="0"/>
    <n v="1"/>
    <n v="1"/>
    <n v="1"/>
    <n v="0"/>
    <n v="0"/>
    <n v="1"/>
    <n v="0"/>
    <n v="1"/>
    <n v="1"/>
    <n v="1"/>
    <n v="0"/>
    <n v="0"/>
    <n v="0"/>
  </r>
  <r>
    <s v="A1C7XI68SED8JE"/>
    <s v="english"/>
    <n v="35"/>
    <s v="female"/>
    <s v="control"/>
    <x v="10"/>
    <n v="23026"/>
    <n v="0"/>
    <n v="0"/>
    <n v="1"/>
    <n v="0"/>
    <s v="NA"/>
    <s v="NA"/>
    <s v="NA"/>
    <s v="NA"/>
    <s v="NA"/>
    <s v="NA"/>
    <s v="NA"/>
    <n v="1"/>
    <n v="1"/>
    <n v="1"/>
    <n v="0"/>
    <n v="0"/>
    <n v="1"/>
    <n v="0"/>
    <n v="1"/>
    <n v="1"/>
    <n v="1"/>
    <n v="0"/>
    <n v="0"/>
    <n v="0"/>
  </r>
  <r>
    <s v="A1C7XI68SED8JE"/>
    <s v="english"/>
    <n v="35"/>
    <s v="female"/>
    <s v="test"/>
    <x v="4"/>
    <n v="12873"/>
    <n v="0"/>
    <n v="1"/>
    <n v="0"/>
    <n v="0"/>
    <s v="Dentist F."/>
    <s v="Dentists D and E."/>
    <s v="Dentist E."/>
    <s v="fa"/>
    <s v="ms-l"/>
    <s v="mo-l"/>
    <n v="0"/>
    <n v="0"/>
    <n v="1"/>
    <n v="0"/>
    <n v="1"/>
    <n v="0"/>
    <n v="1"/>
    <n v="0"/>
    <n v="0"/>
    <n v="0"/>
    <n v="0"/>
    <n v="1"/>
    <n v="0"/>
    <n v="0"/>
  </r>
  <r>
    <s v="A1C7XI68SED8JE"/>
    <s v="english"/>
    <n v="35"/>
    <s v="female"/>
    <s v="control"/>
    <x v="5"/>
    <n v="21163"/>
    <n v="1"/>
    <n v="1"/>
    <n v="0"/>
    <n v="0"/>
    <s v="NA"/>
    <s v="NA"/>
    <s v="NA"/>
    <s v="NA"/>
    <s v="NA"/>
    <s v="NA"/>
    <s v="NA"/>
    <n v="0"/>
    <n v="1"/>
    <n v="0"/>
    <n v="1"/>
    <n v="0"/>
    <n v="1"/>
    <n v="0"/>
    <n v="0"/>
    <n v="0"/>
    <n v="0"/>
    <n v="1"/>
    <n v="0"/>
    <n v="0"/>
  </r>
  <r>
    <s v="A1C7XI68SED8JE"/>
    <s v="english"/>
    <n v="35"/>
    <s v="female"/>
    <s v="exit_quest"/>
    <x v="0"/>
    <n v="27099"/>
    <s v="no%2C it's the same thing"/>
    <m/>
    <m/>
    <s v="NA"/>
    <s v="NA"/>
    <s v="NA"/>
    <s v="NA"/>
    <s v="NA"/>
    <s v="NA"/>
    <s v="NA"/>
    <s v="NA"/>
    <s v="NA"/>
    <s v="NA"/>
    <s v="NA"/>
    <s v="NA"/>
    <s v="NA"/>
    <s v="NA"/>
    <s v="NA"/>
    <s v="NA"/>
    <s v="NA"/>
    <s v="NA"/>
    <s v="NA"/>
    <s v="NA"/>
    <s v="NA"/>
  </r>
  <r>
    <s v="A15340BRCER2UO"/>
    <s v="english"/>
    <n v="38"/>
    <s v="male"/>
    <s v="consent"/>
    <x v="0"/>
    <n v="39463"/>
    <s v="NA"/>
    <s v="NA"/>
    <s v="NA"/>
    <s v="NA"/>
    <s v="NA"/>
    <s v="NA"/>
    <s v="NA"/>
    <s v="NA"/>
    <s v="NA"/>
    <s v="NA"/>
    <s v="NA"/>
    <s v="NA"/>
    <s v="NA"/>
    <s v="NA"/>
    <s v="NA"/>
    <s v="NA"/>
    <s v="NA"/>
    <s v="NA"/>
    <s v="NA"/>
    <s v="NA"/>
    <s v="NA"/>
    <s v="NA"/>
    <s v="NA"/>
    <s v="NA"/>
  </r>
  <r>
    <s v="A15340BRCER2UO"/>
    <s v="english"/>
    <n v="38"/>
    <s v="male"/>
    <s v="train"/>
    <x v="2"/>
    <n v="25302"/>
    <n v="0"/>
    <n v="0"/>
    <n v="0"/>
    <n v="1"/>
    <s v="NA"/>
    <s v="NA"/>
    <s v="NA"/>
    <s v="NA"/>
    <s v="NA"/>
    <s v="NA"/>
    <s v="NA"/>
    <s v="NA"/>
    <s v="NA"/>
    <s v="NA"/>
    <s v="NA"/>
    <s v="NA"/>
    <s v="NA"/>
    <s v="NA"/>
    <s v="NA"/>
    <s v="NA"/>
    <s v="NA"/>
    <s v="NA"/>
    <s v="NA"/>
    <s v="NA"/>
  </r>
  <r>
    <s v="A15340BRCER2UO"/>
    <s v="english"/>
    <n v="38"/>
    <s v="male"/>
    <s v="train"/>
    <x v="1"/>
    <n v="22346"/>
    <n v="0"/>
    <n v="0"/>
    <n v="1"/>
    <n v="0"/>
    <s v="NA"/>
    <s v="NA"/>
    <s v="NA"/>
    <s v="NA"/>
    <s v="NA"/>
    <s v="NA"/>
    <s v="NA"/>
    <s v="NA"/>
    <s v="NA"/>
    <s v="NA"/>
    <s v="NA"/>
    <s v="NA"/>
    <s v="NA"/>
    <s v="NA"/>
    <s v="NA"/>
    <s v="NA"/>
    <s v="NA"/>
    <s v="NA"/>
    <s v="NA"/>
    <s v="NA"/>
  </r>
  <r>
    <s v="A15340BRCER2UO"/>
    <s v="english"/>
    <n v="38"/>
    <s v="male"/>
    <s v="test"/>
    <x v="8"/>
    <n v="42898"/>
    <n v="0"/>
    <n v="1"/>
    <n v="0"/>
    <n v="0"/>
    <s v="Stylist F."/>
    <s v="Stylist A."/>
    <s v="Stylists D and E."/>
    <s v="fa"/>
    <s v="mo-h"/>
    <s v="ms-l"/>
    <n v="0"/>
    <n v="1"/>
    <n v="0"/>
    <n v="0"/>
    <n v="1"/>
    <n v="0"/>
    <n v="1"/>
    <n v="0"/>
    <n v="1"/>
    <n v="0"/>
    <n v="0"/>
    <n v="0"/>
    <n v="0"/>
    <n v="0"/>
  </r>
  <r>
    <s v="A15340BRCER2UO"/>
    <s v="english"/>
    <n v="38"/>
    <s v="male"/>
    <s v="test"/>
    <x v="11"/>
    <n v="16610"/>
    <n v="1"/>
    <n v="0"/>
    <n v="0"/>
    <n v="0"/>
    <s v="Store A."/>
    <s v="Stores A, B, C, D and E."/>
    <s v="Stores D and E."/>
    <s v="mo-h"/>
    <s v="exh"/>
    <s v="ms-l"/>
    <n v="1"/>
    <n v="1"/>
    <n v="0"/>
    <n v="0"/>
    <n v="1"/>
    <n v="0"/>
    <n v="1"/>
    <n v="0"/>
    <n v="1"/>
    <n v="0"/>
    <n v="0"/>
    <n v="0"/>
    <n v="0"/>
    <n v="0"/>
  </r>
  <r>
    <s v="A15340BRCER2UO"/>
    <s v="english"/>
    <n v="38"/>
    <s v="male"/>
    <s v="control"/>
    <x v="10"/>
    <n v="24107"/>
    <n v="1"/>
    <n v="1"/>
    <n v="1"/>
    <n v="0"/>
    <s v="NA"/>
    <s v="NA"/>
    <s v="NA"/>
    <s v="NA"/>
    <s v="NA"/>
    <s v="NA"/>
    <s v="NA"/>
    <n v="1"/>
    <n v="0"/>
    <n v="0"/>
    <n v="1"/>
    <n v="0"/>
    <n v="1"/>
    <n v="0"/>
    <n v="1"/>
    <n v="0"/>
    <n v="0"/>
    <n v="0"/>
    <n v="0"/>
    <n v="0"/>
  </r>
  <r>
    <s v="A15340BRCER2UO"/>
    <s v="english"/>
    <n v="38"/>
    <s v="male"/>
    <s v="test"/>
    <x v="6"/>
    <n v="13939"/>
    <n v="1"/>
    <n v="0"/>
    <n v="0"/>
    <n v="0"/>
    <s v="Cafes A, B, C, D and E."/>
    <s v="Cafe E."/>
    <s v="Cafe F."/>
    <s v="exh"/>
    <s v="mo-l"/>
    <s v="fa"/>
    <n v="1"/>
    <n v="0"/>
    <n v="1"/>
    <n v="0"/>
    <n v="0"/>
    <n v="0"/>
    <n v="1"/>
    <n v="1"/>
    <n v="0"/>
    <n v="0"/>
    <n v="0"/>
    <n v="0"/>
    <n v="0"/>
    <n v="0"/>
  </r>
  <r>
    <s v="A15340BRCER2UO"/>
    <s v="english"/>
    <n v="38"/>
    <s v="male"/>
    <s v="test"/>
    <x v="9"/>
    <n v="15443"/>
    <n v="1"/>
    <n v="0"/>
    <n v="0"/>
    <n v="0"/>
    <s v="Stall A."/>
    <s v="Stalls A and B."/>
    <s v="Stall F."/>
    <s v="mo-h"/>
    <s v="ms-h"/>
    <s v="fa"/>
    <n v="0"/>
    <n v="1"/>
    <n v="0"/>
    <n v="1"/>
    <n v="0"/>
    <n v="0"/>
    <n v="1"/>
    <n v="0"/>
    <n v="1"/>
    <n v="0"/>
    <n v="0"/>
    <n v="0"/>
    <n v="0"/>
    <n v="0"/>
  </r>
  <r>
    <s v="A15340BRCER2UO"/>
    <s v="english"/>
    <n v="38"/>
    <s v="male"/>
    <s v="control"/>
    <x v="7"/>
    <n v="20191"/>
    <n v="1"/>
    <n v="0"/>
    <n v="0"/>
    <n v="0"/>
    <s v="NA"/>
    <s v="NA"/>
    <s v="NA"/>
    <s v="NA"/>
    <s v="NA"/>
    <s v="NA"/>
    <s v="NA"/>
    <n v="1"/>
    <n v="0"/>
    <n v="1"/>
    <n v="0"/>
    <n v="0"/>
    <n v="1"/>
    <n v="0"/>
    <n v="1"/>
    <n v="0"/>
    <n v="0"/>
    <n v="0"/>
    <n v="0"/>
    <n v="0"/>
  </r>
  <r>
    <s v="A15340BRCER2UO"/>
    <s v="english"/>
    <n v="38"/>
    <s v="male"/>
    <s v="test"/>
    <x v="4"/>
    <n v="7121"/>
    <n v="1"/>
    <n v="0"/>
    <n v="0"/>
    <n v="0"/>
    <s v="Dentist A."/>
    <s v="Dentists D and E."/>
    <s v="Dentist F."/>
    <s v="mo-h"/>
    <s v="ms-l"/>
    <s v="fa"/>
    <n v="0"/>
    <n v="1"/>
    <n v="0"/>
    <n v="0"/>
    <n v="1"/>
    <n v="0"/>
    <n v="1"/>
    <n v="0"/>
    <n v="1"/>
    <n v="0"/>
    <n v="0"/>
    <n v="0"/>
    <n v="0"/>
    <n v="0"/>
  </r>
  <r>
    <s v="A15340BRCER2UO"/>
    <s v="english"/>
    <n v="38"/>
    <s v="male"/>
    <s v="control"/>
    <x v="12"/>
    <n v="7587"/>
    <n v="1"/>
    <n v="0"/>
    <n v="0"/>
    <n v="0"/>
    <s v="NA"/>
    <s v="NA"/>
    <s v="NA"/>
    <s v="NA"/>
    <s v="NA"/>
    <s v="NA"/>
    <s v="NA"/>
    <n v="1"/>
    <n v="0"/>
    <n v="0"/>
    <n v="1"/>
    <n v="0"/>
    <n v="1"/>
    <n v="0"/>
    <n v="1"/>
    <n v="0"/>
    <n v="0"/>
    <n v="0"/>
    <n v="0"/>
    <n v="0"/>
  </r>
  <r>
    <s v="A15340BRCER2UO"/>
    <s v="english"/>
    <n v="38"/>
    <s v="male"/>
    <s v="test"/>
    <x v="3"/>
    <n v="9974"/>
    <n v="0"/>
    <n v="1"/>
    <n v="0"/>
    <n v="0"/>
    <s v="Bookstore E."/>
    <s v="Bookstores A and B."/>
    <s v="Bookstores A, B, C, D and E."/>
    <s v="mo-l"/>
    <s v="ms-h"/>
    <s v="exh"/>
    <n v="1"/>
    <n v="0"/>
    <n v="1"/>
    <n v="1"/>
    <n v="0"/>
    <n v="0"/>
    <n v="1"/>
    <n v="0"/>
    <n v="0"/>
    <n v="0"/>
    <n v="1"/>
    <n v="0"/>
    <n v="0"/>
    <n v="0"/>
  </r>
  <r>
    <s v="A15340BRCER2UO"/>
    <s v="english"/>
    <n v="38"/>
    <s v="male"/>
    <s v="control"/>
    <x v="5"/>
    <n v="31465"/>
    <n v="0"/>
    <n v="0"/>
    <n v="1"/>
    <n v="0"/>
    <s v="NA"/>
    <s v="NA"/>
    <s v="NA"/>
    <s v="NA"/>
    <s v="NA"/>
    <s v="NA"/>
    <s v="NA"/>
    <n v="0"/>
    <n v="1"/>
    <n v="1"/>
    <n v="0"/>
    <n v="0"/>
    <n v="1"/>
    <n v="0"/>
    <n v="0"/>
    <n v="0"/>
    <n v="1"/>
    <n v="0"/>
    <n v="0"/>
    <n v="0"/>
  </r>
  <r>
    <s v="A15340BRCER2UO"/>
    <s v="english"/>
    <n v="38"/>
    <s v="male"/>
    <s v="exit_quest"/>
    <x v="0"/>
    <n v="53222"/>
    <s v="No%2C to me they both mean the same thing"/>
    <s v="It was fine. A little strange and took some concentration%2C but nothing too difficult"/>
    <s v="No further comment%2C thanks"/>
    <s v="NA"/>
    <s v="NA"/>
    <s v="NA"/>
    <s v="NA"/>
    <s v="NA"/>
    <s v="NA"/>
    <s v="NA"/>
    <s v="NA"/>
    <s v="NA"/>
    <s v="NA"/>
    <s v="NA"/>
    <s v="NA"/>
    <s v="NA"/>
    <s v="NA"/>
    <s v="NA"/>
    <s v="NA"/>
    <s v="NA"/>
    <s v="NA"/>
    <s v="NA"/>
    <s v="NA"/>
    <s v="NA"/>
  </r>
  <r>
    <s v="AL5UXD1GLG4X0"/>
    <s v="english"/>
    <n v="34"/>
    <s v="female"/>
    <s v="consent"/>
    <x v="0"/>
    <n v="41492"/>
    <s v="NA"/>
    <s v="NA"/>
    <s v="NA"/>
    <s v="NA"/>
    <s v="NA"/>
    <s v="NA"/>
    <s v="NA"/>
    <s v="NA"/>
    <s v="NA"/>
    <s v="NA"/>
    <s v="NA"/>
    <s v="NA"/>
    <s v="NA"/>
    <s v="NA"/>
    <s v="NA"/>
    <s v="NA"/>
    <s v="NA"/>
    <s v="NA"/>
    <s v="NA"/>
    <s v="NA"/>
    <s v="NA"/>
    <s v="NA"/>
    <s v="NA"/>
    <s v="NA"/>
  </r>
  <r>
    <s v="AL5UXD1GLG4X0"/>
    <s v="english"/>
    <n v="34"/>
    <s v="female"/>
    <s v="train"/>
    <x v="1"/>
    <n v="30787"/>
    <n v="0"/>
    <n v="1"/>
    <n v="0"/>
    <n v="0"/>
    <s v="NA"/>
    <s v="NA"/>
    <s v="NA"/>
    <s v="NA"/>
    <s v="NA"/>
    <s v="NA"/>
    <s v="NA"/>
    <s v="NA"/>
    <s v="NA"/>
    <s v="NA"/>
    <s v="NA"/>
    <s v="NA"/>
    <s v="NA"/>
    <s v="NA"/>
    <s v="NA"/>
    <s v="NA"/>
    <s v="NA"/>
    <s v="NA"/>
    <s v="NA"/>
    <s v="NA"/>
  </r>
  <r>
    <s v="AL5UXD1GLG4X0"/>
    <s v="english"/>
    <n v="34"/>
    <s v="female"/>
    <s v="train"/>
    <x v="2"/>
    <n v="40157"/>
    <n v="0"/>
    <n v="0"/>
    <n v="0"/>
    <n v="1"/>
    <s v="NA"/>
    <s v="NA"/>
    <s v="NA"/>
    <s v="NA"/>
    <s v="NA"/>
    <s v="NA"/>
    <s v="NA"/>
    <s v="NA"/>
    <s v="NA"/>
    <s v="NA"/>
    <s v="NA"/>
    <s v="NA"/>
    <s v="NA"/>
    <s v="NA"/>
    <s v="NA"/>
    <s v="NA"/>
    <s v="NA"/>
    <s v="NA"/>
    <s v="NA"/>
    <s v="NA"/>
  </r>
  <r>
    <s v="AL5UXD1GLG4X0"/>
    <s v="english"/>
    <n v="34"/>
    <s v="female"/>
    <s v="test"/>
    <x v="11"/>
    <n v="64706"/>
    <n v="1"/>
    <n v="0"/>
    <n v="0"/>
    <n v="0"/>
    <s v="Stores A and B."/>
    <s v="Store E."/>
    <s v="Stores D and E."/>
    <s v="ms-h"/>
    <s v="mo-l"/>
    <s v="ms-l"/>
    <n v="0"/>
    <n v="0"/>
    <n v="1"/>
    <n v="1"/>
    <n v="1"/>
    <n v="0"/>
    <n v="1"/>
    <n v="0"/>
    <n v="0"/>
    <n v="0"/>
    <n v="1"/>
    <n v="0"/>
    <n v="0"/>
    <n v="0"/>
  </r>
  <r>
    <s v="AL5UXD1GLG4X0"/>
    <s v="english"/>
    <n v="34"/>
    <s v="female"/>
    <s v="test"/>
    <x v="3"/>
    <n v="33536"/>
    <n v="1"/>
    <n v="0"/>
    <n v="0"/>
    <n v="0"/>
    <s v="Bookstores A and B."/>
    <s v="Bookstore F."/>
    <s v="Bookstores A, B, C, D and E."/>
    <s v="ms-h"/>
    <s v="fa"/>
    <s v="exh"/>
    <n v="1"/>
    <n v="0"/>
    <n v="0"/>
    <n v="1"/>
    <n v="0"/>
    <n v="0"/>
    <n v="1"/>
    <n v="0"/>
    <n v="0"/>
    <n v="0"/>
    <n v="1"/>
    <n v="0"/>
    <n v="0"/>
    <n v="0"/>
  </r>
  <r>
    <s v="AL5UXD1GLG4X0"/>
    <s v="english"/>
    <n v="34"/>
    <s v="female"/>
    <s v="control"/>
    <x v="7"/>
    <n v="24101"/>
    <n v="1"/>
    <n v="0"/>
    <n v="0"/>
    <n v="0"/>
    <s v="NA"/>
    <s v="NA"/>
    <s v="NA"/>
    <s v="NA"/>
    <s v="NA"/>
    <s v="NA"/>
    <s v="NA"/>
    <n v="0"/>
    <n v="0"/>
    <n v="1"/>
    <n v="0"/>
    <n v="0"/>
    <n v="1"/>
    <n v="0"/>
    <n v="0"/>
    <n v="0"/>
    <n v="1"/>
    <n v="0"/>
    <n v="0"/>
    <n v="0"/>
  </r>
  <r>
    <s v="AL5UXD1GLG4X0"/>
    <s v="english"/>
    <n v="34"/>
    <s v="female"/>
    <s v="test"/>
    <x v="9"/>
    <n v="25074"/>
    <n v="1"/>
    <n v="0"/>
    <n v="0"/>
    <n v="0"/>
    <s v="Stall A."/>
    <s v="Stall E."/>
    <s v="Stalls D and E."/>
    <s v="mo-h"/>
    <s v="mo-l"/>
    <s v="ms-l"/>
    <n v="0"/>
    <n v="1"/>
    <n v="1"/>
    <n v="0"/>
    <n v="1"/>
    <n v="0"/>
    <n v="1"/>
    <n v="0"/>
    <n v="1"/>
    <n v="0"/>
    <n v="0"/>
    <n v="0"/>
    <n v="0"/>
    <n v="0"/>
  </r>
  <r>
    <s v="AL5UXD1GLG4X0"/>
    <s v="english"/>
    <n v="34"/>
    <s v="female"/>
    <s v="control"/>
    <x v="5"/>
    <n v="53100"/>
    <n v="0"/>
    <n v="1"/>
    <n v="1"/>
    <n v="0"/>
    <s v="NA"/>
    <s v="NA"/>
    <s v="NA"/>
    <s v="NA"/>
    <s v="NA"/>
    <s v="NA"/>
    <s v="NA"/>
    <n v="1"/>
    <n v="1"/>
    <n v="0"/>
    <n v="1"/>
    <n v="0"/>
    <n v="1"/>
    <n v="0"/>
    <n v="1"/>
    <n v="0"/>
    <n v="0"/>
    <n v="0"/>
    <n v="0"/>
    <n v="0"/>
  </r>
  <r>
    <s v="AL5UXD1GLG4X0"/>
    <s v="english"/>
    <n v="34"/>
    <s v="female"/>
    <s v="test"/>
    <x v="6"/>
    <n v="22202"/>
    <n v="0"/>
    <n v="0"/>
    <n v="1"/>
    <n v="0"/>
    <s v="Cafe E."/>
    <s v="Cafes D and E."/>
    <s v="Cafe A."/>
    <s v="mo-l"/>
    <s v="ms-l"/>
    <s v="mo-h"/>
    <n v="0"/>
    <n v="1"/>
    <n v="1"/>
    <n v="0"/>
    <n v="1"/>
    <n v="0"/>
    <n v="1"/>
    <n v="0"/>
    <n v="1"/>
    <n v="0"/>
    <n v="0"/>
    <n v="0"/>
    <n v="0"/>
    <n v="0"/>
  </r>
  <r>
    <s v="AL5UXD1GLG4X0"/>
    <s v="english"/>
    <n v="34"/>
    <s v="female"/>
    <s v="test"/>
    <x v="8"/>
    <n v="14873"/>
    <n v="0"/>
    <n v="1"/>
    <n v="0"/>
    <n v="0"/>
    <s v="Stylist E."/>
    <s v="Stylists A, B, C, D and E."/>
    <s v="Stylist F."/>
    <s v="mo-l"/>
    <s v="exh"/>
    <s v="fa"/>
    <n v="1"/>
    <n v="0"/>
    <n v="1"/>
    <n v="0"/>
    <n v="0"/>
    <n v="0"/>
    <n v="1"/>
    <n v="1"/>
    <n v="0"/>
    <n v="0"/>
    <n v="0"/>
    <n v="0"/>
    <n v="0"/>
    <n v="0"/>
  </r>
  <r>
    <s v="AL5UXD1GLG4X0"/>
    <s v="english"/>
    <n v="34"/>
    <s v="female"/>
    <s v="control"/>
    <x v="12"/>
    <n v="15509"/>
    <n v="1"/>
    <n v="0"/>
    <n v="0"/>
    <n v="0"/>
    <s v="NA"/>
    <s v="NA"/>
    <s v="NA"/>
    <s v="NA"/>
    <s v="NA"/>
    <s v="NA"/>
    <s v="NA"/>
    <n v="0"/>
    <n v="1"/>
    <n v="0"/>
    <n v="0"/>
    <n v="0"/>
    <n v="1"/>
    <n v="1"/>
    <n v="0"/>
    <n v="0"/>
    <n v="0"/>
    <n v="0"/>
    <n v="0"/>
    <n v="0"/>
  </r>
  <r>
    <s v="AL5UXD1GLG4X0"/>
    <s v="english"/>
    <n v="34"/>
    <s v="female"/>
    <s v="test"/>
    <x v="4"/>
    <n v="13567"/>
    <n v="1"/>
    <n v="0"/>
    <n v="0"/>
    <n v="0"/>
    <s v="Dentist A."/>
    <s v="Dentists A and B."/>
    <s v="Dentists D and E."/>
    <s v="mo-h"/>
    <s v="ms-h"/>
    <s v="ms-l"/>
    <n v="0"/>
    <n v="1"/>
    <n v="0"/>
    <n v="1"/>
    <n v="1"/>
    <n v="0"/>
    <n v="1"/>
    <n v="0"/>
    <n v="1"/>
    <n v="0"/>
    <n v="0"/>
    <n v="0"/>
    <n v="0"/>
    <n v="0"/>
  </r>
  <r>
    <s v="AL5UXD1GLG4X0"/>
    <s v="english"/>
    <n v="34"/>
    <s v="female"/>
    <s v="control"/>
    <x v="10"/>
    <n v="21468"/>
    <n v="1"/>
    <n v="0"/>
    <n v="1"/>
    <n v="0"/>
    <s v="NA"/>
    <s v="NA"/>
    <s v="NA"/>
    <s v="NA"/>
    <s v="NA"/>
    <s v="NA"/>
    <s v="NA"/>
    <n v="1"/>
    <n v="0"/>
    <n v="1"/>
    <n v="1"/>
    <n v="0"/>
    <n v="1"/>
    <n v="0"/>
    <n v="1"/>
    <n v="0"/>
    <n v="0"/>
    <n v="0"/>
    <n v="0"/>
    <n v="0"/>
  </r>
  <r>
    <s v="AL5UXD1GLG4X0"/>
    <s v="english"/>
    <n v="34"/>
    <s v="female"/>
    <s v="exit_quest"/>
    <x v="0"/>
    <n v="50414"/>
    <s v="no%2C answer would be the same"/>
    <s v="not too difficult. Just had to pay attention"/>
    <s v="it was interesting"/>
    <s v="NA"/>
    <s v="NA"/>
    <s v="NA"/>
    <s v="NA"/>
    <s v="NA"/>
    <s v="NA"/>
    <s v="NA"/>
    <s v="NA"/>
    <s v="NA"/>
    <s v="NA"/>
    <s v="NA"/>
    <s v="NA"/>
    <s v="NA"/>
    <s v="NA"/>
    <s v="NA"/>
    <s v="NA"/>
    <s v="NA"/>
    <s v="NA"/>
    <s v="NA"/>
    <s v="NA"/>
    <s v="NA"/>
  </r>
  <r>
    <s v="A17DXR1QC8GWL8"/>
    <s v="english"/>
    <n v="33"/>
    <s v="female"/>
    <s v="consent"/>
    <x v="0"/>
    <n v="10542"/>
    <s v="NA"/>
    <s v="NA"/>
    <s v="NA"/>
    <s v="NA"/>
    <s v="NA"/>
    <s v="NA"/>
    <s v="NA"/>
    <s v="NA"/>
    <s v="NA"/>
    <s v="NA"/>
    <s v="NA"/>
    <s v="NA"/>
    <s v="NA"/>
    <s v="NA"/>
    <s v="NA"/>
    <s v="NA"/>
    <s v="NA"/>
    <s v="NA"/>
    <s v="NA"/>
    <s v="NA"/>
    <s v="NA"/>
    <s v="NA"/>
    <s v="NA"/>
    <s v="NA"/>
  </r>
  <r>
    <s v="A17DXR1QC8GWL8"/>
    <s v="english"/>
    <n v="33"/>
    <s v="female"/>
    <s v="train"/>
    <x v="2"/>
    <n v="23362"/>
    <n v="0"/>
    <n v="0"/>
    <n v="0"/>
    <n v="1"/>
    <s v="NA"/>
    <s v="NA"/>
    <s v="NA"/>
    <s v="NA"/>
    <s v="NA"/>
    <s v="NA"/>
    <s v="NA"/>
    <s v="NA"/>
    <s v="NA"/>
    <s v="NA"/>
    <s v="NA"/>
    <s v="NA"/>
    <s v="NA"/>
    <s v="NA"/>
    <s v="NA"/>
    <s v="NA"/>
    <s v="NA"/>
    <s v="NA"/>
    <s v="NA"/>
    <s v="NA"/>
  </r>
  <r>
    <s v="A17DXR1QC8GWL8"/>
    <s v="english"/>
    <n v="33"/>
    <s v="female"/>
    <s v="train"/>
    <x v="1"/>
    <n v="24515"/>
    <n v="0"/>
    <n v="0"/>
    <n v="1"/>
    <n v="0"/>
    <s v="NA"/>
    <s v="NA"/>
    <s v="NA"/>
    <s v="NA"/>
    <s v="NA"/>
    <s v="NA"/>
    <s v="NA"/>
    <s v="NA"/>
    <s v="NA"/>
    <s v="NA"/>
    <s v="NA"/>
    <s v="NA"/>
    <s v="NA"/>
    <s v="NA"/>
    <s v="NA"/>
    <s v="NA"/>
    <s v="NA"/>
    <s v="NA"/>
    <s v="NA"/>
    <s v="NA"/>
  </r>
  <r>
    <s v="A17DXR1QC8GWL8"/>
    <s v="english"/>
    <n v="33"/>
    <s v="female"/>
    <s v="test"/>
    <x v="4"/>
    <n v="28134"/>
    <n v="0"/>
    <n v="0"/>
    <n v="0"/>
    <n v="1"/>
    <s v="Dentist A."/>
    <s v="Dentists D and E."/>
    <s v="Dentist E."/>
    <s v="mo-h"/>
    <s v="ms-l"/>
    <s v="mo-l"/>
    <n v="0"/>
    <n v="1"/>
    <n v="1"/>
    <n v="0"/>
    <n v="1"/>
    <n v="0"/>
    <n v="1"/>
    <n v="0"/>
    <n v="0"/>
    <n v="0"/>
    <n v="0"/>
    <n v="0"/>
    <n v="0"/>
    <n v="1"/>
  </r>
  <r>
    <s v="A17DXR1QC8GWL8"/>
    <s v="english"/>
    <n v="33"/>
    <s v="female"/>
    <s v="test"/>
    <x v="9"/>
    <n v="32398"/>
    <n v="0"/>
    <n v="0"/>
    <n v="0"/>
    <n v="1"/>
    <s v="Stall A."/>
    <s v="Stalls A, B, C, D and E."/>
    <s v="Stalls A and B."/>
    <s v="mo-h"/>
    <s v="exh"/>
    <s v="ms-h"/>
    <n v="1"/>
    <n v="1"/>
    <n v="0"/>
    <n v="1"/>
    <n v="0"/>
    <n v="0"/>
    <n v="1"/>
    <n v="0"/>
    <n v="0"/>
    <n v="0"/>
    <n v="0"/>
    <n v="0"/>
    <n v="0"/>
    <n v="1"/>
  </r>
  <r>
    <s v="A17DXR1QC8GWL8"/>
    <s v="english"/>
    <n v="33"/>
    <s v="female"/>
    <s v="control"/>
    <x v="10"/>
    <n v="21143"/>
    <n v="0"/>
    <n v="1"/>
    <n v="0"/>
    <n v="0"/>
    <s v="NA"/>
    <s v="NA"/>
    <s v="NA"/>
    <s v="NA"/>
    <s v="NA"/>
    <s v="NA"/>
    <s v="NA"/>
    <n v="1"/>
    <n v="0"/>
    <n v="1"/>
    <n v="0"/>
    <n v="0"/>
    <n v="1"/>
    <n v="0"/>
    <n v="0"/>
    <n v="0"/>
    <n v="0"/>
    <n v="0"/>
    <n v="0"/>
    <n v="1"/>
  </r>
  <r>
    <s v="A17DXR1QC8GWL8"/>
    <s v="english"/>
    <n v="33"/>
    <s v="female"/>
    <s v="test"/>
    <x v="11"/>
    <n v="17541"/>
    <n v="0"/>
    <n v="0"/>
    <n v="0"/>
    <n v="1"/>
    <s v="Store A."/>
    <s v="Store E."/>
    <s v="Stores A and B."/>
    <s v="mo-h"/>
    <s v="mo-l"/>
    <s v="ms-h"/>
    <n v="0"/>
    <n v="1"/>
    <n v="1"/>
    <n v="1"/>
    <n v="0"/>
    <n v="0"/>
    <n v="1"/>
    <n v="0"/>
    <n v="0"/>
    <n v="0"/>
    <n v="0"/>
    <n v="0"/>
    <n v="0"/>
    <n v="1"/>
  </r>
  <r>
    <s v="A17DXR1QC8GWL8"/>
    <s v="english"/>
    <n v="33"/>
    <s v="female"/>
    <s v="control"/>
    <x v="12"/>
    <n v="11509"/>
    <n v="1"/>
    <n v="0"/>
    <n v="0"/>
    <n v="0"/>
    <s v="NA"/>
    <s v="NA"/>
    <s v="NA"/>
    <s v="NA"/>
    <s v="NA"/>
    <s v="NA"/>
    <s v="NA"/>
    <n v="1"/>
    <n v="1"/>
    <n v="1"/>
    <n v="0"/>
    <n v="0"/>
    <n v="1"/>
    <n v="0"/>
    <n v="0"/>
    <n v="0"/>
    <n v="0"/>
    <n v="0"/>
    <n v="0"/>
    <n v="1"/>
  </r>
  <r>
    <s v="A17DXR1QC8GWL8"/>
    <s v="english"/>
    <n v="33"/>
    <s v="female"/>
    <s v="test"/>
    <x v="6"/>
    <n v="13317"/>
    <n v="0"/>
    <n v="0"/>
    <n v="0"/>
    <n v="1"/>
    <s v="Cafe F."/>
    <s v="Cafes D and E."/>
    <s v="Cafe A."/>
    <s v="fa"/>
    <s v="ms-l"/>
    <s v="mo-h"/>
    <n v="0"/>
    <n v="1"/>
    <n v="0"/>
    <n v="0"/>
    <n v="1"/>
    <n v="0"/>
    <n v="1"/>
    <n v="0"/>
    <n v="0"/>
    <n v="0"/>
    <n v="0"/>
    <n v="0"/>
    <n v="0"/>
    <n v="1"/>
  </r>
  <r>
    <s v="A17DXR1QC8GWL8"/>
    <s v="english"/>
    <n v="33"/>
    <s v="female"/>
    <s v="test"/>
    <x v="8"/>
    <n v="13750"/>
    <n v="0"/>
    <n v="0"/>
    <n v="0"/>
    <n v="1"/>
    <s v="Stylists A and B."/>
    <s v="Stylists D and E."/>
    <s v="Stylist F."/>
    <s v="ms-h"/>
    <s v="ms-l"/>
    <s v="fa"/>
    <n v="0"/>
    <n v="0"/>
    <n v="0"/>
    <n v="1"/>
    <n v="1"/>
    <n v="0"/>
    <n v="1"/>
    <n v="0"/>
    <n v="0"/>
    <n v="0"/>
    <n v="0"/>
    <n v="0"/>
    <n v="0"/>
    <n v="1"/>
  </r>
  <r>
    <s v="A17DXR1QC8GWL8"/>
    <s v="english"/>
    <n v="33"/>
    <s v="female"/>
    <s v="control"/>
    <x v="5"/>
    <n v="23877"/>
    <n v="0"/>
    <n v="0"/>
    <n v="0"/>
    <n v="1"/>
    <s v="NA"/>
    <s v="NA"/>
    <s v="NA"/>
    <s v="NA"/>
    <s v="NA"/>
    <s v="NA"/>
    <s v="NA"/>
    <n v="0"/>
    <n v="0"/>
    <n v="1"/>
    <n v="1"/>
    <n v="0"/>
    <n v="1"/>
    <n v="0"/>
    <n v="0"/>
    <n v="0"/>
    <n v="0"/>
    <n v="0"/>
    <n v="0"/>
    <n v="1"/>
  </r>
  <r>
    <s v="A17DXR1QC8GWL8"/>
    <s v="english"/>
    <n v="33"/>
    <s v="female"/>
    <s v="test"/>
    <x v="3"/>
    <n v="17478"/>
    <n v="0"/>
    <n v="0"/>
    <n v="0"/>
    <n v="1"/>
    <s v="Bookstores D and E."/>
    <s v="Bookstore E."/>
    <s v="Bookstores A and B."/>
    <s v="ms-l"/>
    <s v="mo-l"/>
    <s v="ms-h"/>
    <n v="0"/>
    <n v="0"/>
    <n v="1"/>
    <n v="1"/>
    <n v="1"/>
    <n v="0"/>
    <n v="1"/>
    <n v="0"/>
    <n v="0"/>
    <n v="0"/>
    <n v="0"/>
    <n v="0"/>
    <n v="0"/>
    <n v="1"/>
  </r>
  <r>
    <s v="A17DXR1QC8GWL8"/>
    <s v="english"/>
    <n v="33"/>
    <s v="female"/>
    <s v="control"/>
    <x v="7"/>
    <n v="20352"/>
    <n v="1"/>
    <n v="1"/>
    <n v="0"/>
    <n v="0"/>
    <s v="NA"/>
    <s v="NA"/>
    <s v="NA"/>
    <s v="NA"/>
    <s v="NA"/>
    <s v="NA"/>
    <s v="NA"/>
    <n v="0"/>
    <n v="1"/>
    <n v="1"/>
    <n v="1"/>
    <n v="0"/>
    <n v="1"/>
    <n v="0"/>
    <n v="0"/>
    <n v="0"/>
    <n v="0"/>
    <n v="0"/>
    <n v="0"/>
    <n v="1"/>
  </r>
  <r>
    <s v="A17DXR1QC8GWL8"/>
    <s v="english"/>
    <n v="33"/>
    <s v="female"/>
    <s v="exit_quest"/>
    <x v="0"/>
    <n v="78934"/>
    <s v="No%2C in essence it is the same question"/>
    <s v="A little%2C some of the questions were ambiguous. For example%2C none of the acquaintances could have been absolutely sure were (e.g.) someone got their knitting yarn from unless they had seen it or heard testimony. So we can't say for sure that they know."/>
    <s v="no"/>
    <s v="NA"/>
    <s v="NA"/>
    <s v="NA"/>
    <s v="NA"/>
    <s v="NA"/>
    <s v="NA"/>
    <s v="NA"/>
    <s v="NA"/>
    <s v="NA"/>
    <s v="NA"/>
    <s v="NA"/>
    <s v="NA"/>
    <s v="NA"/>
    <s v="NA"/>
    <s v="NA"/>
    <s v="NA"/>
    <s v="NA"/>
    <s v="NA"/>
    <s v="NA"/>
    <s v="NA"/>
    <s v="NA"/>
  </r>
  <r>
    <s v="A55V2U9UG3Z47"/>
    <s v="english"/>
    <n v="38"/>
    <s v="female"/>
    <s v="consent"/>
    <x v="0"/>
    <n v="32343"/>
    <s v="NA"/>
    <s v="NA"/>
    <s v="NA"/>
    <s v="NA"/>
    <s v="NA"/>
    <s v="NA"/>
    <s v="NA"/>
    <s v="NA"/>
    <s v="NA"/>
    <s v="NA"/>
    <s v="NA"/>
    <s v="NA"/>
    <s v="NA"/>
    <s v="NA"/>
    <s v="NA"/>
    <s v="NA"/>
    <s v="NA"/>
    <s v="NA"/>
    <s v="NA"/>
    <s v="NA"/>
    <s v="NA"/>
    <s v="NA"/>
    <s v="NA"/>
    <s v="NA"/>
  </r>
  <r>
    <s v="A55V2U9UG3Z47"/>
    <s v="english"/>
    <n v="38"/>
    <s v="female"/>
    <s v="train"/>
    <x v="2"/>
    <n v="25977"/>
    <n v="0"/>
    <n v="0"/>
    <n v="0"/>
    <n v="1"/>
    <s v="NA"/>
    <s v="NA"/>
    <s v="NA"/>
    <s v="NA"/>
    <s v="NA"/>
    <s v="NA"/>
    <s v="NA"/>
    <s v="NA"/>
    <s v="NA"/>
    <s v="NA"/>
    <s v="NA"/>
    <s v="NA"/>
    <s v="NA"/>
    <s v="NA"/>
    <s v="NA"/>
    <s v="NA"/>
    <s v="NA"/>
    <s v="NA"/>
    <s v="NA"/>
    <s v="NA"/>
  </r>
  <r>
    <s v="A55V2U9UG3Z47"/>
    <s v="english"/>
    <n v="38"/>
    <s v="female"/>
    <s v="train"/>
    <x v="1"/>
    <n v="24656"/>
    <n v="0"/>
    <n v="0"/>
    <n v="1"/>
    <n v="0"/>
    <s v="NA"/>
    <s v="NA"/>
    <s v="NA"/>
    <s v="NA"/>
    <s v="NA"/>
    <s v="NA"/>
    <s v="NA"/>
    <s v="NA"/>
    <s v="NA"/>
    <s v="NA"/>
    <s v="NA"/>
    <s v="NA"/>
    <s v="NA"/>
    <s v="NA"/>
    <s v="NA"/>
    <s v="NA"/>
    <s v="NA"/>
    <s v="NA"/>
    <s v="NA"/>
    <s v="NA"/>
  </r>
  <r>
    <s v="A55V2U9UG3Z47"/>
    <s v="english"/>
    <n v="38"/>
    <s v="female"/>
    <s v="test"/>
    <x v="4"/>
    <n v="38172"/>
    <n v="0"/>
    <n v="0"/>
    <n v="0"/>
    <n v="1"/>
    <s v="Dentist A."/>
    <s v="Dentists A, B, C, D and E."/>
    <s v="Dentists D and E."/>
    <s v="mo-h"/>
    <s v="exh"/>
    <s v="ms-l"/>
    <n v="1"/>
    <n v="1"/>
    <n v="0"/>
    <n v="0"/>
    <n v="1"/>
    <n v="0"/>
    <n v="1"/>
    <n v="0"/>
    <n v="0"/>
    <n v="0"/>
    <n v="0"/>
    <n v="0"/>
    <n v="0"/>
    <n v="1"/>
  </r>
  <r>
    <s v="A55V2U9UG3Z47"/>
    <s v="english"/>
    <n v="38"/>
    <s v="female"/>
    <s v="test"/>
    <x v="6"/>
    <n v="37618"/>
    <n v="0"/>
    <n v="1"/>
    <n v="0"/>
    <n v="0"/>
    <s v="Cafe F."/>
    <s v="Cafes A and B."/>
    <s v="Cafe E."/>
    <s v="fa"/>
    <s v="ms-h"/>
    <s v="mo-l"/>
    <n v="0"/>
    <n v="0"/>
    <n v="1"/>
    <n v="1"/>
    <n v="0"/>
    <n v="0"/>
    <n v="1"/>
    <n v="0"/>
    <n v="0"/>
    <n v="0"/>
    <n v="1"/>
    <n v="0"/>
    <n v="0"/>
    <n v="0"/>
  </r>
  <r>
    <s v="A55V2U9UG3Z47"/>
    <s v="english"/>
    <n v="38"/>
    <s v="female"/>
    <s v="control"/>
    <x v="7"/>
    <n v="16654"/>
    <n v="1"/>
    <n v="1"/>
    <n v="0"/>
    <n v="0"/>
    <s v="NA"/>
    <s v="NA"/>
    <s v="NA"/>
    <s v="NA"/>
    <s v="NA"/>
    <s v="NA"/>
    <s v="NA"/>
    <n v="0"/>
    <n v="1"/>
    <n v="1"/>
    <n v="0"/>
    <n v="0"/>
    <n v="1"/>
    <n v="0"/>
    <n v="0"/>
    <n v="0"/>
    <n v="1"/>
    <n v="0"/>
    <n v="0"/>
    <n v="0"/>
  </r>
  <r>
    <s v="A55V2U9UG3Z47"/>
    <s v="english"/>
    <n v="38"/>
    <s v="female"/>
    <s v="test"/>
    <x v="3"/>
    <n v="19340"/>
    <n v="1"/>
    <n v="0"/>
    <n v="0"/>
    <n v="0"/>
    <s v="Bookstore A."/>
    <s v="Bookstore F."/>
    <s v="Bookstore E."/>
    <s v="mo-h"/>
    <s v="fa"/>
    <s v="mo-l"/>
    <n v="0"/>
    <n v="1"/>
    <n v="1"/>
    <n v="0"/>
    <n v="0"/>
    <n v="0"/>
    <n v="1"/>
    <n v="0"/>
    <n v="1"/>
    <n v="0"/>
    <n v="0"/>
    <n v="0"/>
    <n v="0"/>
    <n v="0"/>
  </r>
  <r>
    <s v="A55V2U9UG3Z47"/>
    <s v="english"/>
    <n v="38"/>
    <s v="female"/>
    <s v="test"/>
    <x v="11"/>
    <n v="20945"/>
    <n v="0"/>
    <n v="1"/>
    <n v="0"/>
    <n v="0"/>
    <s v="Store F."/>
    <s v="Stores A and B."/>
    <s v="Store E."/>
    <s v="fa"/>
    <s v="ms-h"/>
    <s v="mo-l"/>
    <n v="0"/>
    <n v="0"/>
    <n v="1"/>
    <n v="1"/>
    <n v="0"/>
    <n v="0"/>
    <n v="1"/>
    <n v="0"/>
    <n v="0"/>
    <n v="0"/>
    <n v="1"/>
    <n v="0"/>
    <n v="0"/>
    <n v="0"/>
  </r>
  <r>
    <s v="A55V2U9UG3Z47"/>
    <s v="english"/>
    <n v="38"/>
    <s v="female"/>
    <s v="control"/>
    <x v="12"/>
    <n v="11738"/>
    <n v="1"/>
    <n v="0"/>
    <n v="0"/>
    <n v="0"/>
    <s v="NA"/>
    <s v="NA"/>
    <s v="NA"/>
    <s v="NA"/>
    <s v="NA"/>
    <s v="NA"/>
    <s v="NA"/>
    <n v="0"/>
    <n v="1"/>
    <n v="1"/>
    <n v="0"/>
    <n v="0"/>
    <n v="1"/>
    <n v="0"/>
    <n v="0"/>
    <n v="0"/>
    <n v="1"/>
    <n v="0"/>
    <n v="0"/>
    <n v="0"/>
  </r>
  <r>
    <s v="A55V2U9UG3Z47"/>
    <s v="english"/>
    <n v="38"/>
    <s v="female"/>
    <s v="test"/>
    <x v="8"/>
    <n v="17692"/>
    <n v="0"/>
    <n v="1"/>
    <n v="0"/>
    <n v="0"/>
    <s v="Stylists D and E."/>
    <s v="Stylist A."/>
    <s v="Stylists A and B."/>
    <s v="ms-l"/>
    <s v="mo-h"/>
    <s v="ms-h"/>
    <n v="0"/>
    <n v="1"/>
    <n v="0"/>
    <n v="1"/>
    <n v="1"/>
    <n v="0"/>
    <n v="1"/>
    <n v="0"/>
    <n v="1"/>
    <n v="0"/>
    <n v="0"/>
    <n v="0"/>
    <n v="0"/>
    <n v="0"/>
  </r>
  <r>
    <s v="A55V2U9UG3Z47"/>
    <s v="english"/>
    <n v="38"/>
    <s v="female"/>
    <s v="control"/>
    <x v="10"/>
    <n v="21411"/>
    <n v="0"/>
    <n v="0"/>
    <n v="1"/>
    <n v="0"/>
    <s v="NA"/>
    <s v="NA"/>
    <s v="NA"/>
    <s v="NA"/>
    <s v="NA"/>
    <s v="NA"/>
    <s v="NA"/>
    <n v="1"/>
    <n v="0"/>
    <n v="1"/>
    <n v="1"/>
    <n v="0"/>
    <n v="1"/>
    <n v="0"/>
    <n v="1"/>
    <n v="0"/>
    <n v="0"/>
    <n v="0"/>
    <n v="0"/>
    <n v="0"/>
  </r>
  <r>
    <s v="A55V2U9UG3Z47"/>
    <s v="english"/>
    <n v="38"/>
    <s v="female"/>
    <s v="test"/>
    <x v="9"/>
    <n v="27010"/>
    <n v="0"/>
    <n v="0"/>
    <n v="1"/>
    <n v="0"/>
    <s v="Stall E."/>
    <s v="Stalls A, B, C, D and E."/>
    <s v="Stall A."/>
    <s v="mo-l"/>
    <s v="exh"/>
    <s v="mo-h"/>
    <n v="1"/>
    <n v="1"/>
    <n v="1"/>
    <n v="0"/>
    <n v="0"/>
    <n v="0"/>
    <n v="1"/>
    <n v="0"/>
    <n v="1"/>
    <n v="0"/>
    <n v="0"/>
    <n v="0"/>
    <n v="0"/>
    <n v="0"/>
  </r>
  <r>
    <s v="A55V2U9UG3Z47"/>
    <s v="english"/>
    <n v="38"/>
    <s v="female"/>
    <s v="control"/>
    <x v="5"/>
    <n v="27572"/>
    <n v="0"/>
    <n v="0"/>
    <n v="1"/>
    <n v="0"/>
    <s v="NA"/>
    <s v="NA"/>
    <s v="NA"/>
    <s v="NA"/>
    <s v="NA"/>
    <s v="NA"/>
    <s v="NA"/>
    <n v="1"/>
    <n v="1"/>
    <n v="0"/>
    <n v="0"/>
    <n v="0"/>
    <n v="1"/>
    <n v="0"/>
    <n v="1"/>
    <n v="0"/>
    <n v="0"/>
    <n v="0"/>
    <n v="0"/>
    <n v="0"/>
  </r>
  <r>
    <s v="A55V2U9UG3Z47"/>
    <s v="english"/>
    <n v="38"/>
    <s v="female"/>
    <s v="exit_quest"/>
    <x v="0"/>
    <n v="36054"/>
    <s v="No%2C I feel both sentences could be used interchangeably. "/>
    <s v="No%2C it was actually very interesting to complete. "/>
    <m/>
    <s v="NA"/>
    <s v="NA"/>
    <s v="NA"/>
    <s v="NA"/>
    <s v="NA"/>
    <s v="NA"/>
    <s v="NA"/>
    <s v="NA"/>
    <s v="NA"/>
    <s v="NA"/>
    <s v="NA"/>
    <s v="NA"/>
    <s v="NA"/>
    <s v="NA"/>
    <s v="NA"/>
    <s v="NA"/>
    <s v="NA"/>
    <s v="NA"/>
    <s v="NA"/>
    <s v="NA"/>
    <s v="NA"/>
  </r>
  <r>
    <s v="A35BY30TC8WCL4"/>
    <s v="english"/>
    <n v="29"/>
    <s v="male"/>
    <s v="consent"/>
    <x v="0"/>
    <n v="27200"/>
    <s v="NA"/>
    <s v="NA"/>
    <s v="NA"/>
    <s v="NA"/>
    <s v="NA"/>
    <s v="NA"/>
    <s v="NA"/>
    <s v="NA"/>
    <s v="NA"/>
    <s v="NA"/>
    <s v="NA"/>
    <s v="NA"/>
    <s v="NA"/>
    <s v="NA"/>
    <s v="NA"/>
    <s v="NA"/>
    <s v="NA"/>
    <s v="NA"/>
    <s v="NA"/>
    <s v="NA"/>
    <s v="NA"/>
    <s v="NA"/>
    <s v="NA"/>
    <s v="NA"/>
  </r>
  <r>
    <s v="A35BY30TC8WCL4"/>
    <s v="english"/>
    <n v="29"/>
    <s v="male"/>
    <s v="train"/>
    <x v="2"/>
    <n v="17200"/>
    <n v="0"/>
    <n v="0"/>
    <n v="0"/>
    <n v="1"/>
    <s v="NA"/>
    <s v="NA"/>
    <s v="NA"/>
    <s v="NA"/>
    <s v="NA"/>
    <s v="NA"/>
    <s v="NA"/>
    <s v="NA"/>
    <s v="NA"/>
    <s v="NA"/>
    <s v="NA"/>
    <s v="NA"/>
    <s v="NA"/>
    <s v="NA"/>
    <s v="NA"/>
    <s v="NA"/>
    <s v="NA"/>
    <s v="NA"/>
    <s v="NA"/>
    <s v="NA"/>
  </r>
  <r>
    <s v="A35BY30TC8WCL4"/>
    <s v="english"/>
    <n v="29"/>
    <s v="male"/>
    <s v="train"/>
    <x v="1"/>
    <n v="29100"/>
    <n v="0"/>
    <n v="1"/>
    <n v="1"/>
    <n v="0"/>
    <s v="NA"/>
    <s v="NA"/>
    <s v="NA"/>
    <s v="NA"/>
    <s v="NA"/>
    <s v="NA"/>
    <s v="NA"/>
    <s v="NA"/>
    <s v="NA"/>
    <s v="NA"/>
    <s v="NA"/>
    <s v="NA"/>
    <s v="NA"/>
    <s v="NA"/>
    <s v="NA"/>
    <s v="NA"/>
    <s v="NA"/>
    <s v="NA"/>
    <s v="NA"/>
    <s v="NA"/>
  </r>
  <r>
    <s v="A35BY30TC8WCL4"/>
    <s v="english"/>
    <n v="29"/>
    <s v="male"/>
    <s v="test"/>
    <x v="9"/>
    <n v="26800"/>
    <n v="1"/>
    <n v="1"/>
    <n v="1"/>
    <n v="0"/>
    <s v="Stalls A, B, C, D and E."/>
    <s v="Stall A."/>
    <s v="Stall F."/>
    <s v="exh"/>
    <s v="mo-h"/>
    <s v="fa"/>
    <n v="1"/>
    <n v="1"/>
    <n v="0"/>
    <n v="0"/>
    <n v="0"/>
    <n v="0"/>
    <n v="1"/>
    <n v="1"/>
    <n v="1"/>
    <n v="0"/>
    <n v="0"/>
    <n v="0"/>
    <n v="0"/>
    <n v="0"/>
  </r>
  <r>
    <s v="A35BY30TC8WCL4"/>
    <s v="english"/>
    <n v="29"/>
    <s v="male"/>
    <s v="test"/>
    <x v="11"/>
    <n v="25100"/>
    <n v="0"/>
    <n v="0"/>
    <n v="0"/>
    <n v="1"/>
    <s v="Stores D and E."/>
    <s v="Store A."/>
    <s v="Store E."/>
    <s v="ms-l"/>
    <s v="mo-h"/>
    <s v="mo-l"/>
    <n v="0"/>
    <n v="1"/>
    <n v="1"/>
    <n v="0"/>
    <n v="1"/>
    <n v="0"/>
    <n v="1"/>
    <n v="0"/>
    <n v="0"/>
    <n v="0"/>
    <n v="0"/>
    <n v="0"/>
    <n v="0"/>
    <n v="1"/>
  </r>
  <r>
    <s v="A35BY30TC8WCL4"/>
    <s v="english"/>
    <n v="29"/>
    <s v="male"/>
    <s v="control"/>
    <x v="7"/>
    <n v="15600"/>
    <n v="1"/>
    <n v="1"/>
    <n v="0"/>
    <n v="0"/>
    <s v="NA"/>
    <s v="NA"/>
    <s v="NA"/>
    <s v="NA"/>
    <s v="NA"/>
    <s v="NA"/>
    <s v="NA"/>
    <n v="1"/>
    <n v="1"/>
    <n v="0"/>
    <n v="1"/>
    <n v="0"/>
    <n v="1"/>
    <n v="0"/>
    <n v="0"/>
    <n v="0"/>
    <n v="0"/>
    <n v="0"/>
    <n v="0"/>
    <n v="1"/>
  </r>
  <r>
    <s v="A35BY30TC8WCL4"/>
    <s v="english"/>
    <n v="29"/>
    <s v="male"/>
    <s v="test"/>
    <x v="6"/>
    <n v="11500"/>
    <n v="0"/>
    <n v="0"/>
    <n v="0"/>
    <n v="1"/>
    <s v="Cafes A, B, C, D and E."/>
    <s v="Cafe A."/>
    <s v="Cafes D and E."/>
    <s v="exh"/>
    <s v="mo-h"/>
    <s v="ms-l"/>
    <n v="1"/>
    <n v="1"/>
    <n v="0"/>
    <n v="0"/>
    <n v="1"/>
    <n v="0"/>
    <n v="1"/>
    <n v="0"/>
    <n v="0"/>
    <n v="0"/>
    <n v="0"/>
    <n v="0"/>
    <n v="0"/>
    <n v="1"/>
  </r>
  <r>
    <s v="A35BY30TC8WCL4"/>
    <s v="english"/>
    <n v="29"/>
    <s v="male"/>
    <s v="control"/>
    <x v="10"/>
    <n v="31200"/>
    <n v="0"/>
    <n v="0"/>
    <n v="1"/>
    <n v="0"/>
    <s v="NA"/>
    <s v="NA"/>
    <s v="NA"/>
    <s v="NA"/>
    <s v="NA"/>
    <s v="NA"/>
    <s v="NA"/>
    <n v="1"/>
    <n v="0"/>
    <n v="0"/>
    <n v="1"/>
    <n v="0"/>
    <n v="1"/>
    <n v="0"/>
    <n v="0"/>
    <n v="0"/>
    <n v="0"/>
    <n v="0"/>
    <n v="0"/>
    <n v="1"/>
  </r>
  <r>
    <s v="A35BY30TC8WCL4"/>
    <s v="english"/>
    <n v="29"/>
    <s v="male"/>
    <s v="test"/>
    <x v="4"/>
    <n v="8500"/>
    <n v="0"/>
    <n v="0"/>
    <n v="0"/>
    <n v="1"/>
    <s v="Dentists D and E."/>
    <s v="Dentist A."/>
    <s v="Dentists A and B."/>
    <s v="ms-l"/>
    <s v="mo-h"/>
    <s v="ms-h"/>
    <n v="0"/>
    <n v="1"/>
    <n v="0"/>
    <n v="1"/>
    <n v="1"/>
    <n v="0"/>
    <n v="1"/>
    <n v="0"/>
    <n v="0"/>
    <n v="0"/>
    <n v="0"/>
    <n v="0"/>
    <n v="0"/>
    <n v="1"/>
  </r>
  <r>
    <s v="A35BY30TC8WCL4"/>
    <s v="english"/>
    <n v="29"/>
    <s v="male"/>
    <s v="test"/>
    <x v="8"/>
    <n v="6700"/>
    <n v="0"/>
    <n v="0"/>
    <n v="0"/>
    <n v="1"/>
    <s v="Stylists A, B, C, D and E."/>
    <s v="Stylists D and E."/>
    <s v="Stylists A and B."/>
    <s v="exh"/>
    <s v="ms-l"/>
    <s v="ms-h"/>
    <n v="1"/>
    <n v="0"/>
    <n v="0"/>
    <n v="1"/>
    <n v="1"/>
    <n v="0"/>
    <n v="1"/>
    <n v="0"/>
    <n v="0"/>
    <n v="0"/>
    <n v="0"/>
    <n v="0"/>
    <n v="0"/>
    <n v="1"/>
  </r>
  <r>
    <s v="A35BY30TC8WCL4"/>
    <s v="english"/>
    <n v="29"/>
    <s v="male"/>
    <s v="control"/>
    <x v="12"/>
    <n v="15200"/>
    <n v="1"/>
    <n v="0"/>
    <n v="0"/>
    <n v="0"/>
    <s v="NA"/>
    <s v="NA"/>
    <s v="NA"/>
    <s v="NA"/>
    <s v="NA"/>
    <s v="NA"/>
    <s v="NA"/>
    <n v="0"/>
    <n v="0"/>
    <n v="1"/>
    <n v="1"/>
    <n v="0"/>
    <n v="1"/>
    <n v="0"/>
    <n v="0"/>
    <n v="0"/>
    <n v="0"/>
    <n v="0"/>
    <n v="0"/>
    <n v="1"/>
  </r>
  <r>
    <s v="A35BY30TC8WCL4"/>
    <s v="english"/>
    <n v="29"/>
    <s v="male"/>
    <s v="test"/>
    <x v="3"/>
    <n v="56000"/>
    <n v="0"/>
    <n v="0"/>
    <n v="0"/>
    <n v="1"/>
    <s v="Bookstore A."/>
    <s v="Bookstores A and B."/>
    <s v="Bookstores D and E."/>
    <s v="mo-h"/>
    <s v="ms-h"/>
    <s v="ms-l"/>
    <n v="0"/>
    <n v="1"/>
    <n v="0"/>
    <n v="1"/>
    <n v="1"/>
    <n v="0"/>
    <n v="1"/>
    <n v="0"/>
    <n v="0"/>
    <n v="0"/>
    <n v="0"/>
    <n v="0"/>
    <n v="0"/>
    <n v="1"/>
  </r>
  <r>
    <s v="A35BY30TC8WCL4"/>
    <s v="english"/>
    <n v="29"/>
    <s v="male"/>
    <s v="control"/>
    <x v="5"/>
    <n v="45300"/>
    <n v="0"/>
    <n v="0"/>
    <n v="0"/>
    <n v="1"/>
    <s v="NA"/>
    <s v="NA"/>
    <s v="NA"/>
    <s v="NA"/>
    <s v="NA"/>
    <s v="NA"/>
    <s v="NA"/>
    <n v="1"/>
    <n v="0"/>
    <n v="1"/>
    <n v="1"/>
    <n v="0"/>
    <n v="1"/>
    <n v="0"/>
    <n v="0"/>
    <n v="0"/>
    <n v="0"/>
    <n v="0"/>
    <n v="0"/>
    <n v="1"/>
  </r>
  <r>
    <s v="A35BY30TC8WCL4"/>
    <s v="english"/>
    <n v="29"/>
    <s v="male"/>
    <s v="exit_quest"/>
    <x v="0"/>
    <n v="102600"/>
    <s v="No. I don't see much difference between the two. If the traveler said%2C where should I go%2C it would be different%2C but where can I is asking the same thing as the first question."/>
    <s v="Don't think so%2C was just straightforward."/>
    <s v="Nope."/>
    <s v="NA"/>
    <s v="NA"/>
    <s v="NA"/>
    <s v="NA"/>
    <s v="NA"/>
    <s v="NA"/>
    <s v="NA"/>
    <s v="NA"/>
    <s v="NA"/>
    <s v="NA"/>
    <s v="NA"/>
    <s v="NA"/>
    <s v="NA"/>
    <s v="NA"/>
    <s v="NA"/>
    <s v="NA"/>
    <s v="NA"/>
    <s v="NA"/>
    <s v="NA"/>
    <s v="NA"/>
    <s v="NA"/>
  </r>
  <r>
    <s v="A39PWM9C4U0TEP"/>
    <s v="english"/>
    <n v="40"/>
    <s v="male"/>
    <s v="consent"/>
    <x v="0"/>
    <n v="63155"/>
    <s v="NA"/>
    <s v="NA"/>
    <s v="NA"/>
    <s v="NA"/>
    <s v="NA"/>
    <s v="NA"/>
    <s v="NA"/>
    <s v="NA"/>
    <s v="NA"/>
    <s v="NA"/>
    <s v="NA"/>
    <s v="NA"/>
    <s v="NA"/>
    <s v="NA"/>
    <s v="NA"/>
    <s v="NA"/>
    <s v="NA"/>
    <s v="NA"/>
    <s v="NA"/>
    <s v="NA"/>
    <s v="NA"/>
    <s v="NA"/>
    <s v="NA"/>
    <s v="NA"/>
  </r>
  <r>
    <s v="A39PWM9C4U0TEP"/>
    <s v="english"/>
    <n v="40"/>
    <s v="male"/>
    <s v="train"/>
    <x v="2"/>
    <n v="52091"/>
    <n v="0"/>
    <n v="0"/>
    <n v="0"/>
    <n v="1"/>
    <s v="NA"/>
    <s v="NA"/>
    <s v="NA"/>
    <s v="NA"/>
    <s v="NA"/>
    <s v="NA"/>
    <s v="NA"/>
    <s v="NA"/>
    <s v="NA"/>
    <s v="NA"/>
    <s v="NA"/>
    <s v="NA"/>
    <s v="NA"/>
    <s v="NA"/>
    <s v="NA"/>
    <s v="NA"/>
    <s v="NA"/>
    <s v="NA"/>
    <s v="NA"/>
    <s v="NA"/>
  </r>
  <r>
    <s v="A39PWM9C4U0TEP"/>
    <s v="english"/>
    <n v="40"/>
    <s v="male"/>
    <s v="train"/>
    <x v="1"/>
    <n v="39191"/>
    <n v="0"/>
    <n v="1"/>
    <n v="0"/>
    <n v="0"/>
    <s v="NA"/>
    <s v="NA"/>
    <s v="NA"/>
    <s v="NA"/>
    <s v="NA"/>
    <s v="NA"/>
    <s v="NA"/>
    <s v="NA"/>
    <s v="NA"/>
    <s v="NA"/>
    <s v="NA"/>
    <s v="NA"/>
    <s v="NA"/>
    <s v="NA"/>
    <s v="NA"/>
    <s v="NA"/>
    <s v="NA"/>
    <s v="NA"/>
    <s v="NA"/>
    <s v="NA"/>
  </r>
  <r>
    <s v="A39PWM9C4U0TEP"/>
    <s v="english"/>
    <n v="40"/>
    <s v="male"/>
    <s v="test"/>
    <x v="3"/>
    <n v="35357"/>
    <n v="1"/>
    <n v="1"/>
    <n v="1"/>
    <n v="0"/>
    <s v="Bookstores A, B, C, D and E."/>
    <s v="Bookstores D and E."/>
    <s v="Bookstore A."/>
    <s v="exh"/>
    <s v="ms-l"/>
    <s v="mo-h"/>
    <n v="1"/>
    <n v="1"/>
    <n v="0"/>
    <n v="0"/>
    <n v="1"/>
    <n v="0"/>
    <n v="1"/>
    <n v="1"/>
    <n v="1"/>
    <n v="0"/>
    <n v="0"/>
    <n v="1"/>
    <n v="0"/>
    <n v="0"/>
  </r>
  <r>
    <s v="A39PWM9C4U0TEP"/>
    <s v="english"/>
    <n v="40"/>
    <s v="male"/>
    <s v="test"/>
    <x v="9"/>
    <n v="26005"/>
    <n v="1"/>
    <n v="1"/>
    <n v="1"/>
    <n v="0"/>
    <s v="Stalls D and E."/>
    <s v="Stall F."/>
    <s v="Stall E."/>
    <s v="ms-l"/>
    <s v="fa"/>
    <s v="mo-l"/>
    <n v="0"/>
    <n v="0"/>
    <n v="1"/>
    <n v="0"/>
    <n v="1"/>
    <n v="0"/>
    <n v="1"/>
    <n v="0"/>
    <n v="0"/>
    <n v="1"/>
    <n v="0"/>
    <n v="1"/>
    <n v="0"/>
    <n v="0"/>
  </r>
  <r>
    <s v="A39PWM9C4U0TEP"/>
    <s v="english"/>
    <n v="40"/>
    <s v="male"/>
    <s v="control"/>
    <x v="12"/>
    <n v="38592"/>
    <n v="1"/>
    <n v="1"/>
    <n v="0"/>
    <n v="0"/>
    <s v="NA"/>
    <s v="NA"/>
    <s v="NA"/>
    <s v="NA"/>
    <s v="NA"/>
    <s v="NA"/>
    <s v="NA"/>
    <n v="0"/>
    <n v="1"/>
    <n v="0"/>
    <n v="1"/>
    <n v="0"/>
    <n v="1"/>
    <n v="0"/>
    <n v="0"/>
    <n v="1"/>
    <n v="0"/>
    <n v="1"/>
    <n v="0"/>
    <n v="0"/>
  </r>
  <r>
    <s v="A39PWM9C4U0TEP"/>
    <s v="english"/>
    <n v="40"/>
    <s v="male"/>
    <s v="test"/>
    <x v="6"/>
    <n v="18726"/>
    <n v="1"/>
    <n v="1"/>
    <n v="1"/>
    <n v="0"/>
    <s v="Cafe A."/>
    <s v="Cafes A, B, C, D and E."/>
    <s v="Cafes D and E."/>
    <s v="mo-h"/>
    <s v="exh"/>
    <s v="ms-l"/>
    <n v="1"/>
    <n v="1"/>
    <n v="0"/>
    <n v="0"/>
    <n v="1"/>
    <n v="0"/>
    <n v="1"/>
    <n v="1"/>
    <n v="1"/>
    <n v="0"/>
    <n v="0"/>
    <n v="1"/>
    <n v="0"/>
    <n v="0"/>
  </r>
  <r>
    <s v="A39PWM9C4U0TEP"/>
    <s v="english"/>
    <n v="40"/>
    <s v="male"/>
    <s v="test"/>
    <x v="4"/>
    <n v="32512"/>
    <n v="0"/>
    <n v="0"/>
    <n v="0"/>
    <n v="1"/>
    <s v="Dentist A."/>
    <s v="Dentist E."/>
    <s v="Dentists D and E."/>
    <s v="mo-h"/>
    <s v="mo-l"/>
    <s v="ms-l"/>
    <n v="0"/>
    <n v="1"/>
    <n v="1"/>
    <n v="0"/>
    <n v="1"/>
    <n v="0"/>
    <n v="1"/>
    <n v="0"/>
    <n v="0"/>
    <n v="0"/>
    <n v="0"/>
    <n v="0"/>
    <n v="0"/>
    <n v="1"/>
  </r>
  <r>
    <s v="A39PWM9C4U0TEP"/>
    <s v="english"/>
    <n v="40"/>
    <s v="male"/>
    <s v="control"/>
    <x v="5"/>
    <n v="34543"/>
    <n v="0"/>
    <n v="0"/>
    <n v="0"/>
    <n v="1"/>
    <s v="NA"/>
    <s v="NA"/>
    <s v="NA"/>
    <s v="NA"/>
    <s v="NA"/>
    <s v="NA"/>
    <s v="NA"/>
    <n v="1"/>
    <n v="1"/>
    <n v="0"/>
    <n v="1"/>
    <n v="0"/>
    <n v="1"/>
    <n v="0"/>
    <n v="0"/>
    <n v="0"/>
    <n v="0"/>
    <n v="0"/>
    <n v="0"/>
    <n v="1"/>
  </r>
  <r>
    <s v="A39PWM9C4U0TEP"/>
    <s v="english"/>
    <n v="40"/>
    <s v="male"/>
    <s v="test"/>
    <x v="11"/>
    <n v="12931"/>
    <n v="1"/>
    <n v="1"/>
    <n v="1"/>
    <n v="0"/>
    <s v="Stores D and E."/>
    <s v="Store E."/>
    <s v="Stores A and B."/>
    <s v="ms-l"/>
    <s v="mo-l"/>
    <s v="ms-h"/>
    <n v="0"/>
    <n v="0"/>
    <n v="1"/>
    <n v="1"/>
    <n v="1"/>
    <n v="0"/>
    <n v="1"/>
    <n v="0"/>
    <n v="0"/>
    <n v="1"/>
    <n v="1"/>
    <n v="1"/>
    <n v="0"/>
    <n v="0"/>
  </r>
  <r>
    <s v="A39PWM9C4U0TEP"/>
    <s v="english"/>
    <n v="40"/>
    <s v="male"/>
    <s v="control"/>
    <x v="7"/>
    <n v="23106"/>
    <n v="1"/>
    <n v="1"/>
    <n v="0"/>
    <n v="0"/>
    <s v="NA"/>
    <s v="NA"/>
    <s v="NA"/>
    <s v="NA"/>
    <s v="NA"/>
    <s v="NA"/>
    <s v="NA"/>
    <n v="0"/>
    <n v="1"/>
    <n v="1"/>
    <n v="1"/>
    <n v="0"/>
    <n v="1"/>
    <n v="0"/>
    <n v="0"/>
    <n v="1"/>
    <n v="1"/>
    <n v="1"/>
    <n v="0"/>
    <n v="0"/>
  </r>
  <r>
    <s v="A39PWM9C4U0TEP"/>
    <s v="english"/>
    <n v="40"/>
    <s v="male"/>
    <s v="test"/>
    <x v="8"/>
    <n v="12036"/>
    <n v="1"/>
    <n v="1"/>
    <n v="1"/>
    <n v="0"/>
    <s v="Stylists D and E."/>
    <s v="Stylists A and B."/>
    <s v="Stylists A, B, C, D and E."/>
    <s v="ms-l"/>
    <s v="ms-h"/>
    <s v="exh"/>
    <n v="1"/>
    <n v="0"/>
    <n v="0"/>
    <n v="1"/>
    <n v="1"/>
    <n v="0"/>
    <n v="1"/>
    <n v="1"/>
    <n v="0"/>
    <n v="0"/>
    <n v="1"/>
    <n v="1"/>
    <n v="0"/>
    <n v="0"/>
  </r>
  <r>
    <s v="A39PWM9C4U0TEP"/>
    <s v="english"/>
    <n v="40"/>
    <s v="male"/>
    <s v="control"/>
    <x v="10"/>
    <n v="26698"/>
    <n v="1"/>
    <n v="0"/>
    <n v="1"/>
    <n v="0"/>
    <s v="NA"/>
    <s v="NA"/>
    <s v="NA"/>
    <s v="NA"/>
    <s v="NA"/>
    <s v="NA"/>
    <s v="NA"/>
    <n v="0"/>
    <n v="0"/>
    <n v="1"/>
    <n v="1"/>
    <n v="0"/>
    <n v="1"/>
    <n v="1"/>
    <n v="0"/>
    <n v="0"/>
    <n v="1"/>
    <n v="1"/>
    <n v="0"/>
    <n v="0"/>
  </r>
  <r>
    <s v="A39PWM9C4U0TEP"/>
    <s v="english"/>
    <n v="40"/>
    <s v="male"/>
    <s v="exit_quest"/>
    <x v="0"/>
    <n v="81076"/>
    <s v="Yes%2C I think the first question would just to be list all places that serve brunch.  The second question I would answer with my opinion on what it worth checking out and what is not."/>
    <s v="A little%2C I wasn't sure if I was correct or not."/>
    <s v="This was interesting."/>
    <s v="NA"/>
    <s v="NA"/>
    <s v="NA"/>
    <s v="NA"/>
    <s v="NA"/>
    <s v="NA"/>
    <s v="NA"/>
    <s v="NA"/>
    <s v="NA"/>
    <s v="NA"/>
    <s v="NA"/>
    <s v="NA"/>
    <s v="NA"/>
    <s v="NA"/>
    <s v="NA"/>
    <s v="NA"/>
    <s v="NA"/>
    <s v="NA"/>
    <s v="NA"/>
    <s v="NA"/>
    <s v="NA"/>
  </r>
  <r>
    <s v="A1WLRHL0U23N38"/>
    <s v="english"/>
    <n v="28"/>
    <s v="female"/>
    <s v="consent"/>
    <x v="0"/>
    <n v="19758"/>
    <s v="NA"/>
    <s v="NA"/>
    <s v="NA"/>
    <s v="NA"/>
    <s v="NA"/>
    <s v="NA"/>
    <s v="NA"/>
    <s v="NA"/>
    <s v="NA"/>
    <s v="NA"/>
    <s v="NA"/>
    <s v="NA"/>
    <s v="NA"/>
    <s v="NA"/>
    <s v="NA"/>
    <s v="NA"/>
    <s v="NA"/>
    <s v="NA"/>
    <s v="NA"/>
    <s v="NA"/>
    <s v="NA"/>
    <s v="NA"/>
    <s v="NA"/>
    <s v="NA"/>
  </r>
  <r>
    <s v="A1WLRHL0U23N38"/>
    <s v="english"/>
    <n v="28"/>
    <s v="female"/>
    <s v="train"/>
    <x v="1"/>
    <n v="95862"/>
    <n v="0"/>
    <n v="1"/>
    <n v="1"/>
    <n v="0"/>
    <s v="NA"/>
    <s v="NA"/>
    <s v="NA"/>
    <s v="NA"/>
    <s v="NA"/>
    <s v="NA"/>
    <s v="NA"/>
    <s v="NA"/>
    <s v="NA"/>
    <s v="NA"/>
    <s v="NA"/>
    <s v="NA"/>
    <s v="NA"/>
    <s v="NA"/>
    <s v="NA"/>
    <s v="NA"/>
    <s v="NA"/>
    <s v="NA"/>
    <s v="NA"/>
    <s v="NA"/>
  </r>
  <r>
    <s v="A1WLRHL0U23N38"/>
    <s v="english"/>
    <n v="28"/>
    <s v="female"/>
    <s v="train"/>
    <x v="2"/>
    <n v="25242"/>
    <n v="0"/>
    <n v="0"/>
    <n v="0"/>
    <n v="1"/>
    <s v="NA"/>
    <s v="NA"/>
    <s v="NA"/>
    <s v="NA"/>
    <s v="NA"/>
    <s v="NA"/>
    <s v="NA"/>
    <s v="NA"/>
    <s v="NA"/>
    <s v="NA"/>
    <s v="NA"/>
    <s v="NA"/>
    <s v="NA"/>
    <s v="NA"/>
    <s v="NA"/>
    <s v="NA"/>
    <s v="NA"/>
    <s v="NA"/>
    <s v="NA"/>
    <s v="NA"/>
  </r>
  <r>
    <s v="A1WLRHL0U23N38"/>
    <s v="english"/>
    <n v="28"/>
    <s v="female"/>
    <s v="test"/>
    <x v="4"/>
    <n v="56570"/>
    <n v="0"/>
    <n v="0"/>
    <n v="1"/>
    <n v="0"/>
    <s v="Dentists A and B."/>
    <s v="Dentist E."/>
    <s v="Dentists A, B, C, D and E."/>
    <s v="ms-h"/>
    <s v="mo-l"/>
    <s v="exh"/>
    <n v="1"/>
    <n v="0"/>
    <n v="1"/>
    <n v="1"/>
    <n v="0"/>
    <n v="0"/>
    <n v="1"/>
    <n v="1"/>
    <n v="0"/>
    <n v="0"/>
    <n v="0"/>
    <n v="0"/>
    <n v="0"/>
    <n v="0"/>
  </r>
  <r>
    <s v="A1WLRHL0U23N38"/>
    <s v="english"/>
    <n v="28"/>
    <s v="female"/>
    <s v="test"/>
    <x v="3"/>
    <n v="43883"/>
    <n v="1"/>
    <n v="0"/>
    <n v="0"/>
    <n v="0"/>
    <s v="Bookstores A, B, C, D and E."/>
    <s v="Bookstores D and E."/>
    <s v="Bookstores A and B."/>
    <s v="exh"/>
    <s v="ms-l"/>
    <s v="ms-h"/>
    <n v="1"/>
    <n v="0"/>
    <n v="0"/>
    <n v="1"/>
    <n v="1"/>
    <n v="0"/>
    <n v="1"/>
    <n v="1"/>
    <n v="0"/>
    <n v="0"/>
    <n v="0"/>
    <n v="0"/>
    <n v="0"/>
    <n v="0"/>
  </r>
  <r>
    <s v="A1WLRHL0U23N38"/>
    <s v="english"/>
    <n v="28"/>
    <s v="female"/>
    <s v="control"/>
    <x v="5"/>
    <n v="24028"/>
    <n v="0"/>
    <n v="0"/>
    <n v="0"/>
    <n v="1"/>
    <s v="NA"/>
    <s v="NA"/>
    <s v="NA"/>
    <s v="NA"/>
    <s v="NA"/>
    <s v="NA"/>
    <s v="NA"/>
    <n v="0"/>
    <n v="0"/>
    <n v="1"/>
    <n v="1"/>
    <n v="0"/>
    <n v="1"/>
    <n v="1"/>
    <n v="0"/>
    <n v="0"/>
    <n v="0"/>
    <n v="0"/>
    <n v="0"/>
    <n v="0"/>
  </r>
  <r>
    <s v="A1WLRHL0U23N38"/>
    <s v="english"/>
    <n v="28"/>
    <s v="female"/>
    <s v="test"/>
    <x v="8"/>
    <n v="32979"/>
    <n v="0"/>
    <n v="0"/>
    <n v="1"/>
    <n v="0"/>
    <s v="Stylist E."/>
    <s v="Stylist F."/>
    <s v="Stylists D and E."/>
    <s v="mo-l"/>
    <s v="fa"/>
    <s v="ms-l"/>
    <n v="0"/>
    <n v="0"/>
    <n v="1"/>
    <n v="0"/>
    <n v="1"/>
    <n v="0"/>
    <n v="1"/>
    <n v="0"/>
    <n v="0"/>
    <n v="0"/>
    <n v="0"/>
    <n v="1"/>
    <n v="0"/>
    <n v="0"/>
  </r>
  <r>
    <s v="A1WLRHL0U23N38"/>
    <s v="english"/>
    <n v="28"/>
    <s v="female"/>
    <s v="control"/>
    <x v="7"/>
    <n v="12773"/>
    <n v="0"/>
    <n v="1"/>
    <n v="0"/>
    <n v="0"/>
    <s v="NA"/>
    <s v="NA"/>
    <s v="NA"/>
    <s v="NA"/>
    <s v="NA"/>
    <s v="NA"/>
    <s v="NA"/>
    <n v="0"/>
    <n v="1"/>
    <n v="0"/>
    <n v="1"/>
    <n v="0"/>
    <n v="1"/>
    <n v="0"/>
    <n v="0"/>
    <n v="0"/>
    <n v="0"/>
    <n v="1"/>
    <n v="0"/>
    <n v="0"/>
  </r>
  <r>
    <s v="A1WLRHL0U23N38"/>
    <s v="english"/>
    <n v="28"/>
    <s v="female"/>
    <s v="test"/>
    <x v="9"/>
    <n v="8328"/>
    <n v="1"/>
    <n v="0"/>
    <n v="0"/>
    <n v="0"/>
    <s v="Stall F."/>
    <s v="Stall E."/>
    <s v="Stall A."/>
    <s v="fa"/>
    <s v="mo-l"/>
    <s v="mo-h"/>
    <n v="0"/>
    <n v="1"/>
    <n v="1"/>
    <n v="0"/>
    <n v="0"/>
    <n v="0"/>
    <n v="1"/>
    <n v="0"/>
    <n v="0"/>
    <n v="0"/>
    <n v="0"/>
    <n v="0"/>
    <n v="0"/>
    <n v="0"/>
  </r>
  <r>
    <s v="A1WLRHL0U23N38"/>
    <s v="english"/>
    <n v="28"/>
    <s v="female"/>
    <s v="test"/>
    <x v="6"/>
    <n v="23546"/>
    <n v="1"/>
    <n v="1"/>
    <n v="1"/>
    <n v="0"/>
    <s v="Cafe E."/>
    <s v="Cafes A and B."/>
    <s v="Cafe F."/>
    <s v="mo-l"/>
    <s v="ms-h"/>
    <s v="fa"/>
    <n v="0"/>
    <n v="0"/>
    <n v="1"/>
    <n v="1"/>
    <n v="0"/>
    <n v="0"/>
    <n v="1"/>
    <n v="0"/>
    <n v="0"/>
    <n v="1"/>
    <n v="1"/>
    <n v="0"/>
    <n v="0"/>
    <n v="0"/>
  </r>
  <r>
    <s v="A1WLRHL0U23N38"/>
    <s v="english"/>
    <n v="28"/>
    <s v="female"/>
    <s v="control"/>
    <x v="10"/>
    <n v="8127"/>
    <n v="0"/>
    <n v="0"/>
    <n v="1"/>
    <n v="0"/>
    <s v="NA"/>
    <s v="NA"/>
    <s v="NA"/>
    <s v="NA"/>
    <s v="NA"/>
    <s v="NA"/>
    <s v="NA"/>
    <n v="0"/>
    <n v="1"/>
    <n v="1"/>
    <n v="0"/>
    <n v="0"/>
    <n v="1"/>
    <n v="0"/>
    <n v="0"/>
    <n v="1"/>
    <n v="1"/>
    <n v="0"/>
    <n v="0"/>
    <n v="0"/>
  </r>
  <r>
    <s v="A1WLRHL0U23N38"/>
    <s v="english"/>
    <n v="28"/>
    <s v="female"/>
    <s v="test"/>
    <x v="11"/>
    <n v="8369"/>
    <n v="0"/>
    <n v="0"/>
    <n v="1"/>
    <n v="0"/>
    <s v="Store A."/>
    <s v="Store E."/>
    <s v="Stores A, B, C, D and E."/>
    <s v="mo-h"/>
    <s v="mo-l"/>
    <s v="exh"/>
    <n v="1"/>
    <n v="1"/>
    <n v="1"/>
    <n v="0"/>
    <n v="0"/>
    <n v="0"/>
    <n v="1"/>
    <n v="1"/>
    <n v="0"/>
    <n v="0"/>
    <n v="0"/>
    <n v="0"/>
    <n v="0"/>
    <n v="0"/>
  </r>
  <r>
    <s v="A1WLRHL0U23N38"/>
    <s v="english"/>
    <n v="28"/>
    <s v="female"/>
    <s v="control"/>
    <x v="12"/>
    <n v="12011"/>
    <n v="1"/>
    <n v="0"/>
    <n v="0"/>
    <n v="0"/>
    <s v="NA"/>
    <s v="NA"/>
    <s v="NA"/>
    <s v="NA"/>
    <s v="NA"/>
    <s v="NA"/>
    <s v="NA"/>
    <n v="1"/>
    <n v="1"/>
    <n v="0"/>
    <n v="0"/>
    <n v="0"/>
    <n v="1"/>
    <n v="1"/>
    <n v="0"/>
    <n v="0"/>
    <n v="0"/>
    <n v="0"/>
    <n v="0"/>
    <n v="0"/>
  </r>
  <r>
    <s v="A1WLRHL0U23N38"/>
    <s v="english"/>
    <n v="28"/>
    <s v="female"/>
    <s v="exit_quest"/>
    <x v="0"/>
    <n v="74927"/>
    <s v="No%2C because both are asking the same thing about where brunch is served."/>
    <s v="Not really. Just plain English is simple."/>
    <s v="none"/>
    <s v="NA"/>
    <s v="NA"/>
    <s v="NA"/>
    <s v="NA"/>
    <s v="NA"/>
    <s v="NA"/>
    <s v="NA"/>
    <s v="NA"/>
    <s v="NA"/>
    <s v="NA"/>
    <s v="NA"/>
    <s v="NA"/>
    <s v="NA"/>
    <s v="NA"/>
    <s v="NA"/>
    <s v="NA"/>
    <s v="NA"/>
    <s v="NA"/>
    <s v="NA"/>
    <s v="NA"/>
    <s v="NA"/>
  </r>
  <r>
    <s v="AW9WE7LS8R57M"/>
    <s v="english"/>
    <n v="30"/>
    <s v="male"/>
    <s v="consent"/>
    <x v="0"/>
    <n v="65535"/>
    <s v="NA"/>
    <s v="NA"/>
    <s v="NA"/>
    <s v="NA"/>
    <s v="NA"/>
    <s v="NA"/>
    <s v="NA"/>
    <s v="NA"/>
    <s v="NA"/>
    <s v="NA"/>
    <s v="NA"/>
    <s v="NA"/>
    <s v="NA"/>
    <s v="NA"/>
    <s v="NA"/>
    <s v="NA"/>
    <s v="NA"/>
    <s v="NA"/>
    <s v="NA"/>
    <s v="NA"/>
    <s v="NA"/>
    <s v="NA"/>
    <s v="NA"/>
    <s v="NA"/>
  </r>
  <r>
    <s v="AW9WE7LS8R57M"/>
    <s v="english"/>
    <n v="30"/>
    <s v="male"/>
    <s v="train"/>
    <x v="2"/>
    <n v="45666"/>
    <n v="0"/>
    <n v="0"/>
    <n v="0"/>
    <n v="1"/>
    <s v="NA"/>
    <s v="NA"/>
    <s v="NA"/>
    <s v="NA"/>
    <s v="NA"/>
    <s v="NA"/>
    <s v="NA"/>
    <s v="NA"/>
    <s v="NA"/>
    <s v="NA"/>
    <s v="NA"/>
    <s v="NA"/>
    <s v="NA"/>
    <s v="NA"/>
    <s v="NA"/>
    <s v="NA"/>
    <s v="NA"/>
    <s v="NA"/>
    <s v="NA"/>
    <s v="NA"/>
  </r>
  <r>
    <s v="AW9WE7LS8R57M"/>
    <s v="english"/>
    <n v="30"/>
    <s v="male"/>
    <s v="train"/>
    <x v="1"/>
    <n v="83418"/>
    <n v="0"/>
    <n v="0"/>
    <n v="1"/>
    <n v="0"/>
    <s v="NA"/>
    <s v="NA"/>
    <s v="NA"/>
    <s v="NA"/>
    <s v="NA"/>
    <s v="NA"/>
    <s v="NA"/>
    <s v="NA"/>
    <s v="NA"/>
    <s v="NA"/>
    <s v="NA"/>
    <s v="NA"/>
    <s v="NA"/>
    <s v="NA"/>
    <s v="NA"/>
    <s v="NA"/>
    <s v="NA"/>
    <s v="NA"/>
    <s v="NA"/>
    <s v="NA"/>
  </r>
  <r>
    <s v="AW9WE7LS8R57M"/>
    <s v="english"/>
    <n v="30"/>
    <s v="male"/>
    <s v="test"/>
    <x v="11"/>
    <n v="85472"/>
    <n v="0"/>
    <n v="1"/>
    <n v="0"/>
    <n v="0"/>
    <s v="Stores D and E."/>
    <s v="Stores A and B."/>
    <s v="Store E."/>
    <s v="ms-l"/>
    <s v="ms-h"/>
    <s v="mo-l"/>
    <n v="0"/>
    <n v="0"/>
    <n v="1"/>
    <n v="1"/>
    <n v="1"/>
    <n v="0"/>
    <n v="1"/>
    <n v="0"/>
    <n v="0"/>
    <n v="0"/>
    <n v="1"/>
    <n v="0"/>
    <n v="0"/>
    <n v="0"/>
  </r>
  <r>
    <s v="AW9WE7LS8R57M"/>
    <s v="english"/>
    <n v="30"/>
    <s v="male"/>
    <s v="control"/>
    <x v="5"/>
    <n v="67621"/>
    <n v="0"/>
    <n v="0"/>
    <n v="1"/>
    <n v="0"/>
    <s v="NA"/>
    <s v="NA"/>
    <s v="NA"/>
    <s v="NA"/>
    <s v="NA"/>
    <s v="NA"/>
    <s v="NA"/>
    <n v="0"/>
    <n v="1"/>
    <n v="1"/>
    <n v="1"/>
    <n v="0"/>
    <n v="1"/>
    <n v="0"/>
    <n v="0"/>
    <n v="0"/>
    <n v="1"/>
    <n v="0"/>
    <n v="0"/>
    <n v="0"/>
  </r>
  <r>
    <s v="AW9WE7LS8R57M"/>
    <s v="english"/>
    <n v="30"/>
    <s v="male"/>
    <s v="test"/>
    <x v="6"/>
    <n v="24333"/>
    <n v="0"/>
    <n v="0"/>
    <n v="1"/>
    <n v="0"/>
    <s v="Cafes D and E."/>
    <s v="Cafe F."/>
    <s v="Cafe A."/>
    <s v="ms-l"/>
    <s v="fa"/>
    <s v="mo-h"/>
    <n v="0"/>
    <n v="1"/>
    <n v="0"/>
    <n v="0"/>
    <n v="1"/>
    <n v="0"/>
    <n v="1"/>
    <n v="0"/>
    <n v="1"/>
    <n v="0"/>
    <n v="0"/>
    <n v="0"/>
    <n v="0"/>
    <n v="0"/>
  </r>
  <r>
    <s v="AW9WE7LS8R57M"/>
    <s v="english"/>
    <n v="30"/>
    <s v="male"/>
    <s v="test"/>
    <x v="3"/>
    <n v="7887"/>
    <n v="0"/>
    <n v="1"/>
    <n v="0"/>
    <n v="0"/>
    <s v="Bookstores A and B."/>
    <s v="Bookstores D and E."/>
    <s v="Bookstore A."/>
    <s v="ms-h"/>
    <s v="ms-l"/>
    <s v="mo-h"/>
    <n v="0"/>
    <n v="1"/>
    <n v="0"/>
    <n v="1"/>
    <n v="1"/>
    <n v="0"/>
    <n v="1"/>
    <n v="0"/>
    <n v="0"/>
    <n v="0"/>
    <n v="0"/>
    <n v="1"/>
    <n v="0"/>
    <n v="0"/>
  </r>
  <r>
    <s v="AW9WE7LS8R57M"/>
    <s v="english"/>
    <n v="30"/>
    <s v="male"/>
    <s v="control"/>
    <x v="12"/>
    <n v="14694"/>
    <n v="0"/>
    <n v="1"/>
    <n v="1"/>
    <n v="0"/>
    <s v="NA"/>
    <s v="NA"/>
    <s v="NA"/>
    <s v="NA"/>
    <s v="NA"/>
    <s v="NA"/>
    <s v="NA"/>
    <n v="1"/>
    <n v="0"/>
    <n v="1"/>
    <n v="1"/>
    <n v="0"/>
    <n v="1"/>
    <n v="0"/>
    <n v="0"/>
    <n v="0"/>
    <n v="0"/>
    <n v="1"/>
    <n v="0"/>
    <n v="0"/>
  </r>
  <r>
    <s v="AW9WE7LS8R57M"/>
    <s v="english"/>
    <n v="30"/>
    <s v="male"/>
    <s v="test"/>
    <x v="8"/>
    <n v="16054"/>
    <n v="1"/>
    <n v="0"/>
    <n v="0"/>
    <n v="0"/>
    <s v="Stylist E."/>
    <s v="Stylist A."/>
    <s v="Stylists D and E."/>
    <s v="mo-l"/>
    <s v="mo-h"/>
    <s v="ms-l"/>
    <n v="0"/>
    <n v="1"/>
    <n v="1"/>
    <n v="0"/>
    <n v="1"/>
    <n v="0"/>
    <n v="1"/>
    <n v="0"/>
    <n v="0"/>
    <n v="1"/>
    <n v="0"/>
    <n v="0"/>
    <n v="0"/>
    <n v="0"/>
  </r>
  <r>
    <s v="AW9WE7LS8R57M"/>
    <s v="english"/>
    <n v="30"/>
    <s v="male"/>
    <s v="control"/>
    <x v="10"/>
    <n v="15416"/>
    <n v="0"/>
    <n v="0"/>
    <n v="1"/>
    <n v="0"/>
    <s v="NA"/>
    <s v="NA"/>
    <s v="NA"/>
    <s v="NA"/>
    <s v="NA"/>
    <s v="NA"/>
    <s v="NA"/>
    <n v="1"/>
    <n v="1"/>
    <n v="0"/>
    <n v="1"/>
    <n v="0"/>
    <n v="1"/>
    <n v="0"/>
    <n v="0"/>
    <n v="1"/>
    <n v="0"/>
    <n v="0"/>
    <n v="0"/>
    <n v="0"/>
  </r>
  <r>
    <s v="AW9WE7LS8R57M"/>
    <s v="english"/>
    <n v="30"/>
    <s v="male"/>
    <s v="test"/>
    <x v="9"/>
    <n v="11806"/>
    <n v="0"/>
    <n v="1"/>
    <n v="0"/>
    <n v="0"/>
    <s v="Stall A."/>
    <s v="Stalls A and B."/>
    <s v="Stalls D and E."/>
    <s v="mo-h"/>
    <s v="ms-h"/>
    <s v="ms-l"/>
    <n v="0"/>
    <n v="1"/>
    <n v="0"/>
    <n v="1"/>
    <n v="1"/>
    <n v="0"/>
    <n v="1"/>
    <n v="0"/>
    <n v="0"/>
    <n v="0"/>
    <n v="1"/>
    <n v="0"/>
    <n v="0"/>
    <n v="0"/>
  </r>
  <r>
    <s v="AW9WE7LS8R57M"/>
    <s v="english"/>
    <n v="30"/>
    <s v="male"/>
    <s v="test"/>
    <x v="4"/>
    <n v="4333"/>
    <n v="0"/>
    <n v="0"/>
    <n v="1"/>
    <n v="0"/>
    <s v="Dentist F."/>
    <s v="Dentist A."/>
    <s v="Dentists D and E."/>
    <s v="fa"/>
    <s v="mo-h"/>
    <s v="ms-l"/>
    <n v="0"/>
    <n v="1"/>
    <n v="0"/>
    <n v="0"/>
    <n v="1"/>
    <n v="0"/>
    <n v="1"/>
    <n v="0"/>
    <n v="0"/>
    <n v="0"/>
    <n v="0"/>
    <n v="1"/>
    <n v="0"/>
    <n v="0"/>
  </r>
  <r>
    <s v="AW9WE7LS8R57M"/>
    <s v="english"/>
    <n v="30"/>
    <s v="male"/>
    <s v="control"/>
    <x v="7"/>
    <n v="5038"/>
    <n v="0"/>
    <n v="0"/>
    <n v="1"/>
    <n v="0"/>
    <s v="NA"/>
    <s v="NA"/>
    <s v="NA"/>
    <s v="NA"/>
    <s v="NA"/>
    <s v="NA"/>
    <s v="NA"/>
    <n v="1"/>
    <n v="0"/>
    <n v="0"/>
    <n v="1"/>
    <n v="0"/>
    <n v="1"/>
    <n v="0"/>
    <n v="0"/>
    <n v="0"/>
    <n v="0"/>
    <n v="1"/>
    <n v="0"/>
    <n v="0"/>
  </r>
  <r>
    <s v="AW9WE7LS8R57M"/>
    <s v="english"/>
    <n v="30"/>
    <s v="male"/>
    <s v="exit_quest"/>
    <x v="0"/>
    <n v="90457"/>
    <s v="wherever she can go to brunch"/>
    <s v="no this is not difficult"/>
    <s v="good"/>
    <s v="NA"/>
    <s v="NA"/>
    <s v="NA"/>
    <s v="NA"/>
    <s v="NA"/>
    <s v="NA"/>
    <s v="NA"/>
    <s v="NA"/>
    <s v="NA"/>
    <s v="NA"/>
    <s v="NA"/>
    <s v="NA"/>
    <s v="NA"/>
    <s v="NA"/>
    <s v="NA"/>
    <s v="NA"/>
    <s v="NA"/>
    <s v="NA"/>
    <s v="NA"/>
    <s v="NA"/>
    <s v="NA"/>
  </r>
  <r>
    <s v="A1PZIN8H1VI6SY"/>
    <s v="english"/>
    <n v="40"/>
    <s v="male"/>
    <s v="consent"/>
    <x v="0"/>
    <n v="25265"/>
    <s v="NA"/>
    <s v="NA"/>
    <s v="NA"/>
    <s v="NA"/>
    <s v="NA"/>
    <s v="NA"/>
    <s v="NA"/>
    <s v="NA"/>
    <s v="NA"/>
    <s v="NA"/>
    <s v="NA"/>
    <s v="NA"/>
    <s v="NA"/>
    <s v="NA"/>
    <s v="NA"/>
    <s v="NA"/>
    <s v="NA"/>
    <s v="NA"/>
    <s v="NA"/>
    <s v="NA"/>
    <s v="NA"/>
    <s v="NA"/>
    <s v="NA"/>
    <s v="NA"/>
  </r>
  <r>
    <s v="A1PZIN8H1VI6SY"/>
    <s v="english"/>
    <n v="40"/>
    <s v="male"/>
    <s v="train"/>
    <x v="2"/>
    <n v="76513"/>
    <n v="0"/>
    <n v="0"/>
    <n v="0"/>
    <n v="1"/>
    <s v="NA"/>
    <s v="NA"/>
    <s v="NA"/>
    <s v="NA"/>
    <s v="NA"/>
    <s v="NA"/>
    <s v="NA"/>
    <s v="NA"/>
    <s v="NA"/>
    <s v="NA"/>
    <s v="NA"/>
    <s v="NA"/>
    <s v="NA"/>
    <s v="NA"/>
    <s v="NA"/>
    <s v="NA"/>
    <s v="NA"/>
    <s v="NA"/>
    <s v="NA"/>
    <s v="NA"/>
  </r>
  <r>
    <s v="A1PZIN8H1VI6SY"/>
    <s v="english"/>
    <n v="40"/>
    <s v="male"/>
    <s v="train"/>
    <x v="1"/>
    <n v="61828"/>
    <n v="0"/>
    <n v="0"/>
    <n v="1"/>
    <n v="0"/>
    <s v="NA"/>
    <s v="NA"/>
    <s v="NA"/>
    <s v="NA"/>
    <s v="NA"/>
    <s v="NA"/>
    <s v="NA"/>
    <s v="NA"/>
    <s v="NA"/>
    <s v="NA"/>
    <s v="NA"/>
    <s v="NA"/>
    <s v="NA"/>
    <s v="NA"/>
    <s v="NA"/>
    <s v="NA"/>
    <s v="NA"/>
    <s v="NA"/>
    <s v="NA"/>
    <s v="NA"/>
  </r>
  <r>
    <s v="A1PZIN8H1VI6SY"/>
    <s v="english"/>
    <n v="40"/>
    <s v="male"/>
    <s v="test"/>
    <x v="6"/>
    <n v="64591"/>
    <n v="0"/>
    <n v="0"/>
    <n v="0"/>
    <n v="1"/>
    <s v="Cafes A and B."/>
    <s v="Cafe F."/>
    <s v="Cafes D and E."/>
    <s v="ms-h"/>
    <s v="fa"/>
    <s v="ms-l"/>
    <n v="0"/>
    <n v="0"/>
    <n v="0"/>
    <n v="1"/>
    <n v="1"/>
    <n v="0"/>
    <n v="1"/>
    <n v="0"/>
    <n v="0"/>
    <n v="0"/>
    <n v="0"/>
    <n v="0"/>
    <n v="0"/>
    <n v="1"/>
  </r>
  <r>
    <s v="A1PZIN8H1VI6SY"/>
    <s v="english"/>
    <n v="40"/>
    <s v="male"/>
    <s v="test"/>
    <x v="11"/>
    <n v="27004"/>
    <n v="1"/>
    <n v="0"/>
    <n v="0"/>
    <n v="1"/>
    <s v="Stores D and E."/>
    <s v="Store E."/>
    <s v="Store F."/>
    <s v="ms-l"/>
    <s v="mo-l"/>
    <s v="fa"/>
    <n v="0"/>
    <n v="0"/>
    <n v="1"/>
    <n v="0"/>
    <n v="1"/>
    <n v="0"/>
    <n v="1"/>
    <n v="0"/>
    <n v="0"/>
    <n v="0"/>
    <n v="0"/>
    <n v="1"/>
    <n v="0"/>
    <n v="1"/>
  </r>
  <r>
    <s v="A1PZIN8H1VI6SY"/>
    <s v="english"/>
    <n v="40"/>
    <s v="male"/>
    <s v="control"/>
    <x v="5"/>
    <n v="31013"/>
    <n v="0"/>
    <n v="1"/>
    <n v="0"/>
    <n v="0"/>
    <s v="NA"/>
    <s v="NA"/>
    <s v="NA"/>
    <s v="NA"/>
    <s v="NA"/>
    <s v="NA"/>
    <s v="NA"/>
    <n v="0"/>
    <n v="1"/>
    <n v="0"/>
    <n v="1"/>
    <n v="0"/>
    <n v="1"/>
    <n v="0"/>
    <n v="0"/>
    <n v="0"/>
    <n v="0"/>
    <n v="1"/>
    <n v="0"/>
    <n v="1"/>
  </r>
  <r>
    <s v="A1PZIN8H1VI6SY"/>
    <s v="english"/>
    <n v="40"/>
    <s v="male"/>
    <s v="test"/>
    <x v="4"/>
    <n v="16461"/>
    <n v="0"/>
    <n v="1"/>
    <n v="0"/>
    <n v="0"/>
    <s v="Dentists A, B, C, D and E."/>
    <s v="Dentists A and B."/>
    <s v="Dentist F."/>
    <s v="exh"/>
    <s v="ms-h"/>
    <s v="fa"/>
    <n v="1"/>
    <n v="0"/>
    <n v="0"/>
    <n v="1"/>
    <n v="0"/>
    <n v="0"/>
    <n v="1"/>
    <n v="0"/>
    <n v="0"/>
    <n v="0"/>
    <n v="1"/>
    <n v="0"/>
    <n v="0"/>
    <n v="0"/>
  </r>
  <r>
    <s v="A1PZIN8H1VI6SY"/>
    <s v="english"/>
    <n v="40"/>
    <s v="male"/>
    <s v="test"/>
    <x v="3"/>
    <n v="12076"/>
    <n v="1"/>
    <n v="0"/>
    <n v="0"/>
    <n v="0"/>
    <s v="Bookstore A."/>
    <s v="Bookstores A and B."/>
    <s v="Bookstore E."/>
    <s v="mo-h"/>
    <s v="ms-h"/>
    <s v="mo-l"/>
    <n v="0"/>
    <n v="1"/>
    <n v="1"/>
    <n v="1"/>
    <n v="0"/>
    <n v="0"/>
    <n v="1"/>
    <n v="0"/>
    <n v="1"/>
    <n v="0"/>
    <n v="0"/>
    <n v="0"/>
    <n v="0"/>
    <n v="0"/>
  </r>
  <r>
    <s v="A1PZIN8H1VI6SY"/>
    <s v="english"/>
    <n v="40"/>
    <s v="male"/>
    <s v="control"/>
    <x v="12"/>
    <n v="18642"/>
    <n v="0"/>
    <n v="0"/>
    <n v="0"/>
    <n v="1"/>
    <s v="NA"/>
    <s v="NA"/>
    <s v="NA"/>
    <s v="NA"/>
    <s v="NA"/>
    <s v="NA"/>
    <s v="NA"/>
    <n v="1"/>
    <n v="1"/>
    <n v="1"/>
    <n v="0"/>
    <n v="0"/>
    <n v="1"/>
    <n v="0"/>
    <n v="1"/>
    <n v="0"/>
    <n v="0"/>
    <n v="0"/>
    <n v="0"/>
    <n v="0"/>
  </r>
  <r>
    <s v="A1PZIN8H1VI6SY"/>
    <s v="english"/>
    <n v="40"/>
    <s v="male"/>
    <s v="test"/>
    <x v="9"/>
    <n v="7523"/>
    <n v="0"/>
    <n v="1"/>
    <n v="1"/>
    <n v="0"/>
    <s v="Stalls D and E."/>
    <s v="Stalls A and B."/>
    <s v="Stall F."/>
    <s v="ms-l"/>
    <s v="ms-h"/>
    <s v="fa"/>
    <n v="0"/>
    <n v="0"/>
    <n v="0"/>
    <n v="1"/>
    <n v="1"/>
    <n v="0"/>
    <n v="1"/>
    <n v="0"/>
    <n v="0"/>
    <n v="0"/>
    <n v="1"/>
    <n v="0"/>
    <n v="0"/>
    <n v="0"/>
  </r>
  <r>
    <s v="A1PZIN8H1VI6SY"/>
    <s v="english"/>
    <n v="40"/>
    <s v="male"/>
    <s v="control"/>
    <x v="10"/>
    <n v="3382"/>
    <n v="0"/>
    <n v="1"/>
    <n v="0"/>
    <n v="0"/>
    <s v="NA"/>
    <s v="NA"/>
    <s v="NA"/>
    <s v="NA"/>
    <s v="NA"/>
    <s v="NA"/>
    <s v="NA"/>
    <n v="0"/>
    <n v="0"/>
    <n v="1"/>
    <n v="1"/>
    <n v="0"/>
    <n v="1"/>
    <n v="0"/>
    <n v="0"/>
    <n v="0"/>
    <n v="1"/>
    <n v="0"/>
    <n v="0"/>
    <n v="0"/>
  </r>
  <r>
    <s v="A1PZIN8H1VI6SY"/>
    <s v="english"/>
    <n v="40"/>
    <s v="male"/>
    <s v="test"/>
    <x v="8"/>
    <n v="5380"/>
    <n v="0"/>
    <n v="0"/>
    <n v="0"/>
    <n v="1"/>
    <s v="Stylist A."/>
    <s v="Stylists A and B."/>
    <s v="Stylists D and E."/>
    <s v="mo-h"/>
    <s v="ms-h"/>
    <s v="ms-l"/>
    <n v="0"/>
    <n v="1"/>
    <n v="0"/>
    <n v="1"/>
    <n v="1"/>
    <n v="0"/>
    <n v="1"/>
    <n v="0"/>
    <n v="0"/>
    <n v="0"/>
    <n v="0"/>
    <n v="0"/>
    <n v="0"/>
    <n v="1"/>
  </r>
  <r>
    <s v="A1PZIN8H1VI6SY"/>
    <s v="english"/>
    <n v="40"/>
    <s v="male"/>
    <s v="control"/>
    <x v="7"/>
    <n v="28159"/>
    <n v="0"/>
    <n v="0"/>
    <n v="0"/>
    <n v="1"/>
    <s v="NA"/>
    <s v="NA"/>
    <s v="NA"/>
    <s v="NA"/>
    <s v="NA"/>
    <s v="NA"/>
    <s v="NA"/>
    <n v="1"/>
    <n v="0"/>
    <n v="1"/>
    <n v="1"/>
    <n v="0"/>
    <n v="1"/>
    <n v="0"/>
    <n v="0"/>
    <n v="0"/>
    <n v="0"/>
    <n v="0"/>
    <n v="0"/>
    <n v="1"/>
  </r>
  <r>
    <s v="A1PZIN8H1VI6SY"/>
    <s v="english"/>
    <n v="40"/>
    <s v="male"/>
    <s v="exit_quest"/>
    <x v="0"/>
    <n v="118764"/>
    <s v="because its more gentil to ask where can i go for brunch in town than the other way to talk%2C allways we need to talk saft and easy to  the persons thats the better way to do the things in your life"/>
    <s v="very easy to do "/>
    <s v="very good survey"/>
    <s v="NA"/>
    <s v="NA"/>
    <s v="NA"/>
    <s v="NA"/>
    <s v="NA"/>
    <s v="NA"/>
    <s v="NA"/>
    <s v="NA"/>
    <s v="NA"/>
    <s v="NA"/>
    <s v="NA"/>
    <s v="NA"/>
    <s v="NA"/>
    <s v="NA"/>
    <s v="NA"/>
    <s v="NA"/>
    <s v="NA"/>
    <s v="NA"/>
    <s v="NA"/>
    <s v="NA"/>
    <s v="NA"/>
  </r>
  <r>
    <s v="A173XG3NZ7JPT7"/>
    <s v="english"/>
    <n v="41"/>
    <s v="female"/>
    <s v="consent"/>
    <x v="0"/>
    <n v="99167"/>
    <s v="NA"/>
    <s v="NA"/>
    <s v="NA"/>
    <s v="NA"/>
    <s v="NA"/>
    <s v="NA"/>
    <s v="NA"/>
    <s v="NA"/>
    <s v="NA"/>
    <s v="NA"/>
    <s v="NA"/>
    <s v="NA"/>
    <s v="NA"/>
    <s v="NA"/>
    <s v="NA"/>
    <s v="NA"/>
    <s v="NA"/>
    <s v="NA"/>
    <s v="NA"/>
    <s v="NA"/>
    <s v="NA"/>
    <s v="NA"/>
    <s v="NA"/>
    <s v="NA"/>
  </r>
  <r>
    <s v="A173XG3NZ7JPT7"/>
    <s v="english"/>
    <n v="41"/>
    <s v="female"/>
    <s v="train"/>
    <x v="2"/>
    <n v="37633"/>
    <n v="0"/>
    <n v="0"/>
    <n v="0"/>
    <n v="1"/>
    <s v="NA"/>
    <s v="NA"/>
    <s v="NA"/>
    <s v="NA"/>
    <s v="NA"/>
    <s v="NA"/>
    <s v="NA"/>
    <s v="NA"/>
    <s v="NA"/>
    <s v="NA"/>
    <s v="NA"/>
    <s v="NA"/>
    <s v="NA"/>
    <s v="NA"/>
    <s v="NA"/>
    <s v="NA"/>
    <s v="NA"/>
    <s v="NA"/>
    <s v="NA"/>
    <s v="NA"/>
  </r>
  <r>
    <s v="A173XG3NZ7JPT7"/>
    <s v="english"/>
    <n v="41"/>
    <s v="female"/>
    <s v="train"/>
    <x v="1"/>
    <n v="33990"/>
    <n v="0"/>
    <n v="0"/>
    <n v="1"/>
    <n v="0"/>
    <s v="NA"/>
    <s v="NA"/>
    <s v="NA"/>
    <s v="NA"/>
    <s v="NA"/>
    <s v="NA"/>
    <s v="NA"/>
    <s v="NA"/>
    <s v="NA"/>
    <s v="NA"/>
    <s v="NA"/>
    <s v="NA"/>
    <s v="NA"/>
    <s v="NA"/>
    <s v="NA"/>
    <s v="NA"/>
    <s v="NA"/>
    <s v="NA"/>
    <s v="NA"/>
    <s v="NA"/>
  </r>
  <r>
    <s v="A173XG3NZ7JPT7"/>
    <s v="english"/>
    <n v="41"/>
    <s v="female"/>
    <s v="test"/>
    <x v="3"/>
    <n v="39910"/>
    <n v="1"/>
    <n v="1"/>
    <n v="1"/>
    <n v="0"/>
    <s v="Bookstores D and E."/>
    <s v="Bookstores A, B, C, D and E."/>
    <s v="Bookstore A."/>
    <s v="ms-l"/>
    <s v="exh"/>
    <s v="mo-h"/>
    <n v="1"/>
    <n v="1"/>
    <n v="0"/>
    <n v="0"/>
    <n v="1"/>
    <n v="0"/>
    <n v="1"/>
    <n v="1"/>
    <n v="1"/>
    <n v="0"/>
    <n v="0"/>
    <n v="1"/>
    <n v="0"/>
    <n v="0"/>
  </r>
  <r>
    <s v="A173XG3NZ7JPT7"/>
    <s v="english"/>
    <n v="41"/>
    <s v="female"/>
    <s v="control"/>
    <x v="10"/>
    <n v="32008"/>
    <n v="1"/>
    <n v="1"/>
    <n v="1"/>
    <n v="0"/>
    <s v="NA"/>
    <s v="NA"/>
    <s v="NA"/>
    <s v="NA"/>
    <s v="NA"/>
    <s v="NA"/>
    <s v="NA"/>
    <n v="1"/>
    <n v="0"/>
    <n v="0"/>
    <n v="1"/>
    <n v="0"/>
    <n v="1"/>
    <n v="1"/>
    <n v="1"/>
    <n v="0"/>
    <n v="0"/>
    <n v="1"/>
    <n v="0"/>
    <n v="0"/>
  </r>
  <r>
    <s v="A173XG3NZ7JPT7"/>
    <s v="english"/>
    <n v="41"/>
    <s v="female"/>
    <s v="test"/>
    <x v="6"/>
    <n v="26180"/>
    <n v="1"/>
    <n v="1"/>
    <n v="1"/>
    <n v="0"/>
    <s v="Cafe A."/>
    <s v="Cafes A and B."/>
    <s v="Cafe E."/>
    <s v="mo-h"/>
    <s v="ms-h"/>
    <s v="mo-l"/>
    <n v="0"/>
    <n v="1"/>
    <n v="1"/>
    <n v="1"/>
    <n v="0"/>
    <n v="0"/>
    <n v="1"/>
    <n v="0"/>
    <n v="1"/>
    <n v="1"/>
    <n v="1"/>
    <n v="0"/>
    <n v="0"/>
    <n v="0"/>
  </r>
  <r>
    <s v="A173XG3NZ7JPT7"/>
    <s v="english"/>
    <n v="41"/>
    <s v="female"/>
    <s v="test"/>
    <x v="4"/>
    <n v="23362"/>
    <n v="1"/>
    <n v="1"/>
    <n v="1"/>
    <n v="0"/>
    <s v="Dentist E."/>
    <s v="Dentists A, B, C, D and E."/>
    <s v="Dentists A and B."/>
    <s v="mo-l"/>
    <s v="exh"/>
    <s v="ms-h"/>
    <n v="1"/>
    <n v="0"/>
    <n v="1"/>
    <n v="1"/>
    <n v="0"/>
    <n v="0"/>
    <n v="1"/>
    <n v="1"/>
    <n v="0"/>
    <n v="1"/>
    <n v="1"/>
    <n v="0"/>
    <n v="0"/>
    <n v="0"/>
  </r>
  <r>
    <s v="A173XG3NZ7JPT7"/>
    <s v="english"/>
    <n v="41"/>
    <s v="female"/>
    <s v="control"/>
    <x v="7"/>
    <n v="35127"/>
    <n v="1"/>
    <n v="1"/>
    <n v="0"/>
    <n v="0"/>
    <s v="NA"/>
    <s v="NA"/>
    <s v="NA"/>
    <s v="NA"/>
    <s v="NA"/>
    <s v="NA"/>
    <s v="NA"/>
    <n v="0"/>
    <n v="1"/>
    <n v="1"/>
    <n v="0"/>
    <n v="0"/>
    <n v="1"/>
    <n v="1"/>
    <n v="0"/>
    <n v="1"/>
    <n v="1"/>
    <n v="0"/>
    <n v="0"/>
    <n v="0"/>
  </r>
  <r>
    <s v="A173XG3NZ7JPT7"/>
    <s v="english"/>
    <n v="41"/>
    <s v="female"/>
    <s v="test"/>
    <x v="9"/>
    <n v="24755"/>
    <n v="1"/>
    <n v="1"/>
    <n v="1"/>
    <n v="0"/>
    <s v="Stalls A, B, C, D and E."/>
    <s v="Stall F."/>
    <s v="Stall E."/>
    <s v="exh"/>
    <s v="fa"/>
    <s v="mo-l"/>
    <n v="1"/>
    <n v="0"/>
    <n v="1"/>
    <n v="0"/>
    <n v="0"/>
    <n v="0"/>
    <n v="1"/>
    <n v="1"/>
    <n v="0"/>
    <n v="1"/>
    <n v="0"/>
    <n v="0"/>
    <n v="0"/>
    <n v="0"/>
  </r>
  <r>
    <s v="A173XG3NZ7JPT7"/>
    <s v="english"/>
    <n v="41"/>
    <s v="female"/>
    <s v="control"/>
    <x v="5"/>
    <n v="37496"/>
    <n v="0"/>
    <n v="0"/>
    <n v="1"/>
    <n v="0"/>
    <s v="NA"/>
    <s v="NA"/>
    <s v="NA"/>
    <s v="NA"/>
    <s v="NA"/>
    <s v="NA"/>
    <s v="NA"/>
    <n v="0"/>
    <n v="1"/>
    <n v="0"/>
    <n v="0"/>
    <n v="0"/>
    <n v="1"/>
    <n v="1"/>
    <n v="0"/>
    <n v="1"/>
    <n v="0"/>
    <n v="0"/>
    <n v="0"/>
    <n v="0"/>
  </r>
  <r>
    <s v="A173XG3NZ7JPT7"/>
    <s v="english"/>
    <n v="41"/>
    <s v="female"/>
    <s v="test"/>
    <x v="8"/>
    <n v="17558"/>
    <n v="1"/>
    <n v="1"/>
    <n v="1"/>
    <n v="0"/>
    <s v="Stylists D and E."/>
    <s v="Stylist E."/>
    <s v="Stylist A."/>
    <s v="ms-l"/>
    <s v="mo-l"/>
    <s v="mo-h"/>
    <n v="0"/>
    <n v="1"/>
    <n v="1"/>
    <n v="0"/>
    <n v="1"/>
    <n v="0"/>
    <n v="1"/>
    <n v="0"/>
    <n v="1"/>
    <n v="1"/>
    <n v="0"/>
    <n v="1"/>
    <n v="0"/>
    <n v="0"/>
  </r>
  <r>
    <s v="A173XG3NZ7JPT7"/>
    <s v="english"/>
    <n v="41"/>
    <s v="female"/>
    <s v="test"/>
    <x v="11"/>
    <n v="22080"/>
    <n v="1"/>
    <n v="1"/>
    <n v="1"/>
    <n v="0"/>
    <s v="Stores A, B, C, D and E."/>
    <s v="Stores A and B."/>
    <s v="Store A."/>
    <s v="exh"/>
    <s v="ms-h"/>
    <s v="mo-h"/>
    <n v="1"/>
    <n v="1"/>
    <n v="0"/>
    <n v="1"/>
    <n v="0"/>
    <n v="0"/>
    <n v="1"/>
    <n v="1"/>
    <n v="1"/>
    <n v="0"/>
    <n v="1"/>
    <n v="0"/>
    <n v="0"/>
    <n v="0"/>
  </r>
  <r>
    <s v="A173XG3NZ7JPT7"/>
    <s v="english"/>
    <n v="41"/>
    <s v="female"/>
    <s v="control"/>
    <x v="12"/>
    <n v="18059"/>
    <n v="1"/>
    <n v="1"/>
    <n v="0"/>
    <n v="0"/>
    <s v="NA"/>
    <s v="NA"/>
    <s v="NA"/>
    <s v="NA"/>
    <s v="NA"/>
    <s v="NA"/>
    <s v="NA"/>
    <n v="1"/>
    <n v="0"/>
    <n v="1"/>
    <n v="0"/>
    <n v="0"/>
    <n v="1"/>
    <n v="1"/>
    <n v="1"/>
    <n v="0"/>
    <n v="1"/>
    <n v="0"/>
    <n v="0"/>
    <n v="0"/>
  </r>
  <r>
    <s v="A173XG3NZ7JPT7"/>
    <s v="english"/>
    <n v="41"/>
    <s v="female"/>
    <s v="exit_quest"/>
    <x v="0"/>
    <n v="82484"/>
    <s v="No.  Both involve restaurants that would serve brunch.  If a restaurant serves brunch then that would be included in my response of where the traveler could go for brunch."/>
    <s v="I don't think it was difficult but I think it is subjective so I think there could be different responses."/>
    <s v="No.  Interesting.  Thank you."/>
    <s v="NA"/>
    <s v="NA"/>
    <s v="NA"/>
    <s v="NA"/>
    <s v="NA"/>
    <s v="NA"/>
    <s v="NA"/>
    <s v="NA"/>
    <s v="NA"/>
    <s v="NA"/>
    <s v="NA"/>
    <s v="NA"/>
    <s v="NA"/>
    <s v="NA"/>
    <s v="NA"/>
    <s v="NA"/>
    <s v="NA"/>
    <s v="NA"/>
    <s v="NA"/>
    <s v="NA"/>
    <s v="NA"/>
  </r>
  <r>
    <s v="A10LLZZHZVGWRW"/>
    <s v="english"/>
    <n v="28"/>
    <s v="female"/>
    <s v="consent"/>
    <x v="0"/>
    <n v="12614"/>
    <s v="NA"/>
    <s v="NA"/>
    <s v="NA"/>
    <s v="NA"/>
    <s v="NA"/>
    <s v="NA"/>
    <s v="NA"/>
    <s v="NA"/>
    <s v="NA"/>
    <s v="NA"/>
    <s v="NA"/>
    <s v="NA"/>
    <s v="NA"/>
    <s v="NA"/>
    <s v="NA"/>
    <s v="NA"/>
    <s v="NA"/>
    <s v="NA"/>
    <s v="NA"/>
    <s v="NA"/>
    <s v="NA"/>
    <s v="NA"/>
    <s v="NA"/>
    <s v="NA"/>
  </r>
  <r>
    <s v="A10LLZZHZVGWRW"/>
    <s v="english"/>
    <n v="28"/>
    <s v="female"/>
    <s v="train"/>
    <x v="2"/>
    <n v="26487"/>
    <n v="0"/>
    <n v="0"/>
    <n v="0"/>
    <n v="1"/>
    <s v="NA"/>
    <s v="NA"/>
    <s v="NA"/>
    <s v="NA"/>
    <s v="NA"/>
    <s v="NA"/>
    <s v="NA"/>
    <s v="NA"/>
    <s v="NA"/>
    <s v="NA"/>
    <s v="NA"/>
    <s v="NA"/>
    <s v="NA"/>
    <s v="NA"/>
    <s v="NA"/>
    <s v="NA"/>
    <s v="NA"/>
    <s v="NA"/>
    <s v="NA"/>
    <s v="NA"/>
  </r>
  <r>
    <s v="A10LLZZHZVGWRW"/>
    <s v="english"/>
    <n v="28"/>
    <s v="female"/>
    <s v="train"/>
    <x v="1"/>
    <n v="30313"/>
    <n v="0"/>
    <n v="0"/>
    <n v="0"/>
    <n v="1"/>
    <s v="NA"/>
    <s v="NA"/>
    <s v="NA"/>
    <s v="NA"/>
    <s v="NA"/>
    <s v="NA"/>
    <s v="NA"/>
    <s v="NA"/>
    <s v="NA"/>
    <s v="NA"/>
    <s v="NA"/>
    <s v="NA"/>
    <s v="NA"/>
    <s v="NA"/>
    <s v="NA"/>
    <s v="NA"/>
    <s v="NA"/>
    <s v="NA"/>
    <s v="NA"/>
    <s v="NA"/>
  </r>
  <r>
    <s v="A10LLZZHZVGWRW"/>
    <s v="english"/>
    <n v="28"/>
    <s v="female"/>
    <s v="test"/>
    <x v="3"/>
    <n v="24713"/>
    <n v="1"/>
    <n v="1"/>
    <n v="0"/>
    <n v="0"/>
    <s v="Bookstores D and E."/>
    <s v="Bookstore E."/>
    <s v="Bookstores A, B, C, D and E."/>
    <s v="ms-l"/>
    <s v="mo-l"/>
    <s v="exh"/>
    <n v="1"/>
    <n v="0"/>
    <n v="1"/>
    <n v="0"/>
    <n v="1"/>
    <n v="0"/>
    <n v="1"/>
    <n v="0"/>
    <n v="0"/>
    <n v="1"/>
    <n v="0"/>
    <n v="1"/>
    <n v="0"/>
    <n v="0"/>
  </r>
  <r>
    <s v="A10LLZZHZVGWRW"/>
    <s v="english"/>
    <n v="28"/>
    <s v="female"/>
    <s v="control"/>
    <x v="5"/>
    <n v="23521"/>
    <n v="0"/>
    <n v="1"/>
    <n v="1"/>
    <n v="0"/>
    <s v="NA"/>
    <s v="NA"/>
    <s v="NA"/>
    <s v="NA"/>
    <s v="NA"/>
    <s v="NA"/>
    <s v="NA"/>
    <n v="0"/>
    <n v="1"/>
    <n v="0"/>
    <n v="1"/>
    <n v="0"/>
    <n v="1"/>
    <n v="0"/>
    <n v="0"/>
    <n v="1"/>
    <n v="0"/>
    <n v="1"/>
    <n v="0"/>
    <n v="0"/>
  </r>
  <r>
    <s v="A10LLZZHZVGWRW"/>
    <s v="english"/>
    <n v="28"/>
    <s v="female"/>
    <s v="test"/>
    <x v="11"/>
    <n v="32778"/>
    <n v="1"/>
    <n v="0"/>
    <n v="1"/>
    <n v="0"/>
    <s v="Stores D and E."/>
    <s v="Store A."/>
    <s v="Store E."/>
    <s v="ms-l"/>
    <s v="mo-h"/>
    <s v="mo-l"/>
    <n v="0"/>
    <n v="1"/>
    <n v="1"/>
    <n v="0"/>
    <n v="1"/>
    <n v="0"/>
    <n v="1"/>
    <n v="0"/>
    <n v="0"/>
    <n v="1"/>
    <n v="0"/>
    <n v="1"/>
    <n v="0"/>
    <n v="0"/>
  </r>
  <r>
    <s v="A10LLZZHZVGWRW"/>
    <s v="english"/>
    <n v="28"/>
    <s v="female"/>
    <s v="test"/>
    <x v="4"/>
    <n v="20330"/>
    <n v="0"/>
    <n v="0"/>
    <n v="0"/>
    <n v="1"/>
    <s v="Dentists D and E."/>
    <s v="Dentist E."/>
    <s v="Dentists A and B."/>
    <s v="ms-l"/>
    <s v="mo-l"/>
    <s v="ms-h"/>
    <n v="0"/>
    <n v="0"/>
    <n v="1"/>
    <n v="1"/>
    <n v="1"/>
    <n v="0"/>
    <n v="1"/>
    <n v="0"/>
    <n v="0"/>
    <n v="0"/>
    <n v="0"/>
    <n v="0"/>
    <n v="0"/>
    <n v="1"/>
  </r>
  <r>
    <s v="A10LLZZHZVGWRW"/>
    <s v="english"/>
    <n v="28"/>
    <s v="female"/>
    <s v="control"/>
    <x v="12"/>
    <n v="45071"/>
    <n v="1"/>
    <n v="0"/>
    <n v="0"/>
    <n v="0"/>
    <s v="NA"/>
    <s v="NA"/>
    <s v="NA"/>
    <s v="NA"/>
    <s v="NA"/>
    <s v="NA"/>
    <s v="NA"/>
    <n v="0"/>
    <n v="1"/>
    <n v="1"/>
    <n v="1"/>
    <n v="0"/>
    <n v="1"/>
    <n v="0"/>
    <n v="0"/>
    <n v="0"/>
    <n v="0"/>
    <n v="0"/>
    <n v="0"/>
    <n v="1"/>
  </r>
  <r>
    <s v="A10LLZZHZVGWRW"/>
    <s v="english"/>
    <n v="28"/>
    <s v="female"/>
    <s v="test"/>
    <x v="9"/>
    <n v="15332"/>
    <n v="1"/>
    <n v="0"/>
    <n v="0"/>
    <n v="0"/>
    <s v="Stalls A and B."/>
    <s v="Stalls D and E."/>
    <s v="Stall E."/>
    <s v="ms-h"/>
    <s v="ms-l"/>
    <s v="mo-l"/>
    <n v="0"/>
    <n v="0"/>
    <n v="1"/>
    <n v="1"/>
    <n v="1"/>
    <n v="0"/>
    <n v="1"/>
    <n v="0"/>
    <n v="0"/>
    <n v="0"/>
    <n v="1"/>
    <n v="0"/>
    <n v="0"/>
    <n v="0"/>
  </r>
  <r>
    <s v="A10LLZZHZVGWRW"/>
    <s v="english"/>
    <n v="28"/>
    <s v="female"/>
    <s v="control"/>
    <x v="7"/>
    <n v="25315"/>
    <n v="1"/>
    <n v="1"/>
    <n v="0"/>
    <n v="0"/>
    <s v="NA"/>
    <s v="NA"/>
    <s v="NA"/>
    <s v="NA"/>
    <s v="NA"/>
    <s v="NA"/>
    <s v="NA"/>
    <n v="0"/>
    <n v="1"/>
    <n v="1"/>
    <n v="1"/>
    <n v="0"/>
    <n v="1"/>
    <n v="0"/>
    <n v="0"/>
    <n v="0"/>
    <n v="1"/>
    <n v="0"/>
    <n v="0"/>
    <n v="0"/>
  </r>
  <r>
    <s v="A10LLZZHZVGWRW"/>
    <s v="english"/>
    <n v="28"/>
    <s v="female"/>
    <s v="test"/>
    <x v="8"/>
    <n v="8668"/>
    <n v="1"/>
    <n v="1"/>
    <n v="0"/>
    <n v="0"/>
    <s v="Stylist A."/>
    <s v="Stylists A and B."/>
    <s v="Stylist F."/>
    <s v="mo-h"/>
    <s v="ms-h"/>
    <s v="fa"/>
    <n v="0"/>
    <n v="1"/>
    <n v="0"/>
    <n v="1"/>
    <n v="0"/>
    <n v="0"/>
    <n v="1"/>
    <n v="0"/>
    <n v="1"/>
    <n v="0"/>
    <n v="1"/>
    <n v="0"/>
    <n v="0"/>
    <n v="0"/>
  </r>
  <r>
    <s v="A10LLZZHZVGWRW"/>
    <s v="english"/>
    <n v="28"/>
    <s v="female"/>
    <s v="test"/>
    <x v="6"/>
    <n v="17474"/>
    <n v="1"/>
    <n v="0"/>
    <n v="0"/>
    <n v="0"/>
    <s v="Cafes A and B."/>
    <s v="Cafe F."/>
    <s v="Cafes D and E."/>
    <s v="ms-h"/>
    <s v="fa"/>
    <s v="ms-l"/>
    <n v="0"/>
    <n v="0"/>
    <n v="0"/>
    <n v="1"/>
    <n v="1"/>
    <n v="0"/>
    <n v="1"/>
    <n v="0"/>
    <n v="0"/>
    <n v="0"/>
    <n v="1"/>
    <n v="0"/>
    <n v="0"/>
    <n v="0"/>
  </r>
  <r>
    <s v="A10LLZZHZVGWRW"/>
    <s v="english"/>
    <n v="28"/>
    <s v="female"/>
    <s v="control"/>
    <x v="10"/>
    <n v="43999"/>
    <n v="0"/>
    <n v="1"/>
    <n v="1"/>
    <n v="0"/>
    <s v="NA"/>
    <s v="NA"/>
    <s v="NA"/>
    <s v="NA"/>
    <s v="NA"/>
    <s v="NA"/>
    <s v="NA"/>
    <n v="0"/>
    <n v="0"/>
    <n v="1"/>
    <n v="1"/>
    <n v="0"/>
    <n v="1"/>
    <n v="0"/>
    <n v="0"/>
    <n v="0"/>
    <n v="1"/>
    <n v="0"/>
    <n v="0"/>
    <n v="0"/>
  </r>
  <r>
    <s v="A10LLZZHZVGWRW"/>
    <s v="english"/>
    <n v="28"/>
    <s v="female"/>
    <s v="exit_quest"/>
    <x v="0"/>
    <n v="65077"/>
    <s v="Yes - 'which restaurants serve brunch' is a very general question that will generate a long list whereas 'where should I go' will lead me to offer a few choice favorites."/>
    <s v="a little bit challenging%2C but more because it was different than most surveys than anything in particular."/>
    <s v="nope - thanks!"/>
    <s v="NA"/>
    <s v="NA"/>
    <s v="NA"/>
    <s v="NA"/>
    <s v="NA"/>
    <s v="NA"/>
    <s v="NA"/>
    <s v="NA"/>
    <s v="NA"/>
    <s v="NA"/>
    <s v="NA"/>
    <s v="NA"/>
    <s v="NA"/>
    <s v="NA"/>
    <s v="NA"/>
    <s v="NA"/>
    <s v="NA"/>
    <s v="NA"/>
    <s v="NA"/>
    <s v="NA"/>
    <s v="NA"/>
  </r>
  <r>
    <s v="A2541C8MY0BYV3"/>
    <s v="english"/>
    <n v="29"/>
    <s v="male"/>
    <s v="consent"/>
    <x v="0"/>
    <n v="11258"/>
    <s v="NA"/>
    <s v="NA"/>
    <s v="NA"/>
    <s v="NA"/>
    <s v="NA"/>
    <s v="NA"/>
    <s v="NA"/>
    <s v="NA"/>
    <s v="NA"/>
    <s v="NA"/>
    <s v="NA"/>
    <s v="NA"/>
    <s v="NA"/>
    <s v="NA"/>
    <s v="NA"/>
    <s v="NA"/>
    <s v="NA"/>
    <s v="NA"/>
    <s v="NA"/>
    <s v="NA"/>
    <s v="NA"/>
    <s v="NA"/>
    <s v="NA"/>
    <s v="NA"/>
  </r>
  <r>
    <s v="A2541C8MY0BYV3"/>
    <s v="english"/>
    <n v="29"/>
    <s v="male"/>
    <s v="train"/>
    <x v="2"/>
    <n v="27850"/>
    <n v="0"/>
    <n v="0"/>
    <n v="0"/>
    <n v="1"/>
    <s v="NA"/>
    <s v="NA"/>
    <s v="NA"/>
    <s v="NA"/>
    <s v="NA"/>
    <s v="NA"/>
    <s v="NA"/>
    <s v="NA"/>
    <s v="NA"/>
    <s v="NA"/>
    <s v="NA"/>
    <s v="NA"/>
    <s v="NA"/>
    <s v="NA"/>
    <s v="NA"/>
    <s v="NA"/>
    <s v="NA"/>
    <s v="NA"/>
    <s v="NA"/>
    <s v="NA"/>
  </r>
  <r>
    <s v="A2541C8MY0BYV3"/>
    <s v="english"/>
    <n v="29"/>
    <s v="male"/>
    <s v="train"/>
    <x v="1"/>
    <n v="18317"/>
    <n v="0"/>
    <n v="0"/>
    <n v="1"/>
    <n v="0"/>
    <s v="NA"/>
    <s v="NA"/>
    <s v="NA"/>
    <s v="NA"/>
    <s v="NA"/>
    <s v="NA"/>
    <s v="NA"/>
    <s v="NA"/>
    <s v="NA"/>
    <s v="NA"/>
    <s v="NA"/>
    <s v="NA"/>
    <s v="NA"/>
    <s v="NA"/>
    <s v="NA"/>
    <s v="NA"/>
    <s v="NA"/>
    <s v="NA"/>
    <s v="NA"/>
    <s v="NA"/>
  </r>
  <r>
    <s v="A2541C8MY0BYV3"/>
    <s v="english"/>
    <n v="29"/>
    <s v="male"/>
    <s v="test"/>
    <x v="6"/>
    <n v="19928"/>
    <n v="0"/>
    <n v="1"/>
    <n v="1"/>
    <n v="0"/>
    <s v="Cafes D and E."/>
    <s v="Cafes A, B, C, D and E."/>
    <s v="Cafe A."/>
    <s v="ms-l"/>
    <s v="exh"/>
    <s v="mo-h"/>
    <n v="1"/>
    <n v="1"/>
    <n v="0"/>
    <n v="0"/>
    <n v="1"/>
    <n v="0"/>
    <n v="1"/>
    <n v="1"/>
    <n v="1"/>
    <n v="0"/>
    <n v="0"/>
    <n v="0"/>
    <n v="0"/>
    <n v="0"/>
  </r>
  <r>
    <s v="A2541C8MY0BYV3"/>
    <s v="english"/>
    <n v="29"/>
    <s v="male"/>
    <s v="test"/>
    <x v="9"/>
    <n v="12777"/>
    <n v="0"/>
    <n v="0"/>
    <n v="1"/>
    <n v="0"/>
    <s v="Stalls A, B, C, D and E."/>
    <s v="Stalls D and E."/>
    <s v="Stalls A and B."/>
    <s v="exh"/>
    <s v="ms-l"/>
    <s v="ms-h"/>
    <n v="1"/>
    <n v="0"/>
    <n v="0"/>
    <n v="1"/>
    <n v="1"/>
    <n v="0"/>
    <n v="1"/>
    <n v="0"/>
    <n v="0"/>
    <n v="0"/>
    <n v="1"/>
    <n v="0"/>
    <n v="0"/>
    <n v="0"/>
  </r>
  <r>
    <s v="A2541C8MY0BYV3"/>
    <s v="english"/>
    <n v="29"/>
    <s v="male"/>
    <s v="control"/>
    <x v="12"/>
    <n v="14393"/>
    <n v="1"/>
    <n v="1"/>
    <n v="0"/>
    <n v="0"/>
    <s v="NA"/>
    <s v="NA"/>
    <s v="NA"/>
    <s v="NA"/>
    <s v="NA"/>
    <s v="NA"/>
    <s v="NA"/>
    <n v="0"/>
    <n v="0"/>
    <n v="1"/>
    <n v="1"/>
    <n v="0"/>
    <n v="1"/>
    <n v="0"/>
    <n v="0"/>
    <n v="0"/>
    <n v="1"/>
    <n v="0"/>
    <n v="0"/>
    <n v="0"/>
  </r>
  <r>
    <s v="A2541C8MY0BYV3"/>
    <s v="english"/>
    <n v="29"/>
    <s v="male"/>
    <s v="test"/>
    <x v="11"/>
    <n v="8198"/>
    <n v="0"/>
    <n v="1"/>
    <n v="1"/>
    <n v="0"/>
    <s v="Store E."/>
    <s v="Stores A and B."/>
    <s v="Store A."/>
    <s v="mo-l"/>
    <s v="ms-h"/>
    <s v="mo-h"/>
    <n v="0"/>
    <n v="1"/>
    <n v="1"/>
    <n v="1"/>
    <n v="0"/>
    <n v="0"/>
    <n v="1"/>
    <n v="0"/>
    <n v="1"/>
    <n v="0"/>
    <n v="1"/>
    <n v="0"/>
    <n v="0"/>
    <n v="0"/>
  </r>
  <r>
    <s v="A2541C8MY0BYV3"/>
    <s v="english"/>
    <n v="29"/>
    <s v="male"/>
    <s v="test"/>
    <x v="3"/>
    <n v="8290"/>
    <n v="0"/>
    <n v="0"/>
    <n v="1"/>
    <n v="0"/>
    <s v="Bookstore E."/>
    <s v="Bookstores A, B, C, D and E."/>
    <s v="Bookstore A."/>
    <s v="mo-l"/>
    <s v="exh"/>
    <s v="mo-h"/>
    <n v="1"/>
    <n v="1"/>
    <n v="1"/>
    <n v="0"/>
    <n v="0"/>
    <n v="0"/>
    <n v="1"/>
    <n v="0"/>
    <n v="1"/>
    <n v="0"/>
    <n v="0"/>
    <n v="0"/>
    <n v="0"/>
    <n v="0"/>
  </r>
  <r>
    <s v="A2541C8MY0BYV3"/>
    <s v="english"/>
    <n v="29"/>
    <s v="male"/>
    <s v="control"/>
    <x v="10"/>
    <n v="22362"/>
    <n v="0"/>
    <n v="0"/>
    <n v="1"/>
    <n v="0"/>
    <s v="NA"/>
    <s v="NA"/>
    <s v="NA"/>
    <s v="NA"/>
    <s v="NA"/>
    <s v="NA"/>
    <s v="NA"/>
    <n v="1"/>
    <n v="1"/>
    <n v="0"/>
    <n v="0"/>
    <n v="0"/>
    <n v="1"/>
    <n v="0"/>
    <n v="1"/>
    <n v="0"/>
    <n v="0"/>
    <n v="0"/>
    <n v="0"/>
    <n v="0"/>
  </r>
  <r>
    <s v="A2541C8MY0BYV3"/>
    <s v="english"/>
    <n v="29"/>
    <s v="male"/>
    <s v="test"/>
    <x v="8"/>
    <n v="7023"/>
    <n v="1"/>
    <n v="1"/>
    <n v="0"/>
    <n v="0"/>
    <s v="Stylists A and B."/>
    <s v="Stylist A."/>
    <s v="Stylist E."/>
    <s v="ms-h"/>
    <s v="mo-h"/>
    <s v="mo-l"/>
    <n v="0"/>
    <n v="1"/>
    <n v="1"/>
    <n v="1"/>
    <n v="0"/>
    <n v="0"/>
    <n v="1"/>
    <n v="0"/>
    <n v="1"/>
    <n v="0"/>
    <n v="1"/>
    <n v="0"/>
    <n v="0"/>
    <n v="0"/>
  </r>
  <r>
    <s v="A2541C8MY0BYV3"/>
    <s v="english"/>
    <n v="29"/>
    <s v="male"/>
    <s v="control"/>
    <x v="7"/>
    <n v="9584"/>
    <n v="1"/>
    <n v="0"/>
    <n v="0"/>
    <n v="0"/>
    <s v="NA"/>
    <s v="NA"/>
    <s v="NA"/>
    <s v="NA"/>
    <s v="NA"/>
    <s v="NA"/>
    <s v="NA"/>
    <n v="1"/>
    <n v="1"/>
    <n v="1"/>
    <n v="0"/>
    <n v="0"/>
    <n v="1"/>
    <n v="0"/>
    <n v="1"/>
    <n v="0"/>
    <n v="1"/>
    <n v="0"/>
    <n v="0"/>
    <n v="0"/>
  </r>
  <r>
    <s v="A2541C8MY0BYV3"/>
    <s v="english"/>
    <n v="29"/>
    <s v="male"/>
    <s v="test"/>
    <x v="4"/>
    <n v="11158"/>
    <n v="1"/>
    <n v="1"/>
    <n v="0"/>
    <n v="0"/>
    <s v="Dentist A."/>
    <s v="Dentists A and B."/>
    <s v="Dentist F."/>
    <s v="mo-h"/>
    <s v="ms-h"/>
    <s v="fa"/>
    <n v="0"/>
    <n v="1"/>
    <n v="0"/>
    <n v="1"/>
    <n v="0"/>
    <n v="0"/>
    <n v="1"/>
    <n v="0"/>
    <n v="1"/>
    <n v="0"/>
    <n v="1"/>
    <n v="0"/>
    <n v="0"/>
    <n v="0"/>
  </r>
  <r>
    <s v="A2541C8MY0BYV3"/>
    <s v="english"/>
    <n v="29"/>
    <s v="male"/>
    <s v="control"/>
    <x v="5"/>
    <n v="21406"/>
    <n v="1"/>
    <n v="1"/>
    <n v="0"/>
    <n v="0"/>
    <s v="NA"/>
    <s v="NA"/>
    <s v="NA"/>
    <s v="NA"/>
    <s v="NA"/>
    <s v="NA"/>
    <s v="NA"/>
    <n v="1"/>
    <n v="0"/>
    <n v="1"/>
    <n v="0"/>
    <n v="0"/>
    <n v="1"/>
    <n v="0"/>
    <n v="1"/>
    <n v="0"/>
    <n v="1"/>
    <n v="0"/>
    <n v="0"/>
    <n v="0"/>
  </r>
  <r>
    <s v="A2541C8MY0BYV3"/>
    <s v="english"/>
    <n v="29"/>
    <s v="male"/>
    <s v="exit_quest"/>
    <x v="0"/>
    <n v="32406"/>
    <s v="No. I think they both mean the same thing."/>
    <s v="Yes because some of the answers sound the same."/>
    <s v="No."/>
    <s v="NA"/>
    <s v="NA"/>
    <s v="NA"/>
    <s v="NA"/>
    <s v="NA"/>
    <s v="NA"/>
    <s v="NA"/>
    <s v="NA"/>
    <s v="NA"/>
    <s v="NA"/>
    <s v="NA"/>
    <s v="NA"/>
    <s v="NA"/>
    <s v="NA"/>
    <s v="NA"/>
    <s v="NA"/>
    <s v="NA"/>
    <s v="NA"/>
    <s v="NA"/>
    <s v="NA"/>
    <s v="NA"/>
  </r>
  <r>
    <s v="A2GV053CR3O08G"/>
    <s v="english"/>
    <n v="28"/>
    <s v="male"/>
    <s v="consent"/>
    <x v="0"/>
    <n v="46273"/>
    <s v="NA"/>
    <s v="NA"/>
    <s v="NA"/>
    <s v="NA"/>
    <s v="NA"/>
    <s v="NA"/>
    <s v="NA"/>
    <s v="NA"/>
    <s v="NA"/>
    <s v="NA"/>
    <s v="NA"/>
    <s v="NA"/>
    <s v="NA"/>
    <s v="NA"/>
    <s v="NA"/>
    <s v="NA"/>
    <s v="NA"/>
    <s v="NA"/>
    <s v="NA"/>
    <s v="NA"/>
    <s v="NA"/>
    <s v="NA"/>
    <s v="NA"/>
    <s v="NA"/>
  </r>
  <r>
    <s v="A2GV053CR3O08G"/>
    <s v="english"/>
    <n v="28"/>
    <s v="male"/>
    <s v="train"/>
    <x v="1"/>
    <n v="13602"/>
    <n v="1"/>
    <n v="1"/>
    <n v="1"/>
    <n v="1"/>
    <s v="NA"/>
    <s v="NA"/>
    <s v="NA"/>
    <s v="NA"/>
    <s v="NA"/>
    <s v="NA"/>
    <s v="NA"/>
    <s v="NA"/>
    <s v="NA"/>
    <s v="NA"/>
    <s v="NA"/>
    <s v="NA"/>
    <s v="NA"/>
    <s v="NA"/>
    <s v="NA"/>
    <s v="NA"/>
    <s v="NA"/>
    <s v="NA"/>
    <s v="NA"/>
    <s v="NA"/>
  </r>
  <r>
    <s v="A2GV053CR3O08G"/>
    <s v="english"/>
    <n v="28"/>
    <s v="male"/>
    <s v="train"/>
    <x v="2"/>
    <n v="37076"/>
    <n v="0"/>
    <n v="0"/>
    <n v="0"/>
    <n v="1"/>
    <s v="NA"/>
    <s v="NA"/>
    <s v="NA"/>
    <s v="NA"/>
    <s v="NA"/>
    <s v="NA"/>
    <s v="NA"/>
    <s v="NA"/>
    <s v="NA"/>
    <s v="NA"/>
    <s v="NA"/>
    <s v="NA"/>
    <s v="NA"/>
    <s v="NA"/>
    <s v="NA"/>
    <s v="NA"/>
    <s v="NA"/>
    <s v="NA"/>
    <s v="NA"/>
    <s v="NA"/>
  </r>
  <r>
    <s v="A2GV053CR3O08G"/>
    <s v="english"/>
    <n v="28"/>
    <s v="male"/>
    <s v="test"/>
    <x v="3"/>
    <n v="25757"/>
    <n v="0"/>
    <n v="0"/>
    <n v="1"/>
    <n v="0"/>
    <s v="Bookstore E."/>
    <s v="Bookstores D and E."/>
    <s v="Bookstore A."/>
    <s v="mo-l"/>
    <s v="ms-l"/>
    <s v="mo-h"/>
    <n v="0"/>
    <n v="1"/>
    <n v="1"/>
    <n v="0"/>
    <n v="1"/>
    <n v="0"/>
    <n v="1"/>
    <n v="0"/>
    <n v="1"/>
    <n v="0"/>
    <n v="0"/>
    <n v="0"/>
    <n v="0"/>
    <n v="0"/>
  </r>
  <r>
    <s v="A2GV053CR3O08G"/>
    <s v="english"/>
    <n v="28"/>
    <s v="male"/>
    <s v="test"/>
    <x v="11"/>
    <n v="14910"/>
    <n v="0"/>
    <n v="0"/>
    <n v="1"/>
    <n v="0"/>
    <s v="Store E."/>
    <s v="Stores D and E."/>
    <s v="Stores A and B."/>
    <s v="mo-l"/>
    <s v="ms-l"/>
    <s v="ms-h"/>
    <n v="0"/>
    <n v="0"/>
    <n v="1"/>
    <n v="1"/>
    <n v="1"/>
    <n v="0"/>
    <n v="1"/>
    <n v="0"/>
    <n v="0"/>
    <n v="0"/>
    <n v="1"/>
    <n v="0"/>
    <n v="0"/>
    <n v="0"/>
  </r>
  <r>
    <s v="A2GV053CR3O08G"/>
    <s v="english"/>
    <n v="28"/>
    <s v="male"/>
    <s v="control"/>
    <x v="7"/>
    <n v="16492"/>
    <n v="0"/>
    <n v="0"/>
    <n v="1"/>
    <n v="0"/>
    <s v="NA"/>
    <s v="NA"/>
    <s v="NA"/>
    <s v="NA"/>
    <s v="NA"/>
    <s v="NA"/>
    <s v="NA"/>
    <n v="0"/>
    <n v="1"/>
    <n v="1"/>
    <n v="1"/>
    <n v="0"/>
    <n v="1"/>
    <n v="0"/>
    <n v="0"/>
    <n v="0"/>
    <n v="1"/>
    <n v="0"/>
    <n v="0"/>
    <n v="0"/>
  </r>
  <r>
    <s v="A2GV053CR3O08G"/>
    <s v="english"/>
    <n v="28"/>
    <s v="male"/>
    <s v="test"/>
    <x v="8"/>
    <n v="9188"/>
    <n v="0"/>
    <n v="0"/>
    <n v="1"/>
    <n v="0"/>
    <s v="Stylist E."/>
    <s v="Stylists A and B."/>
    <s v="Stylists D and E."/>
    <s v="mo-l"/>
    <s v="ms-h"/>
    <s v="ms-l"/>
    <n v="0"/>
    <n v="0"/>
    <n v="1"/>
    <n v="1"/>
    <n v="1"/>
    <n v="0"/>
    <n v="1"/>
    <n v="0"/>
    <n v="0"/>
    <n v="0"/>
    <n v="0"/>
    <n v="1"/>
    <n v="0"/>
    <n v="0"/>
  </r>
  <r>
    <s v="A2GV053CR3O08G"/>
    <s v="english"/>
    <n v="28"/>
    <s v="male"/>
    <s v="test"/>
    <x v="4"/>
    <n v="5846"/>
    <n v="0"/>
    <n v="0"/>
    <n v="1"/>
    <n v="0"/>
    <s v="Dentists A and B."/>
    <s v="Dentist F."/>
    <s v="Dentist A."/>
    <s v="ms-h"/>
    <s v="fa"/>
    <s v="mo-h"/>
    <n v="0"/>
    <n v="1"/>
    <n v="0"/>
    <n v="1"/>
    <n v="0"/>
    <n v="0"/>
    <n v="1"/>
    <n v="0"/>
    <n v="1"/>
    <n v="0"/>
    <n v="0"/>
    <n v="0"/>
    <n v="0"/>
    <n v="0"/>
  </r>
  <r>
    <s v="A2GV053CR3O08G"/>
    <s v="english"/>
    <n v="28"/>
    <s v="male"/>
    <s v="control"/>
    <x v="5"/>
    <n v="7287"/>
    <n v="0"/>
    <n v="1"/>
    <n v="0"/>
    <n v="0"/>
    <s v="NA"/>
    <s v="NA"/>
    <s v="NA"/>
    <s v="NA"/>
    <s v="NA"/>
    <s v="NA"/>
    <s v="NA"/>
    <n v="1"/>
    <n v="0"/>
    <n v="1"/>
    <n v="0"/>
    <n v="0"/>
    <n v="1"/>
    <n v="0"/>
    <n v="1"/>
    <n v="0"/>
    <n v="0"/>
    <n v="0"/>
    <n v="0"/>
    <n v="0"/>
  </r>
  <r>
    <s v="A2GV053CR3O08G"/>
    <s v="english"/>
    <n v="28"/>
    <s v="male"/>
    <s v="test"/>
    <x v="9"/>
    <n v="11405"/>
    <n v="0"/>
    <n v="0"/>
    <n v="1"/>
    <n v="0"/>
    <s v="Stalls A and B."/>
    <s v="Stalls D and E."/>
    <s v="Stall E."/>
    <s v="ms-h"/>
    <s v="ms-l"/>
    <s v="mo-l"/>
    <n v="0"/>
    <n v="0"/>
    <n v="1"/>
    <n v="1"/>
    <n v="1"/>
    <n v="0"/>
    <n v="1"/>
    <n v="0"/>
    <n v="0"/>
    <n v="1"/>
    <n v="0"/>
    <n v="0"/>
    <n v="0"/>
    <n v="0"/>
  </r>
  <r>
    <s v="A2GV053CR3O08G"/>
    <s v="english"/>
    <n v="28"/>
    <s v="male"/>
    <s v="control"/>
    <x v="12"/>
    <n v="8835"/>
    <n v="0"/>
    <n v="1"/>
    <n v="0"/>
    <n v="0"/>
    <s v="NA"/>
    <s v="NA"/>
    <s v="NA"/>
    <s v="NA"/>
    <s v="NA"/>
    <s v="NA"/>
    <s v="NA"/>
    <n v="0"/>
    <n v="1"/>
    <n v="1"/>
    <n v="1"/>
    <n v="0"/>
    <n v="1"/>
    <n v="0"/>
    <n v="0"/>
    <n v="1"/>
    <n v="0"/>
    <n v="0"/>
    <n v="0"/>
    <n v="0"/>
  </r>
  <r>
    <s v="A2GV053CR3O08G"/>
    <s v="english"/>
    <n v="28"/>
    <s v="male"/>
    <s v="test"/>
    <x v="6"/>
    <n v="9324"/>
    <n v="0"/>
    <n v="0"/>
    <n v="1"/>
    <n v="0"/>
    <s v="Cafe A."/>
    <s v="Cafes D and E."/>
    <s v="Cafe F."/>
    <s v="mo-h"/>
    <s v="ms-l"/>
    <s v="fa"/>
    <n v="0"/>
    <n v="1"/>
    <n v="0"/>
    <n v="0"/>
    <n v="1"/>
    <n v="0"/>
    <n v="1"/>
    <n v="0"/>
    <n v="0"/>
    <n v="0"/>
    <n v="0"/>
    <n v="0"/>
    <n v="0"/>
    <n v="0"/>
  </r>
  <r>
    <s v="A2GV053CR3O08G"/>
    <s v="english"/>
    <n v="28"/>
    <s v="male"/>
    <s v="control"/>
    <x v="10"/>
    <n v="20847"/>
    <n v="0"/>
    <n v="0"/>
    <n v="1"/>
    <n v="0"/>
    <s v="NA"/>
    <s v="NA"/>
    <s v="NA"/>
    <s v="NA"/>
    <s v="NA"/>
    <s v="NA"/>
    <s v="NA"/>
    <n v="1"/>
    <n v="0"/>
    <n v="0"/>
    <n v="1"/>
    <n v="0"/>
    <n v="1"/>
    <n v="0"/>
    <n v="0"/>
    <n v="0"/>
    <n v="0"/>
    <n v="0"/>
    <n v="0"/>
    <n v="0"/>
  </r>
  <r>
    <s v="A2GV053CR3O08G"/>
    <s v="english"/>
    <n v="28"/>
    <s v="male"/>
    <s v="exit_quest"/>
    <x v="0"/>
    <n v="352710"/>
    <s v="With more spots than ever serving up the city‚Äôs favorite meal of the week%2C restaurants around Pittsburgh have taken brunching to the next level%2C offering so much more than bacon and eggs. From quiet caf√©s to bustling food halls%2C these best-of-the-best spots can help to satisfy your weekend morning cravings for French toast%2C eggs Benedict%2C and cocktails that were made for day-drinking."/>
    <s v="no"/>
    <s v="IT INTEREST TO KNOW MORE "/>
    <s v="NA"/>
    <s v="NA"/>
    <s v="NA"/>
    <s v="NA"/>
    <s v="NA"/>
    <s v="NA"/>
    <s v="NA"/>
    <s v="NA"/>
    <s v="NA"/>
    <s v="NA"/>
    <s v="NA"/>
    <s v="NA"/>
    <s v="NA"/>
    <s v="NA"/>
    <s v="NA"/>
    <s v="NA"/>
    <s v="NA"/>
    <s v="NA"/>
    <s v="NA"/>
    <s v="NA"/>
    <s v="NA"/>
  </r>
  <r>
    <s v="A30UE6DWFNUCWX"/>
    <s v="english"/>
    <n v="29"/>
    <s v="female"/>
    <s v="consent"/>
    <x v="0"/>
    <n v="36654"/>
    <s v="NA"/>
    <s v="NA"/>
    <s v="NA"/>
    <s v="NA"/>
    <s v="NA"/>
    <s v="NA"/>
    <s v="NA"/>
    <s v="NA"/>
    <s v="NA"/>
    <s v="NA"/>
    <s v="NA"/>
    <s v="NA"/>
    <s v="NA"/>
    <s v="NA"/>
    <s v="NA"/>
    <s v="NA"/>
    <s v="NA"/>
    <s v="NA"/>
    <s v="NA"/>
    <s v="NA"/>
    <s v="NA"/>
    <s v="NA"/>
    <s v="NA"/>
    <s v="NA"/>
  </r>
  <r>
    <s v="A30UE6DWFNUCWX"/>
    <s v="english"/>
    <n v="29"/>
    <s v="female"/>
    <s v="train"/>
    <x v="2"/>
    <n v="32685"/>
    <n v="0"/>
    <n v="0"/>
    <n v="0"/>
    <n v="1"/>
    <s v="NA"/>
    <s v="NA"/>
    <s v="NA"/>
    <s v="NA"/>
    <s v="NA"/>
    <s v="NA"/>
    <s v="NA"/>
    <s v="NA"/>
    <s v="NA"/>
    <s v="NA"/>
    <s v="NA"/>
    <s v="NA"/>
    <s v="NA"/>
    <s v="NA"/>
    <s v="NA"/>
    <s v="NA"/>
    <s v="NA"/>
    <s v="NA"/>
    <s v="NA"/>
    <s v="NA"/>
  </r>
  <r>
    <s v="A30UE6DWFNUCWX"/>
    <s v="english"/>
    <n v="29"/>
    <s v="female"/>
    <s v="train"/>
    <x v="1"/>
    <n v="39910"/>
    <n v="0"/>
    <n v="0"/>
    <n v="1"/>
    <n v="0"/>
    <s v="NA"/>
    <s v="NA"/>
    <s v="NA"/>
    <s v="NA"/>
    <s v="NA"/>
    <s v="NA"/>
    <s v="NA"/>
    <s v="NA"/>
    <s v="NA"/>
    <s v="NA"/>
    <s v="NA"/>
    <s v="NA"/>
    <s v="NA"/>
    <s v="NA"/>
    <s v="NA"/>
    <s v="NA"/>
    <s v="NA"/>
    <s v="NA"/>
    <s v="NA"/>
    <s v="NA"/>
  </r>
  <r>
    <s v="A30UE6DWFNUCWX"/>
    <s v="english"/>
    <n v="29"/>
    <s v="female"/>
    <s v="test"/>
    <x v="9"/>
    <n v="87776"/>
    <n v="0"/>
    <n v="0"/>
    <n v="0"/>
    <n v="1"/>
    <s v="Stall A."/>
    <s v="Stalls D and E."/>
    <s v="Stall E."/>
    <s v="mo-h"/>
    <s v="ms-l"/>
    <s v="mo-l"/>
    <n v="0"/>
    <n v="1"/>
    <n v="1"/>
    <n v="0"/>
    <n v="1"/>
    <n v="0"/>
    <n v="1"/>
    <n v="0"/>
    <n v="0"/>
    <n v="0"/>
    <n v="0"/>
    <n v="0"/>
    <n v="0"/>
    <n v="1"/>
  </r>
  <r>
    <s v="A30UE6DWFNUCWX"/>
    <s v="english"/>
    <n v="29"/>
    <s v="female"/>
    <s v="test"/>
    <x v="11"/>
    <n v="27414"/>
    <n v="0"/>
    <n v="0"/>
    <n v="0"/>
    <n v="1"/>
    <s v="Store F."/>
    <s v="Stores A and B."/>
    <s v="Store E."/>
    <s v="fa"/>
    <s v="ms-h"/>
    <s v="mo-l"/>
    <n v="0"/>
    <n v="0"/>
    <n v="1"/>
    <n v="1"/>
    <n v="0"/>
    <n v="0"/>
    <n v="1"/>
    <n v="0"/>
    <n v="0"/>
    <n v="0"/>
    <n v="0"/>
    <n v="0"/>
    <n v="0"/>
    <n v="1"/>
  </r>
  <r>
    <s v="A30UE6DWFNUCWX"/>
    <s v="english"/>
    <n v="29"/>
    <s v="female"/>
    <s v="control"/>
    <x v="12"/>
    <n v="29968"/>
    <n v="1"/>
    <n v="0"/>
    <n v="0"/>
    <n v="0"/>
    <s v="NA"/>
    <s v="NA"/>
    <s v="NA"/>
    <s v="NA"/>
    <s v="NA"/>
    <s v="NA"/>
    <s v="NA"/>
    <n v="0"/>
    <n v="1"/>
    <n v="1"/>
    <n v="0"/>
    <n v="0"/>
    <n v="1"/>
    <n v="0"/>
    <n v="0"/>
    <n v="0"/>
    <n v="0"/>
    <n v="0"/>
    <n v="0"/>
    <n v="1"/>
  </r>
  <r>
    <s v="A30UE6DWFNUCWX"/>
    <s v="english"/>
    <n v="29"/>
    <s v="female"/>
    <s v="test"/>
    <x v="3"/>
    <n v="23618"/>
    <n v="0"/>
    <n v="0"/>
    <n v="0"/>
    <n v="1"/>
    <s v="Bookstores D and E."/>
    <s v="Bookstore A."/>
    <s v="Bookstore F."/>
    <s v="ms-l"/>
    <s v="mo-h"/>
    <s v="fa"/>
    <n v="0"/>
    <n v="1"/>
    <n v="0"/>
    <n v="0"/>
    <n v="1"/>
    <n v="0"/>
    <n v="1"/>
    <n v="0"/>
    <n v="0"/>
    <n v="0"/>
    <n v="0"/>
    <n v="0"/>
    <n v="0"/>
    <n v="1"/>
  </r>
  <r>
    <s v="A30UE6DWFNUCWX"/>
    <s v="english"/>
    <n v="29"/>
    <s v="female"/>
    <s v="test"/>
    <x v="4"/>
    <n v="20342"/>
    <n v="0"/>
    <n v="0"/>
    <n v="0"/>
    <n v="1"/>
    <s v="Dentist A."/>
    <s v="Dentists D and E."/>
    <s v="Dentists A and B."/>
    <s v="mo-h"/>
    <s v="ms-l"/>
    <s v="ms-h"/>
    <n v="0"/>
    <n v="1"/>
    <n v="0"/>
    <n v="1"/>
    <n v="1"/>
    <n v="0"/>
    <n v="1"/>
    <n v="0"/>
    <n v="0"/>
    <n v="0"/>
    <n v="0"/>
    <n v="0"/>
    <n v="0"/>
    <n v="1"/>
  </r>
  <r>
    <s v="A30UE6DWFNUCWX"/>
    <s v="english"/>
    <n v="29"/>
    <s v="female"/>
    <s v="control"/>
    <x v="5"/>
    <n v="64264"/>
    <n v="0"/>
    <n v="1"/>
    <n v="0"/>
    <n v="0"/>
    <s v="NA"/>
    <s v="NA"/>
    <s v="NA"/>
    <s v="NA"/>
    <s v="NA"/>
    <s v="NA"/>
    <s v="NA"/>
    <n v="1"/>
    <n v="0"/>
    <n v="1"/>
    <n v="1"/>
    <n v="0"/>
    <n v="1"/>
    <n v="0"/>
    <n v="0"/>
    <n v="0"/>
    <n v="0"/>
    <n v="0"/>
    <n v="0"/>
    <n v="1"/>
  </r>
  <r>
    <s v="A30UE6DWFNUCWX"/>
    <s v="english"/>
    <n v="29"/>
    <s v="female"/>
    <s v="test"/>
    <x v="8"/>
    <n v="19310"/>
    <n v="0"/>
    <n v="0"/>
    <n v="0"/>
    <n v="1"/>
    <s v="Stylist F."/>
    <s v="Stylist A."/>
    <s v="Stylists D and E."/>
    <s v="fa"/>
    <s v="mo-h"/>
    <s v="ms-l"/>
    <n v="0"/>
    <n v="1"/>
    <n v="0"/>
    <n v="0"/>
    <n v="1"/>
    <n v="0"/>
    <n v="1"/>
    <n v="0"/>
    <n v="0"/>
    <n v="0"/>
    <n v="0"/>
    <n v="0"/>
    <n v="0"/>
    <n v="1"/>
  </r>
  <r>
    <s v="A30UE6DWFNUCWX"/>
    <s v="english"/>
    <n v="29"/>
    <s v="female"/>
    <s v="control"/>
    <x v="10"/>
    <n v="43648"/>
    <n v="0"/>
    <n v="1"/>
    <n v="1"/>
    <n v="0"/>
    <s v="NA"/>
    <s v="NA"/>
    <s v="NA"/>
    <s v="NA"/>
    <s v="NA"/>
    <s v="NA"/>
    <s v="NA"/>
    <n v="1"/>
    <n v="0"/>
    <n v="0"/>
    <n v="1"/>
    <n v="0"/>
    <n v="1"/>
    <n v="0"/>
    <n v="0"/>
    <n v="0"/>
    <n v="0"/>
    <n v="0"/>
    <n v="0"/>
    <n v="1"/>
  </r>
  <r>
    <s v="A30UE6DWFNUCWX"/>
    <s v="english"/>
    <n v="29"/>
    <s v="female"/>
    <s v="test"/>
    <x v="6"/>
    <n v="20613"/>
    <n v="0"/>
    <n v="0"/>
    <n v="0"/>
    <n v="1"/>
    <s v="Cafes A and B."/>
    <s v="Cafe A."/>
    <s v="Cafe E."/>
    <s v="ms-h"/>
    <s v="mo-h"/>
    <s v="mo-l"/>
    <n v="0"/>
    <n v="1"/>
    <n v="1"/>
    <n v="1"/>
    <n v="0"/>
    <n v="0"/>
    <n v="1"/>
    <n v="0"/>
    <n v="0"/>
    <n v="0"/>
    <n v="0"/>
    <n v="0"/>
    <n v="0"/>
    <n v="1"/>
  </r>
  <r>
    <s v="A30UE6DWFNUCWX"/>
    <s v="english"/>
    <n v="29"/>
    <s v="female"/>
    <s v="control"/>
    <x v="7"/>
    <n v="31629"/>
    <n v="1"/>
    <n v="0"/>
    <n v="0"/>
    <n v="0"/>
    <s v="NA"/>
    <s v="NA"/>
    <s v="NA"/>
    <s v="NA"/>
    <s v="NA"/>
    <s v="NA"/>
    <s v="NA"/>
    <n v="1"/>
    <n v="1"/>
    <n v="1"/>
    <n v="0"/>
    <n v="0"/>
    <n v="1"/>
    <n v="0"/>
    <n v="0"/>
    <n v="0"/>
    <n v="0"/>
    <n v="0"/>
    <n v="0"/>
    <n v="1"/>
  </r>
  <r>
    <s v="A30UE6DWFNUCWX"/>
    <s v="english"/>
    <n v="29"/>
    <s v="female"/>
    <s v="exit_quest"/>
    <x v="0"/>
    <n v="130580"/>
    <s v="I will answer it differently%2C since in first question s/he asked which are the restaurants that serve brunch%2C while if s/he asks second question I will answer with one or two restaurant names which are best for him/her according to me."/>
    <s v="I didn't find it difficult at all. The short scenarios were easy to understand and so are the questions."/>
    <s v="No."/>
    <s v="NA"/>
    <s v="NA"/>
    <s v="NA"/>
    <s v="NA"/>
    <s v="NA"/>
    <s v="NA"/>
    <s v="NA"/>
    <s v="NA"/>
    <s v="NA"/>
    <s v="NA"/>
    <s v="NA"/>
    <s v="NA"/>
    <s v="NA"/>
    <s v="NA"/>
    <s v="NA"/>
    <s v="NA"/>
    <s v="NA"/>
    <s v="NA"/>
    <s v="NA"/>
    <s v="NA"/>
    <s v="NA"/>
  </r>
  <r>
    <s v="A2A3X2W4YS9X8A"/>
    <s v="english"/>
    <n v="38"/>
    <s v="male"/>
    <s v="consent"/>
    <x v="0"/>
    <n v="43102"/>
    <s v="NA"/>
    <s v="NA"/>
    <s v="NA"/>
    <s v="NA"/>
    <s v="NA"/>
    <s v="NA"/>
    <s v="NA"/>
    <s v="NA"/>
    <s v="NA"/>
    <s v="NA"/>
    <s v="NA"/>
    <s v="NA"/>
    <s v="NA"/>
    <s v="NA"/>
    <s v="NA"/>
    <s v="NA"/>
    <s v="NA"/>
    <s v="NA"/>
    <s v="NA"/>
    <s v="NA"/>
    <s v="NA"/>
    <s v="NA"/>
    <s v="NA"/>
    <s v="NA"/>
  </r>
  <r>
    <s v="A2A3X2W4YS9X8A"/>
    <s v="english"/>
    <n v="38"/>
    <s v="male"/>
    <s v="train"/>
    <x v="2"/>
    <n v="51348"/>
    <n v="0"/>
    <n v="0"/>
    <n v="0"/>
    <n v="1"/>
    <s v="NA"/>
    <s v="NA"/>
    <s v="NA"/>
    <s v="NA"/>
    <s v="NA"/>
    <s v="NA"/>
    <s v="NA"/>
    <s v="NA"/>
    <s v="NA"/>
    <s v="NA"/>
    <s v="NA"/>
    <s v="NA"/>
    <s v="NA"/>
    <s v="NA"/>
    <s v="NA"/>
    <s v="NA"/>
    <s v="NA"/>
    <s v="NA"/>
    <s v="NA"/>
    <s v="NA"/>
  </r>
  <r>
    <s v="A2A3X2W4YS9X8A"/>
    <s v="english"/>
    <n v="38"/>
    <s v="male"/>
    <s v="train"/>
    <x v="1"/>
    <n v="42363"/>
    <n v="0"/>
    <n v="0"/>
    <n v="1"/>
    <n v="0"/>
    <s v="NA"/>
    <s v="NA"/>
    <s v="NA"/>
    <s v="NA"/>
    <s v="NA"/>
    <s v="NA"/>
    <s v="NA"/>
    <s v="NA"/>
    <s v="NA"/>
    <s v="NA"/>
    <s v="NA"/>
    <s v="NA"/>
    <s v="NA"/>
    <s v="NA"/>
    <s v="NA"/>
    <s v="NA"/>
    <s v="NA"/>
    <s v="NA"/>
    <s v="NA"/>
    <s v="NA"/>
  </r>
  <r>
    <s v="A2A3X2W4YS9X8A"/>
    <s v="english"/>
    <n v="38"/>
    <s v="male"/>
    <s v="test"/>
    <x v="3"/>
    <n v="39695"/>
    <n v="1"/>
    <n v="1"/>
    <n v="1"/>
    <n v="0"/>
    <s v="Bookstore F."/>
    <s v="Bookstore E."/>
    <s v="Bookstore A."/>
    <s v="fa"/>
    <s v="mo-l"/>
    <s v="mo-h"/>
    <n v="0"/>
    <n v="1"/>
    <n v="1"/>
    <n v="0"/>
    <n v="0"/>
    <n v="0"/>
    <n v="1"/>
    <n v="0"/>
    <n v="1"/>
    <n v="1"/>
    <n v="0"/>
    <n v="0"/>
    <n v="0"/>
    <n v="0"/>
  </r>
  <r>
    <s v="A2A3X2W4YS9X8A"/>
    <s v="english"/>
    <n v="38"/>
    <s v="male"/>
    <s v="test"/>
    <x v="6"/>
    <n v="43084"/>
    <n v="1"/>
    <n v="1"/>
    <n v="1"/>
    <n v="0"/>
    <s v="Cafes D and E."/>
    <s v="Cafe E."/>
    <s v="Cafe A."/>
    <s v="ms-l"/>
    <s v="mo-l"/>
    <s v="mo-h"/>
    <n v="0"/>
    <n v="1"/>
    <n v="1"/>
    <n v="0"/>
    <n v="1"/>
    <n v="0"/>
    <n v="1"/>
    <n v="0"/>
    <n v="1"/>
    <n v="1"/>
    <n v="0"/>
    <n v="1"/>
    <n v="0"/>
    <n v="0"/>
  </r>
  <r>
    <s v="A2A3X2W4YS9X8A"/>
    <s v="english"/>
    <n v="38"/>
    <s v="male"/>
    <s v="control"/>
    <x v="7"/>
    <n v="26261"/>
    <n v="1"/>
    <n v="1"/>
    <n v="0"/>
    <n v="0"/>
    <s v="NA"/>
    <s v="NA"/>
    <s v="NA"/>
    <s v="NA"/>
    <s v="NA"/>
    <s v="NA"/>
    <s v="NA"/>
    <n v="1"/>
    <n v="1"/>
    <n v="0"/>
    <n v="1"/>
    <n v="0"/>
    <n v="1"/>
    <n v="0"/>
    <n v="1"/>
    <n v="1"/>
    <n v="0"/>
    <n v="1"/>
    <n v="0"/>
    <n v="0"/>
  </r>
  <r>
    <s v="A2A3X2W4YS9X8A"/>
    <s v="english"/>
    <n v="38"/>
    <s v="male"/>
    <s v="test"/>
    <x v="4"/>
    <n v="40514"/>
    <n v="0"/>
    <n v="0"/>
    <n v="0"/>
    <n v="1"/>
    <s v="Dentist A."/>
    <s v="Dentists A and B."/>
    <s v="Dentists D and E."/>
    <s v="mo-h"/>
    <s v="ms-h"/>
    <s v="ms-l"/>
    <n v="0"/>
    <n v="1"/>
    <n v="0"/>
    <n v="1"/>
    <n v="1"/>
    <n v="0"/>
    <n v="1"/>
    <n v="0"/>
    <n v="0"/>
    <n v="0"/>
    <n v="0"/>
    <n v="0"/>
    <n v="0"/>
    <n v="1"/>
  </r>
  <r>
    <s v="A2A3X2W4YS9X8A"/>
    <s v="english"/>
    <n v="38"/>
    <s v="male"/>
    <s v="test"/>
    <x v="8"/>
    <n v="44225"/>
    <n v="0"/>
    <n v="0"/>
    <n v="0"/>
    <n v="1"/>
    <s v="Stylist F."/>
    <s v="Stylists D and E."/>
    <s v="Stylist E."/>
    <s v="fa"/>
    <s v="ms-l"/>
    <s v="mo-l"/>
    <n v="0"/>
    <n v="0"/>
    <n v="1"/>
    <n v="0"/>
    <n v="1"/>
    <n v="0"/>
    <n v="1"/>
    <n v="0"/>
    <n v="0"/>
    <n v="0"/>
    <n v="0"/>
    <n v="0"/>
    <n v="0"/>
    <n v="1"/>
  </r>
  <r>
    <s v="A2A3X2W4YS9X8A"/>
    <s v="english"/>
    <n v="38"/>
    <s v="male"/>
    <s v="control"/>
    <x v="12"/>
    <n v="25099"/>
    <n v="1"/>
    <n v="0"/>
    <n v="0"/>
    <n v="0"/>
    <s v="NA"/>
    <s v="NA"/>
    <s v="NA"/>
    <s v="NA"/>
    <s v="NA"/>
    <s v="NA"/>
    <s v="NA"/>
    <n v="0"/>
    <n v="1"/>
    <n v="0"/>
    <n v="1"/>
    <n v="0"/>
    <n v="1"/>
    <n v="0"/>
    <n v="0"/>
    <n v="0"/>
    <n v="0"/>
    <n v="0"/>
    <n v="0"/>
    <n v="1"/>
  </r>
  <r>
    <s v="A2A3X2W4YS9X8A"/>
    <s v="english"/>
    <n v="38"/>
    <s v="male"/>
    <s v="test"/>
    <x v="11"/>
    <n v="23179"/>
    <n v="0"/>
    <n v="0"/>
    <n v="0"/>
    <n v="1"/>
    <s v="Store E."/>
    <s v="Stores D and E."/>
    <s v="Store F."/>
    <s v="mo-l"/>
    <s v="ms-l"/>
    <s v="fa"/>
    <n v="0"/>
    <n v="0"/>
    <n v="1"/>
    <n v="0"/>
    <n v="1"/>
    <n v="0"/>
    <n v="1"/>
    <n v="0"/>
    <n v="0"/>
    <n v="0"/>
    <n v="0"/>
    <n v="0"/>
    <n v="0"/>
    <n v="1"/>
  </r>
  <r>
    <s v="A2A3X2W4YS9X8A"/>
    <s v="english"/>
    <n v="38"/>
    <s v="male"/>
    <s v="control"/>
    <x v="10"/>
    <n v="31957"/>
    <n v="0"/>
    <n v="0"/>
    <n v="1"/>
    <n v="0"/>
    <s v="NA"/>
    <s v="NA"/>
    <s v="NA"/>
    <s v="NA"/>
    <s v="NA"/>
    <s v="NA"/>
    <s v="NA"/>
    <n v="0"/>
    <n v="1"/>
    <n v="0"/>
    <n v="1"/>
    <n v="0"/>
    <n v="1"/>
    <n v="0"/>
    <n v="0"/>
    <n v="0"/>
    <n v="0"/>
    <n v="0"/>
    <n v="0"/>
    <n v="1"/>
  </r>
  <r>
    <s v="A2A3X2W4YS9X8A"/>
    <s v="english"/>
    <n v="38"/>
    <s v="male"/>
    <s v="test"/>
    <x v="9"/>
    <n v="33800"/>
    <n v="0"/>
    <n v="0"/>
    <n v="1"/>
    <n v="0"/>
    <s v="Stalls D and E."/>
    <s v="Stall E."/>
    <s v="Stall A."/>
    <s v="ms-l"/>
    <s v="mo-l"/>
    <s v="mo-h"/>
    <n v="0"/>
    <n v="1"/>
    <n v="1"/>
    <n v="0"/>
    <n v="1"/>
    <n v="0"/>
    <n v="1"/>
    <n v="0"/>
    <n v="1"/>
    <n v="0"/>
    <n v="0"/>
    <n v="0"/>
    <n v="0"/>
    <n v="0"/>
  </r>
  <r>
    <s v="A2A3X2W4YS9X8A"/>
    <s v="english"/>
    <n v="38"/>
    <s v="male"/>
    <s v="control"/>
    <x v="5"/>
    <n v="39558"/>
    <n v="0"/>
    <n v="0"/>
    <n v="0"/>
    <n v="1"/>
    <s v="NA"/>
    <s v="NA"/>
    <s v="NA"/>
    <s v="NA"/>
    <s v="NA"/>
    <s v="NA"/>
    <s v="NA"/>
    <n v="1"/>
    <n v="1"/>
    <n v="0"/>
    <n v="1"/>
    <n v="0"/>
    <n v="1"/>
    <n v="0"/>
    <n v="1"/>
    <n v="0"/>
    <n v="0"/>
    <n v="0"/>
    <n v="0"/>
    <n v="0"/>
  </r>
  <r>
    <s v="A2A3X2W4YS9X8A"/>
    <s v="english"/>
    <n v="38"/>
    <s v="male"/>
    <s v="exit_quest"/>
    <x v="0"/>
    <n v="55591"/>
    <s v="Yes%2C I view the first question as please list all of the possible places.  I view the second one as where do you suggest I go."/>
    <s v="No%2C it was pretty straight forward."/>
    <s v="No."/>
    <s v="NA"/>
    <s v="NA"/>
    <s v="NA"/>
    <s v="NA"/>
    <s v="NA"/>
    <s v="NA"/>
    <s v="NA"/>
    <s v="NA"/>
    <s v="NA"/>
    <s v="NA"/>
    <s v="NA"/>
    <s v="NA"/>
    <s v="NA"/>
    <s v="NA"/>
    <s v="NA"/>
    <s v="NA"/>
    <s v="NA"/>
    <s v="NA"/>
    <s v="NA"/>
    <s v="NA"/>
    <s v="NA"/>
  </r>
  <r>
    <s v="A19D2W1PR68NO"/>
    <s v="english"/>
    <n v="43"/>
    <s v="male"/>
    <s v="consent"/>
    <x v="0"/>
    <n v="35992"/>
    <s v="NA"/>
    <s v="NA"/>
    <s v="NA"/>
    <s v="NA"/>
    <s v="NA"/>
    <s v="NA"/>
    <s v="NA"/>
    <s v="NA"/>
    <s v="NA"/>
    <s v="NA"/>
    <s v="NA"/>
    <s v="NA"/>
    <s v="NA"/>
    <s v="NA"/>
    <s v="NA"/>
    <s v="NA"/>
    <s v="NA"/>
    <s v="NA"/>
    <s v="NA"/>
    <s v="NA"/>
    <s v="NA"/>
    <s v="NA"/>
    <s v="NA"/>
    <s v="NA"/>
  </r>
  <r>
    <s v="A19D2W1PR68NO"/>
    <s v="english"/>
    <n v="43"/>
    <s v="male"/>
    <s v="train"/>
    <x v="2"/>
    <n v="37939"/>
    <n v="0"/>
    <n v="0"/>
    <n v="0"/>
    <n v="1"/>
    <s v="NA"/>
    <s v="NA"/>
    <s v="NA"/>
    <s v="NA"/>
    <s v="NA"/>
    <s v="NA"/>
    <s v="NA"/>
    <s v="NA"/>
    <s v="NA"/>
    <s v="NA"/>
    <s v="NA"/>
    <s v="NA"/>
    <s v="NA"/>
    <s v="NA"/>
    <s v="NA"/>
    <s v="NA"/>
    <s v="NA"/>
    <s v="NA"/>
    <s v="NA"/>
    <s v="NA"/>
  </r>
  <r>
    <s v="A19D2W1PR68NO"/>
    <s v="english"/>
    <n v="43"/>
    <s v="male"/>
    <s v="train"/>
    <x v="1"/>
    <n v="53435"/>
    <n v="0"/>
    <n v="0"/>
    <n v="1"/>
    <n v="0"/>
    <s v="NA"/>
    <s v="NA"/>
    <s v="NA"/>
    <s v="NA"/>
    <s v="NA"/>
    <s v="NA"/>
    <s v="NA"/>
    <s v="NA"/>
    <s v="NA"/>
    <s v="NA"/>
    <s v="NA"/>
    <s v="NA"/>
    <s v="NA"/>
    <s v="NA"/>
    <s v="NA"/>
    <s v="NA"/>
    <s v="NA"/>
    <s v="NA"/>
    <s v="NA"/>
    <s v="NA"/>
  </r>
  <r>
    <s v="A19D2W1PR68NO"/>
    <s v="english"/>
    <n v="43"/>
    <s v="male"/>
    <s v="test"/>
    <x v="11"/>
    <n v="61523"/>
    <n v="1"/>
    <n v="1"/>
    <n v="1"/>
    <n v="0"/>
    <s v="Stores A, B, C, D and E."/>
    <s v="Store A."/>
    <s v="Stores A and B."/>
    <s v="exh"/>
    <s v="mo-h"/>
    <s v="ms-h"/>
    <n v="1"/>
    <n v="1"/>
    <n v="0"/>
    <n v="1"/>
    <n v="0"/>
    <n v="0"/>
    <n v="1"/>
    <n v="1"/>
    <n v="1"/>
    <n v="0"/>
    <n v="1"/>
    <n v="0"/>
    <n v="0"/>
    <n v="0"/>
  </r>
  <r>
    <s v="A19D2W1PR68NO"/>
    <s v="english"/>
    <n v="43"/>
    <s v="male"/>
    <s v="control"/>
    <x v="5"/>
    <n v="39766"/>
    <n v="0"/>
    <n v="0"/>
    <n v="0"/>
    <n v="1"/>
    <s v="NA"/>
    <s v="NA"/>
    <s v="NA"/>
    <s v="NA"/>
    <s v="NA"/>
    <s v="NA"/>
    <s v="NA"/>
    <n v="1"/>
    <n v="0"/>
    <n v="1"/>
    <n v="0"/>
    <n v="0"/>
    <n v="1"/>
    <n v="1"/>
    <n v="1"/>
    <n v="0"/>
    <n v="1"/>
    <n v="0"/>
    <n v="0"/>
    <n v="0"/>
  </r>
  <r>
    <s v="A19D2W1PR68NO"/>
    <s v="english"/>
    <n v="43"/>
    <s v="male"/>
    <s v="test"/>
    <x v="8"/>
    <n v="31890"/>
    <n v="1"/>
    <n v="1"/>
    <n v="1"/>
    <n v="0"/>
    <s v="Stylists A and B."/>
    <s v="Stylist A."/>
    <s v="Stylists A, B, C, D and E."/>
    <s v="ms-h"/>
    <s v="mo-h"/>
    <s v="exh"/>
    <n v="1"/>
    <n v="1"/>
    <n v="0"/>
    <n v="1"/>
    <n v="0"/>
    <n v="0"/>
    <n v="1"/>
    <n v="1"/>
    <n v="1"/>
    <n v="0"/>
    <n v="1"/>
    <n v="0"/>
    <n v="0"/>
    <n v="0"/>
  </r>
  <r>
    <s v="A19D2W1PR68NO"/>
    <s v="english"/>
    <n v="43"/>
    <s v="male"/>
    <s v="test"/>
    <x v="9"/>
    <n v="26749"/>
    <n v="1"/>
    <n v="1"/>
    <n v="1"/>
    <n v="0"/>
    <s v="Stalls D and E."/>
    <s v="Stalls A and B."/>
    <s v="Stall A."/>
    <s v="ms-l"/>
    <s v="ms-h"/>
    <s v="mo-h"/>
    <n v="0"/>
    <n v="1"/>
    <n v="0"/>
    <n v="1"/>
    <n v="1"/>
    <n v="0"/>
    <n v="1"/>
    <n v="0"/>
    <n v="1"/>
    <n v="0"/>
    <n v="1"/>
    <n v="1"/>
    <n v="0"/>
    <n v="0"/>
  </r>
  <r>
    <s v="A19D2W1PR68NO"/>
    <s v="english"/>
    <n v="43"/>
    <s v="male"/>
    <s v="control"/>
    <x v="12"/>
    <n v="22286"/>
    <n v="1"/>
    <n v="1"/>
    <n v="0"/>
    <n v="0"/>
    <s v="NA"/>
    <s v="NA"/>
    <s v="NA"/>
    <s v="NA"/>
    <s v="NA"/>
    <s v="NA"/>
    <s v="NA"/>
    <n v="1"/>
    <n v="0"/>
    <n v="1"/>
    <n v="1"/>
    <n v="0"/>
    <n v="1"/>
    <n v="0"/>
    <n v="1"/>
    <n v="0"/>
    <n v="1"/>
    <n v="1"/>
    <n v="0"/>
    <n v="0"/>
  </r>
  <r>
    <s v="A19D2W1PR68NO"/>
    <s v="english"/>
    <n v="43"/>
    <s v="male"/>
    <s v="test"/>
    <x v="6"/>
    <n v="24443"/>
    <n v="1"/>
    <n v="1"/>
    <n v="1"/>
    <n v="0"/>
    <s v="Cafes A, B, C, D and E."/>
    <s v="Cafe E."/>
    <s v="Cafe A."/>
    <s v="exh"/>
    <s v="mo-l"/>
    <s v="mo-h"/>
    <n v="1"/>
    <n v="1"/>
    <n v="1"/>
    <n v="0"/>
    <n v="0"/>
    <n v="0"/>
    <n v="1"/>
    <n v="1"/>
    <n v="1"/>
    <n v="1"/>
    <n v="0"/>
    <n v="0"/>
    <n v="0"/>
    <n v="0"/>
  </r>
  <r>
    <s v="A19D2W1PR68NO"/>
    <s v="english"/>
    <n v="43"/>
    <s v="male"/>
    <s v="control"/>
    <x v="7"/>
    <n v="34443"/>
    <n v="1"/>
    <n v="0"/>
    <n v="0"/>
    <n v="0"/>
    <s v="NA"/>
    <s v="NA"/>
    <s v="NA"/>
    <s v="NA"/>
    <s v="NA"/>
    <s v="NA"/>
    <s v="NA"/>
    <n v="1"/>
    <n v="1"/>
    <n v="0"/>
    <n v="0"/>
    <n v="0"/>
    <n v="1"/>
    <n v="1"/>
    <n v="1"/>
    <n v="1"/>
    <n v="0"/>
    <n v="0"/>
    <n v="0"/>
    <n v="0"/>
  </r>
  <r>
    <s v="A19D2W1PR68NO"/>
    <s v="english"/>
    <n v="43"/>
    <s v="male"/>
    <s v="test"/>
    <x v="3"/>
    <n v="72467"/>
    <n v="1"/>
    <n v="1"/>
    <n v="1"/>
    <n v="0"/>
    <s v="Bookstore A."/>
    <s v="Bookstores A and B."/>
    <s v="Bookstores A, B, C, D and E."/>
    <s v="mo-h"/>
    <s v="ms-h"/>
    <s v="exh"/>
    <n v="1"/>
    <n v="1"/>
    <n v="0"/>
    <n v="1"/>
    <n v="0"/>
    <n v="0"/>
    <n v="1"/>
    <n v="1"/>
    <n v="1"/>
    <n v="0"/>
    <n v="1"/>
    <n v="0"/>
    <n v="0"/>
    <n v="0"/>
  </r>
  <r>
    <s v="A19D2W1PR68NO"/>
    <s v="english"/>
    <n v="43"/>
    <s v="male"/>
    <s v="test"/>
    <x v="4"/>
    <n v="28183"/>
    <n v="0"/>
    <n v="0"/>
    <n v="0"/>
    <n v="1"/>
    <s v="Dentist A."/>
    <s v="Dentist E."/>
    <s v="Dentists D and E."/>
    <s v="mo-h"/>
    <s v="mo-l"/>
    <s v="ms-l"/>
    <n v="0"/>
    <n v="1"/>
    <n v="1"/>
    <n v="0"/>
    <n v="1"/>
    <n v="0"/>
    <n v="1"/>
    <n v="0"/>
    <n v="0"/>
    <n v="0"/>
    <n v="0"/>
    <n v="0"/>
    <n v="0"/>
    <n v="1"/>
  </r>
  <r>
    <s v="A19D2W1PR68NO"/>
    <s v="english"/>
    <n v="43"/>
    <s v="male"/>
    <s v="control"/>
    <x v="10"/>
    <n v="48726"/>
    <n v="0"/>
    <n v="0"/>
    <n v="1"/>
    <n v="0"/>
    <s v="NA"/>
    <s v="NA"/>
    <s v="NA"/>
    <s v="NA"/>
    <s v="NA"/>
    <s v="NA"/>
    <s v="NA"/>
    <n v="1"/>
    <n v="1"/>
    <n v="0"/>
    <n v="1"/>
    <n v="0"/>
    <n v="1"/>
    <n v="0"/>
    <n v="0"/>
    <n v="0"/>
    <n v="0"/>
    <n v="0"/>
    <n v="0"/>
    <n v="1"/>
  </r>
  <r>
    <s v="A19D2W1PR68NO"/>
    <s v="english"/>
    <n v="43"/>
    <s v="male"/>
    <s v="exit_quest"/>
    <x v="0"/>
    <n v="41764"/>
    <s v="No%2C the questions mean essentially the same thing."/>
    <s v="No%2C I speak English."/>
    <s v="no"/>
    <s v="NA"/>
    <s v="NA"/>
    <s v="NA"/>
    <s v="NA"/>
    <s v="NA"/>
    <s v="NA"/>
    <s v="NA"/>
    <s v="NA"/>
    <s v="NA"/>
    <s v="NA"/>
    <s v="NA"/>
    <s v="NA"/>
    <s v="NA"/>
    <s v="NA"/>
    <s v="NA"/>
    <s v="NA"/>
    <s v="NA"/>
    <s v="NA"/>
    <s v="NA"/>
    <s v="NA"/>
    <s v="NA"/>
  </r>
  <r>
    <s v="A26FRAYAIDR4NV"/>
    <s v="english"/>
    <n v="30"/>
    <s v="female"/>
    <s v="consent"/>
    <x v="0"/>
    <n v="30557"/>
    <s v="NA"/>
    <s v="NA"/>
    <s v="NA"/>
    <s v="NA"/>
    <s v="NA"/>
    <s v="NA"/>
    <s v="NA"/>
    <s v="NA"/>
    <s v="NA"/>
    <s v="NA"/>
    <s v="NA"/>
    <s v="NA"/>
    <s v="NA"/>
    <s v="NA"/>
    <s v="NA"/>
    <s v="NA"/>
    <s v="NA"/>
    <s v="NA"/>
    <s v="NA"/>
    <s v="NA"/>
    <s v="NA"/>
    <s v="NA"/>
    <s v="NA"/>
    <s v="NA"/>
  </r>
  <r>
    <s v="A26FRAYAIDR4NV"/>
    <s v="english"/>
    <n v="30"/>
    <s v="female"/>
    <s v="train"/>
    <x v="2"/>
    <n v="25204"/>
    <n v="0"/>
    <n v="0"/>
    <n v="1"/>
    <n v="0"/>
    <s v="NA"/>
    <s v="NA"/>
    <s v="NA"/>
    <s v="NA"/>
    <s v="NA"/>
    <s v="NA"/>
    <s v="NA"/>
    <s v="NA"/>
    <s v="NA"/>
    <s v="NA"/>
    <s v="NA"/>
    <s v="NA"/>
    <s v="NA"/>
    <s v="NA"/>
    <s v="NA"/>
    <s v="NA"/>
    <s v="NA"/>
    <s v="NA"/>
    <s v="NA"/>
    <s v="NA"/>
  </r>
  <r>
    <s v="A26FRAYAIDR4NV"/>
    <s v="english"/>
    <n v="30"/>
    <s v="female"/>
    <s v="train"/>
    <x v="1"/>
    <n v="28008"/>
    <n v="0"/>
    <n v="0"/>
    <n v="1"/>
    <n v="0"/>
    <s v="NA"/>
    <s v="NA"/>
    <s v="NA"/>
    <s v="NA"/>
    <s v="NA"/>
    <s v="NA"/>
    <s v="NA"/>
    <s v="NA"/>
    <s v="NA"/>
    <s v="NA"/>
    <s v="NA"/>
    <s v="NA"/>
    <s v="NA"/>
    <s v="NA"/>
    <s v="NA"/>
    <s v="NA"/>
    <s v="NA"/>
    <s v="NA"/>
    <s v="NA"/>
    <s v="NA"/>
  </r>
  <r>
    <s v="A26FRAYAIDR4NV"/>
    <s v="english"/>
    <n v="30"/>
    <s v="female"/>
    <s v="test"/>
    <x v="8"/>
    <n v="55518"/>
    <n v="0"/>
    <n v="0"/>
    <n v="0"/>
    <n v="1"/>
    <s v="Stylists A, B, C, D and E."/>
    <s v="Stylist F."/>
    <s v="Stylist A."/>
    <s v="exh"/>
    <s v="fa"/>
    <s v="mo-h"/>
    <n v="1"/>
    <n v="1"/>
    <n v="0"/>
    <n v="0"/>
    <n v="0"/>
    <n v="0"/>
    <n v="1"/>
    <n v="0"/>
    <n v="0"/>
    <n v="0"/>
    <n v="0"/>
    <n v="0"/>
    <n v="0"/>
    <n v="1"/>
  </r>
  <r>
    <s v="A26FRAYAIDR4NV"/>
    <s v="english"/>
    <n v="30"/>
    <s v="female"/>
    <s v="test"/>
    <x v="3"/>
    <n v="74773"/>
    <n v="1"/>
    <n v="0"/>
    <n v="0"/>
    <n v="0"/>
    <s v="Bookstore A."/>
    <s v="Bookstore E."/>
    <s v="Bookstores A and B."/>
    <s v="mo-h"/>
    <s v="mo-l"/>
    <s v="ms-h"/>
    <n v="0"/>
    <n v="1"/>
    <n v="1"/>
    <n v="1"/>
    <n v="0"/>
    <n v="0"/>
    <n v="1"/>
    <n v="0"/>
    <n v="1"/>
    <n v="0"/>
    <n v="0"/>
    <n v="0"/>
    <n v="0"/>
    <n v="0"/>
  </r>
  <r>
    <s v="A26FRAYAIDR4NV"/>
    <s v="english"/>
    <n v="30"/>
    <s v="female"/>
    <s v="control"/>
    <x v="5"/>
    <n v="46857"/>
    <n v="0"/>
    <n v="1"/>
    <n v="0"/>
    <n v="0"/>
    <s v="NA"/>
    <s v="NA"/>
    <s v="NA"/>
    <s v="NA"/>
    <s v="NA"/>
    <s v="NA"/>
    <s v="NA"/>
    <n v="1"/>
    <n v="1"/>
    <n v="1"/>
    <n v="0"/>
    <n v="0"/>
    <n v="1"/>
    <n v="0"/>
    <n v="1"/>
    <n v="0"/>
    <n v="0"/>
    <n v="0"/>
    <n v="0"/>
    <n v="0"/>
  </r>
  <r>
    <s v="A26FRAYAIDR4NV"/>
    <s v="english"/>
    <n v="30"/>
    <s v="female"/>
    <s v="test"/>
    <x v="9"/>
    <n v="28392"/>
    <n v="0"/>
    <n v="1"/>
    <n v="0"/>
    <n v="0"/>
    <s v="Stalls A and B."/>
    <s v="Stall A."/>
    <s v="Stall F."/>
    <s v="ms-h"/>
    <s v="mo-h"/>
    <s v="fa"/>
    <n v="0"/>
    <n v="1"/>
    <n v="0"/>
    <n v="1"/>
    <n v="0"/>
    <n v="0"/>
    <n v="1"/>
    <n v="0"/>
    <n v="1"/>
    <n v="0"/>
    <n v="0"/>
    <n v="0"/>
    <n v="0"/>
    <n v="0"/>
  </r>
  <r>
    <s v="A26FRAYAIDR4NV"/>
    <s v="english"/>
    <n v="30"/>
    <s v="female"/>
    <s v="test"/>
    <x v="11"/>
    <n v="25722"/>
    <n v="1"/>
    <n v="0"/>
    <n v="0"/>
    <n v="0"/>
    <s v="Stores D and E."/>
    <s v="Store E."/>
    <s v="Store F."/>
    <s v="ms-l"/>
    <s v="mo-l"/>
    <s v="fa"/>
    <n v="0"/>
    <n v="0"/>
    <n v="1"/>
    <n v="0"/>
    <n v="1"/>
    <n v="0"/>
    <n v="1"/>
    <n v="0"/>
    <n v="0"/>
    <n v="0"/>
    <n v="0"/>
    <n v="1"/>
    <n v="0"/>
    <n v="0"/>
  </r>
  <r>
    <s v="A26FRAYAIDR4NV"/>
    <s v="english"/>
    <n v="30"/>
    <s v="female"/>
    <s v="control"/>
    <x v="7"/>
    <n v="29818"/>
    <n v="0"/>
    <n v="1"/>
    <n v="0"/>
    <n v="0"/>
    <s v="NA"/>
    <s v="NA"/>
    <s v="NA"/>
    <s v="NA"/>
    <s v="NA"/>
    <s v="NA"/>
    <s v="NA"/>
    <n v="0"/>
    <n v="1"/>
    <n v="0"/>
    <n v="1"/>
    <n v="0"/>
    <n v="1"/>
    <n v="0"/>
    <n v="0"/>
    <n v="0"/>
    <n v="0"/>
    <n v="1"/>
    <n v="0"/>
    <n v="0"/>
  </r>
  <r>
    <s v="A26FRAYAIDR4NV"/>
    <s v="english"/>
    <n v="30"/>
    <s v="female"/>
    <s v="test"/>
    <x v="6"/>
    <n v="6507"/>
    <n v="0"/>
    <n v="1"/>
    <n v="0"/>
    <n v="0"/>
    <s v="Cafes A and B."/>
    <s v="Cafe E."/>
    <s v="Cafe A."/>
    <s v="ms-h"/>
    <s v="mo-l"/>
    <s v="mo-h"/>
    <n v="0"/>
    <n v="1"/>
    <n v="1"/>
    <n v="1"/>
    <n v="0"/>
    <n v="0"/>
    <n v="1"/>
    <n v="0"/>
    <n v="0"/>
    <n v="1"/>
    <n v="0"/>
    <n v="0"/>
    <n v="0"/>
    <n v="0"/>
  </r>
  <r>
    <s v="A26FRAYAIDR4NV"/>
    <s v="english"/>
    <n v="30"/>
    <s v="female"/>
    <s v="control"/>
    <x v="12"/>
    <n v="35048"/>
    <n v="1"/>
    <n v="0"/>
    <n v="0"/>
    <n v="0"/>
    <s v="NA"/>
    <s v="NA"/>
    <s v="NA"/>
    <s v="NA"/>
    <s v="NA"/>
    <s v="NA"/>
    <s v="NA"/>
    <n v="1"/>
    <n v="1"/>
    <n v="1"/>
    <n v="0"/>
    <n v="0"/>
    <n v="1"/>
    <n v="0"/>
    <n v="0"/>
    <n v="1"/>
    <n v="0"/>
    <n v="0"/>
    <n v="0"/>
    <n v="0"/>
  </r>
  <r>
    <s v="A26FRAYAIDR4NV"/>
    <s v="english"/>
    <n v="30"/>
    <s v="female"/>
    <s v="test"/>
    <x v="4"/>
    <n v="43147"/>
    <n v="0"/>
    <n v="1"/>
    <n v="0"/>
    <n v="0"/>
    <s v="Dentist A."/>
    <s v="Dentist E."/>
    <s v="Dentists A and B."/>
    <s v="mo-h"/>
    <s v="mo-l"/>
    <s v="ms-h"/>
    <n v="0"/>
    <n v="1"/>
    <n v="1"/>
    <n v="1"/>
    <n v="0"/>
    <n v="0"/>
    <n v="1"/>
    <n v="0"/>
    <n v="0"/>
    <n v="1"/>
    <n v="0"/>
    <n v="0"/>
    <n v="0"/>
    <n v="0"/>
  </r>
  <r>
    <s v="A26FRAYAIDR4NV"/>
    <s v="english"/>
    <n v="30"/>
    <s v="female"/>
    <s v="control"/>
    <x v="10"/>
    <n v="5621"/>
    <n v="0"/>
    <n v="1"/>
    <n v="0"/>
    <n v="0"/>
    <s v="NA"/>
    <s v="NA"/>
    <s v="NA"/>
    <s v="NA"/>
    <s v="NA"/>
    <s v="NA"/>
    <s v="NA"/>
    <n v="1"/>
    <n v="1"/>
    <n v="1"/>
    <n v="0"/>
    <n v="0"/>
    <n v="1"/>
    <n v="0"/>
    <n v="0"/>
    <n v="1"/>
    <n v="0"/>
    <n v="0"/>
    <n v="0"/>
    <n v="0"/>
  </r>
  <r>
    <s v="A26FRAYAIDR4NV"/>
    <s v="english"/>
    <n v="30"/>
    <s v="female"/>
    <s v="exit_quest"/>
    <x v="0"/>
    <n v="50556"/>
    <m/>
    <s v="yes"/>
    <s v="nice"/>
    <s v="NA"/>
    <s v="NA"/>
    <s v="NA"/>
    <s v="NA"/>
    <s v="NA"/>
    <s v="NA"/>
    <s v="NA"/>
    <s v="NA"/>
    <s v="NA"/>
    <s v="NA"/>
    <s v="NA"/>
    <s v="NA"/>
    <s v="NA"/>
    <s v="NA"/>
    <s v="NA"/>
    <s v="NA"/>
    <s v="NA"/>
    <s v="NA"/>
    <s v="NA"/>
    <s v="NA"/>
    <s v="NA"/>
  </r>
  <r>
    <s v="A3JODCUHJMCSA2"/>
    <s v="english"/>
    <n v="32"/>
    <s v="female"/>
    <s v="consent"/>
    <x v="0"/>
    <n v="49069"/>
    <s v="NA"/>
    <s v="NA"/>
    <s v="NA"/>
    <s v="NA"/>
    <s v="NA"/>
    <s v="NA"/>
    <s v="NA"/>
    <s v="NA"/>
    <s v="NA"/>
    <s v="NA"/>
    <s v="NA"/>
    <s v="NA"/>
    <s v="NA"/>
    <s v="NA"/>
    <s v="NA"/>
    <s v="NA"/>
    <s v="NA"/>
    <s v="NA"/>
    <s v="NA"/>
    <s v="NA"/>
    <s v="NA"/>
    <s v="NA"/>
    <s v="NA"/>
    <s v="NA"/>
  </r>
  <r>
    <s v="A3JODCUHJMCSA2"/>
    <s v="english"/>
    <n v="32"/>
    <s v="female"/>
    <s v="train"/>
    <x v="2"/>
    <n v="31463"/>
    <n v="0"/>
    <n v="0"/>
    <n v="0"/>
    <n v="1"/>
    <s v="NA"/>
    <s v="NA"/>
    <s v="NA"/>
    <s v="NA"/>
    <s v="NA"/>
    <s v="NA"/>
    <s v="NA"/>
    <s v="NA"/>
    <s v="NA"/>
    <s v="NA"/>
    <s v="NA"/>
    <s v="NA"/>
    <s v="NA"/>
    <s v="NA"/>
    <s v="NA"/>
    <s v="NA"/>
    <s v="NA"/>
    <s v="NA"/>
    <s v="NA"/>
    <s v="NA"/>
  </r>
  <r>
    <s v="A3JODCUHJMCSA2"/>
    <s v="english"/>
    <n v="32"/>
    <s v="female"/>
    <s v="train"/>
    <x v="1"/>
    <n v="41507"/>
    <n v="0"/>
    <n v="1"/>
    <n v="1"/>
    <n v="0"/>
    <s v="NA"/>
    <s v="NA"/>
    <s v="NA"/>
    <s v="NA"/>
    <s v="NA"/>
    <s v="NA"/>
    <s v="NA"/>
    <s v="NA"/>
    <s v="NA"/>
    <s v="NA"/>
    <s v="NA"/>
    <s v="NA"/>
    <s v="NA"/>
    <s v="NA"/>
    <s v="NA"/>
    <s v="NA"/>
    <s v="NA"/>
    <s v="NA"/>
    <s v="NA"/>
    <s v="NA"/>
  </r>
  <r>
    <s v="A3JODCUHJMCSA2"/>
    <s v="english"/>
    <n v="32"/>
    <s v="female"/>
    <s v="test"/>
    <x v="9"/>
    <n v="32715"/>
    <n v="1"/>
    <n v="0"/>
    <n v="0"/>
    <n v="0"/>
    <s v="Stalls A and B."/>
    <s v="Stall F."/>
    <s v="Stalls A, B, C, D and E."/>
    <s v="ms-h"/>
    <s v="fa"/>
    <s v="exh"/>
    <n v="1"/>
    <n v="0"/>
    <n v="0"/>
    <n v="1"/>
    <n v="0"/>
    <n v="0"/>
    <n v="1"/>
    <n v="0"/>
    <n v="0"/>
    <n v="0"/>
    <n v="1"/>
    <n v="0"/>
    <n v="0"/>
    <n v="0"/>
  </r>
  <r>
    <s v="A3JODCUHJMCSA2"/>
    <s v="english"/>
    <n v="32"/>
    <s v="female"/>
    <s v="control"/>
    <x v="12"/>
    <n v="14612"/>
    <n v="1"/>
    <n v="0"/>
    <n v="0"/>
    <n v="0"/>
    <s v="NA"/>
    <s v="NA"/>
    <s v="NA"/>
    <s v="NA"/>
    <s v="NA"/>
    <s v="NA"/>
    <s v="NA"/>
    <n v="0"/>
    <n v="0"/>
    <n v="1"/>
    <n v="0"/>
    <n v="0"/>
    <n v="1"/>
    <n v="0"/>
    <n v="0"/>
    <n v="0"/>
    <n v="1"/>
    <n v="0"/>
    <n v="0"/>
    <n v="0"/>
  </r>
  <r>
    <s v="A3JODCUHJMCSA2"/>
    <s v="english"/>
    <n v="32"/>
    <s v="female"/>
    <s v="test"/>
    <x v="11"/>
    <n v="23381"/>
    <n v="0"/>
    <n v="0"/>
    <n v="0"/>
    <n v="1"/>
    <s v="Stores D and E."/>
    <s v="Store F."/>
    <s v="Store E."/>
    <s v="ms-l"/>
    <s v="fa"/>
    <s v="mo-l"/>
    <n v="0"/>
    <n v="0"/>
    <n v="1"/>
    <n v="0"/>
    <n v="1"/>
    <n v="0"/>
    <n v="1"/>
    <n v="0"/>
    <n v="0"/>
    <n v="0"/>
    <n v="0"/>
    <n v="0"/>
    <n v="0"/>
    <n v="1"/>
  </r>
  <r>
    <s v="A3JODCUHJMCSA2"/>
    <s v="english"/>
    <n v="32"/>
    <s v="female"/>
    <s v="test"/>
    <x v="3"/>
    <n v="18212"/>
    <n v="0"/>
    <n v="1"/>
    <n v="0"/>
    <n v="0"/>
    <s v="Bookstore E."/>
    <s v="Bookstores A and B."/>
    <s v="Bookstore F."/>
    <s v="mo-l"/>
    <s v="ms-h"/>
    <s v="fa"/>
    <n v="0"/>
    <n v="0"/>
    <n v="1"/>
    <n v="1"/>
    <n v="0"/>
    <n v="0"/>
    <n v="1"/>
    <n v="0"/>
    <n v="0"/>
    <n v="0"/>
    <n v="1"/>
    <n v="0"/>
    <n v="0"/>
    <n v="0"/>
  </r>
  <r>
    <s v="A3JODCUHJMCSA2"/>
    <s v="english"/>
    <n v="32"/>
    <s v="female"/>
    <s v="control"/>
    <x v="5"/>
    <n v="24937"/>
    <n v="0"/>
    <n v="1"/>
    <n v="0"/>
    <n v="0"/>
    <s v="NA"/>
    <s v="NA"/>
    <s v="NA"/>
    <s v="NA"/>
    <s v="NA"/>
    <s v="NA"/>
    <s v="NA"/>
    <n v="0"/>
    <n v="1"/>
    <n v="1"/>
    <n v="0"/>
    <n v="0"/>
    <n v="1"/>
    <n v="0"/>
    <n v="0"/>
    <n v="0"/>
    <n v="1"/>
    <n v="0"/>
    <n v="0"/>
    <n v="0"/>
  </r>
  <r>
    <s v="A3JODCUHJMCSA2"/>
    <s v="english"/>
    <n v="32"/>
    <s v="female"/>
    <s v="test"/>
    <x v="8"/>
    <n v="38960"/>
    <n v="0"/>
    <n v="0"/>
    <n v="0"/>
    <n v="1"/>
    <s v="Stylist F."/>
    <s v="Stylists D and E."/>
    <s v="Stylist E."/>
    <s v="fa"/>
    <s v="ms-l"/>
    <s v="mo-l"/>
    <n v="0"/>
    <n v="0"/>
    <n v="1"/>
    <n v="0"/>
    <n v="1"/>
    <n v="0"/>
    <n v="1"/>
    <n v="0"/>
    <n v="0"/>
    <n v="0"/>
    <n v="0"/>
    <n v="0"/>
    <n v="0"/>
    <n v="1"/>
  </r>
  <r>
    <s v="A3JODCUHJMCSA2"/>
    <s v="english"/>
    <n v="32"/>
    <s v="female"/>
    <s v="control"/>
    <x v="10"/>
    <n v="38871"/>
    <n v="0"/>
    <n v="1"/>
    <n v="1"/>
    <n v="0"/>
    <s v="NA"/>
    <s v="NA"/>
    <s v="NA"/>
    <s v="NA"/>
    <s v="NA"/>
    <s v="NA"/>
    <s v="NA"/>
    <n v="0"/>
    <n v="1"/>
    <n v="0"/>
    <n v="1"/>
    <n v="0"/>
    <n v="1"/>
    <n v="0"/>
    <n v="0"/>
    <n v="0"/>
    <n v="0"/>
    <n v="0"/>
    <n v="0"/>
    <n v="1"/>
  </r>
  <r>
    <s v="A3JODCUHJMCSA2"/>
    <s v="english"/>
    <n v="32"/>
    <s v="female"/>
    <s v="test"/>
    <x v="6"/>
    <n v="13705"/>
    <n v="1"/>
    <n v="0"/>
    <n v="0"/>
    <n v="0"/>
    <s v="Cafes A and B."/>
    <s v="Cafe E."/>
    <s v="Cafe F."/>
    <s v="ms-h"/>
    <s v="mo-l"/>
    <s v="fa"/>
    <n v="0"/>
    <n v="0"/>
    <n v="1"/>
    <n v="1"/>
    <n v="0"/>
    <n v="0"/>
    <n v="1"/>
    <n v="0"/>
    <n v="0"/>
    <n v="0"/>
    <n v="1"/>
    <n v="0"/>
    <n v="0"/>
    <n v="0"/>
  </r>
  <r>
    <s v="A3JODCUHJMCSA2"/>
    <s v="english"/>
    <n v="32"/>
    <s v="female"/>
    <s v="test"/>
    <x v="4"/>
    <n v="21386"/>
    <n v="0"/>
    <n v="0"/>
    <n v="1"/>
    <n v="0"/>
    <s v="Dentist F."/>
    <s v="Dentist E."/>
    <s v="Dentist A."/>
    <s v="fa"/>
    <s v="mo-l"/>
    <s v="mo-h"/>
    <n v="0"/>
    <n v="1"/>
    <n v="1"/>
    <n v="0"/>
    <n v="0"/>
    <n v="0"/>
    <n v="1"/>
    <n v="0"/>
    <n v="1"/>
    <n v="0"/>
    <n v="0"/>
    <n v="0"/>
    <n v="0"/>
    <n v="0"/>
  </r>
  <r>
    <s v="A3JODCUHJMCSA2"/>
    <s v="english"/>
    <n v="32"/>
    <s v="female"/>
    <s v="control"/>
    <x v="7"/>
    <n v="23754"/>
    <n v="1"/>
    <n v="1"/>
    <n v="0"/>
    <n v="0"/>
    <s v="NA"/>
    <s v="NA"/>
    <s v="NA"/>
    <s v="NA"/>
    <s v="NA"/>
    <s v="NA"/>
    <s v="NA"/>
    <n v="1"/>
    <n v="1"/>
    <n v="0"/>
    <n v="0"/>
    <n v="0"/>
    <n v="1"/>
    <n v="0"/>
    <n v="1"/>
    <n v="0"/>
    <n v="0"/>
    <n v="0"/>
    <n v="0"/>
    <n v="0"/>
  </r>
  <r>
    <s v="A3JODCUHJMCSA2"/>
    <s v="english"/>
    <n v="32"/>
    <s v="female"/>
    <s v="exit_quest"/>
    <x v="0"/>
    <n v="31803"/>
    <s v="No%2C it's basically the same question just worded differently"/>
    <s v="Somewhat"/>
    <s v="N/A"/>
    <s v="NA"/>
    <s v="NA"/>
    <s v="NA"/>
    <s v="NA"/>
    <s v="NA"/>
    <s v="NA"/>
    <s v="NA"/>
    <s v="NA"/>
    <s v="NA"/>
    <s v="NA"/>
    <s v="NA"/>
    <s v="NA"/>
    <s v="NA"/>
    <s v="NA"/>
    <s v="NA"/>
    <s v="NA"/>
    <s v="NA"/>
    <s v="NA"/>
    <s v="NA"/>
    <s v="NA"/>
    <s v="NA"/>
  </r>
  <r>
    <s v="A03172343NB8PHOPICC1"/>
    <s v="english"/>
    <n v="22"/>
    <s v="male"/>
    <s v="consent"/>
    <x v="0"/>
    <n v="28659"/>
    <s v="NA"/>
    <s v="NA"/>
    <s v="NA"/>
    <s v="NA"/>
    <s v="NA"/>
    <s v="NA"/>
    <s v="NA"/>
    <s v="NA"/>
    <s v="NA"/>
    <s v="NA"/>
    <s v="NA"/>
    <s v="NA"/>
    <s v="NA"/>
    <s v="NA"/>
    <s v="NA"/>
    <s v="NA"/>
    <s v="NA"/>
    <s v="NA"/>
    <s v="NA"/>
    <s v="NA"/>
    <s v="NA"/>
    <s v="NA"/>
    <s v="NA"/>
    <s v="NA"/>
  </r>
  <r>
    <s v="A03172343NB8PHOPICC1"/>
    <s v="english"/>
    <n v="22"/>
    <s v="male"/>
    <s v="train"/>
    <x v="2"/>
    <n v="11261"/>
    <n v="0"/>
    <n v="0"/>
    <n v="0"/>
    <n v="1"/>
    <s v="NA"/>
    <s v="NA"/>
    <s v="NA"/>
    <s v="NA"/>
    <s v="NA"/>
    <s v="NA"/>
    <s v="NA"/>
    <s v="NA"/>
    <s v="NA"/>
    <s v="NA"/>
    <s v="NA"/>
    <s v="NA"/>
    <s v="NA"/>
    <s v="NA"/>
    <s v="NA"/>
    <s v="NA"/>
    <s v="NA"/>
    <s v="NA"/>
    <s v="NA"/>
    <s v="NA"/>
  </r>
  <r>
    <s v="A03172343NB8PHOPICC1"/>
    <s v="english"/>
    <n v="22"/>
    <s v="male"/>
    <s v="train"/>
    <x v="1"/>
    <n v="19182"/>
    <n v="0"/>
    <n v="0"/>
    <n v="1"/>
    <n v="0"/>
    <s v="NA"/>
    <s v="NA"/>
    <s v="NA"/>
    <s v="NA"/>
    <s v="NA"/>
    <s v="NA"/>
    <s v="NA"/>
    <s v="NA"/>
    <s v="NA"/>
    <s v="NA"/>
    <s v="NA"/>
    <s v="NA"/>
    <s v="NA"/>
    <s v="NA"/>
    <s v="NA"/>
    <s v="NA"/>
    <s v="NA"/>
    <s v="NA"/>
    <s v="NA"/>
    <s v="NA"/>
  </r>
  <r>
    <s v="A03172343NB8PHOPICC1"/>
    <s v="english"/>
    <n v="22"/>
    <s v="male"/>
    <s v="test"/>
    <x v="8"/>
    <n v="17095"/>
    <n v="0"/>
    <n v="0"/>
    <n v="1"/>
    <n v="0"/>
    <s v="Stylists D and E."/>
    <s v="Stylist F."/>
    <s v="Stylist A."/>
    <s v="ms-l"/>
    <s v="fa"/>
    <s v="mo-h"/>
    <n v="0"/>
    <n v="1"/>
    <n v="0"/>
    <n v="0"/>
    <n v="1"/>
    <n v="0"/>
    <n v="1"/>
    <n v="0"/>
    <n v="1"/>
    <n v="0"/>
    <n v="0"/>
    <n v="0"/>
    <n v="0"/>
    <n v="0"/>
  </r>
  <r>
    <s v="A03172343NB8PHOPICC1"/>
    <s v="english"/>
    <n v="22"/>
    <s v="male"/>
    <s v="control"/>
    <x v="10"/>
    <n v="7755"/>
    <n v="0"/>
    <n v="0"/>
    <n v="1"/>
    <n v="0"/>
    <s v="NA"/>
    <s v="NA"/>
    <s v="NA"/>
    <s v="NA"/>
    <s v="NA"/>
    <s v="NA"/>
    <s v="NA"/>
    <n v="1"/>
    <n v="0"/>
    <n v="0"/>
    <n v="1"/>
    <n v="0"/>
    <n v="1"/>
    <n v="0"/>
    <n v="1"/>
    <n v="0"/>
    <n v="0"/>
    <n v="0"/>
    <n v="0"/>
    <n v="0"/>
  </r>
  <r>
    <s v="A03172343NB8PHOPICC1"/>
    <s v="english"/>
    <n v="22"/>
    <s v="male"/>
    <s v="test"/>
    <x v="3"/>
    <n v="8261"/>
    <n v="1"/>
    <n v="1"/>
    <n v="1"/>
    <n v="0"/>
    <s v="Bookstore E."/>
    <s v="Bookstores D and E."/>
    <s v="Bookstores A and B."/>
    <s v="mo-l"/>
    <s v="ms-l"/>
    <s v="ms-h"/>
    <n v="0"/>
    <n v="0"/>
    <n v="1"/>
    <n v="1"/>
    <n v="1"/>
    <n v="0"/>
    <n v="1"/>
    <n v="0"/>
    <n v="0"/>
    <n v="1"/>
    <n v="1"/>
    <n v="1"/>
    <n v="0"/>
    <n v="0"/>
  </r>
  <r>
    <s v="A03172343NB8PHOPICC1"/>
    <s v="english"/>
    <n v="22"/>
    <s v="male"/>
    <s v="test"/>
    <x v="11"/>
    <n v="2349"/>
    <n v="0"/>
    <n v="1"/>
    <n v="0"/>
    <n v="0"/>
    <s v="Store E."/>
    <s v="Store A."/>
    <s v="Stores A, B, C, D and E."/>
    <s v="mo-l"/>
    <s v="mo-h"/>
    <s v="exh"/>
    <n v="1"/>
    <n v="1"/>
    <n v="1"/>
    <n v="0"/>
    <n v="0"/>
    <n v="0"/>
    <n v="1"/>
    <n v="0"/>
    <n v="1"/>
    <n v="0"/>
    <n v="0"/>
    <n v="0"/>
    <n v="0"/>
    <n v="0"/>
  </r>
  <r>
    <s v="A03172343NB8PHOPICC1"/>
    <s v="english"/>
    <n v="22"/>
    <s v="male"/>
    <s v="control"/>
    <x v="12"/>
    <n v="5874"/>
    <n v="1"/>
    <n v="1"/>
    <n v="1"/>
    <n v="0"/>
    <s v="NA"/>
    <s v="NA"/>
    <s v="NA"/>
    <s v="NA"/>
    <s v="NA"/>
    <s v="NA"/>
    <s v="NA"/>
    <n v="1"/>
    <n v="1"/>
    <n v="0"/>
    <n v="0"/>
    <n v="0"/>
    <n v="1"/>
    <n v="0"/>
    <n v="1"/>
    <n v="0"/>
    <n v="0"/>
    <n v="0"/>
    <n v="0"/>
    <n v="0"/>
  </r>
  <r>
    <s v="A03172343NB8PHOPICC1"/>
    <s v="english"/>
    <n v="22"/>
    <s v="male"/>
    <s v="test"/>
    <x v="9"/>
    <n v="6006"/>
    <n v="1"/>
    <n v="1"/>
    <n v="1"/>
    <n v="0"/>
    <s v="Stalls A, B, C, D and E."/>
    <s v="Stalls D and E."/>
    <s v="Stall A."/>
    <s v="exh"/>
    <s v="ms-l"/>
    <s v="mo-h"/>
    <n v="1"/>
    <n v="1"/>
    <n v="0"/>
    <n v="0"/>
    <n v="1"/>
    <n v="0"/>
    <n v="1"/>
    <n v="1"/>
    <n v="1"/>
    <n v="0"/>
    <n v="0"/>
    <n v="1"/>
    <n v="0"/>
    <n v="0"/>
  </r>
  <r>
    <s v="A03172343NB8PHOPICC1"/>
    <s v="english"/>
    <n v="22"/>
    <s v="male"/>
    <s v="control"/>
    <x v="7"/>
    <n v="62657"/>
    <n v="1"/>
    <n v="1"/>
    <n v="0"/>
    <n v="0"/>
    <s v="NA"/>
    <s v="NA"/>
    <s v="NA"/>
    <s v="NA"/>
    <s v="NA"/>
    <s v="NA"/>
    <s v="NA"/>
    <n v="1"/>
    <n v="0"/>
    <n v="0"/>
    <n v="1"/>
    <n v="0"/>
    <n v="1"/>
    <n v="1"/>
    <n v="1"/>
    <n v="0"/>
    <n v="0"/>
    <n v="1"/>
    <n v="0"/>
    <n v="0"/>
  </r>
  <r>
    <s v="A03172343NB8PHOPICC1"/>
    <s v="english"/>
    <n v="22"/>
    <s v="male"/>
    <s v="test"/>
    <x v="6"/>
    <n v="39362"/>
    <n v="1"/>
    <n v="1"/>
    <n v="1"/>
    <n v="0"/>
    <s v="Cafes A and B."/>
    <s v="Cafe E."/>
    <s v="Cafe A."/>
    <s v="ms-h"/>
    <s v="mo-l"/>
    <s v="mo-h"/>
    <n v="0"/>
    <n v="1"/>
    <n v="1"/>
    <n v="1"/>
    <n v="0"/>
    <n v="0"/>
    <n v="1"/>
    <n v="0"/>
    <n v="1"/>
    <n v="1"/>
    <n v="1"/>
    <n v="0"/>
    <n v="0"/>
    <n v="0"/>
  </r>
  <r>
    <s v="A03172343NB8PHOPICC1"/>
    <s v="english"/>
    <n v="22"/>
    <s v="male"/>
    <s v="test"/>
    <x v="4"/>
    <n v="4774"/>
    <n v="1"/>
    <n v="1"/>
    <n v="1"/>
    <n v="0"/>
    <s v="Dentists A, B, C, D and E."/>
    <s v="Dentist E."/>
    <s v="Dentists D and E."/>
    <s v="exh"/>
    <s v="mo-l"/>
    <s v="ms-l"/>
    <n v="1"/>
    <n v="0"/>
    <n v="1"/>
    <n v="0"/>
    <n v="1"/>
    <n v="0"/>
    <n v="1"/>
    <n v="1"/>
    <n v="0"/>
    <n v="1"/>
    <n v="0"/>
    <n v="1"/>
    <n v="0"/>
    <n v="0"/>
  </r>
  <r>
    <s v="A03172343NB8PHOPICC1"/>
    <s v="english"/>
    <n v="22"/>
    <s v="male"/>
    <s v="control"/>
    <x v="5"/>
    <n v="121720"/>
    <n v="0"/>
    <n v="0"/>
    <n v="0"/>
    <n v="1"/>
    <s v="NA"/>
    <s v="NA"/>
    <s v="NA"/>
    <s v="NA"/>
    <s v="NA"/>
    <s v="NA"/>
    <s v="NA"/>
    <n v="0"/>
    <n v="1"/>
    <n v="0"/>
    <n v="1"/>
    <n v="0"/>
    <n v="1"/>
    <n v="1"/>
    <n v="0"/>
    <n v="1"/>
    <n v="0"/>
    <n v="1"/>
    <n v="0"/>
    <n v="0"/>
  </r>
  <r>
    <s v="A03172343NB8PHOPICC1"/>
    <s v="english"/>
    <n v="22"/>
    <s v="male"/>
    <s v="exit_quest"/>
    <x v="0"/>
    <n v="404571"/>
    <s v="No%2C I think they are basically the same question that would warrant the same answer."/>
    <s v="A bit difficult because it was a little bit repetitive."/>
    <s v="Overall%2C I enjoyed it."/>
    <s v="NA"/>
    <s v="NA"/>
    <s v="NA"/>
    <s v="NA"/>
    <s v="NA"/>
    <s v="NA"/>
    <s v="NA"/>
    <s v="NA"/>
    <s v="NA"/>
    <s v="NA"/>
    <s v="NA"/>
    <s v="NA"/>
    <s v="NA"/>
    <s v="NA"/>
    <s v="NA"/>
    <s v="NA"/>
    <s v="NA"/>
    <s v="NA"/>
    <s v="NA"/>
    <s v="NA"/>
    <s v="NA"/>
  </r>
  <r>
    <s v="ADOVF9SBJJK33"/>
    <s v="english"/>
    <n v="32"/>
    <s v="male"/>
    <s v="consent"/>
    <x v="0"/>
    <n v="26595"/>
    <s v="NA"/>
    <s v="NA"/>
    <s v="NA"/>
    <s v="NA"/>
    <s v="NA"/>
    <s v="NA"/>
    <s v="NA"/>
    <s v="NA"/>
    <s v="NA"/>
    <s v="NA"/>
    <s v="NA"/>
    <s v="NA"/>
    <s v="NA"/>
    <s v="NA"/>
    <s v="NA"/>
    <s v="NA"/>
    <s v="NA"/>
    <s v="NA"/>
    <s v="NA"/>
    <s v="NA"/>
    <s v="NA"/>
    <s v="NA"/>
    <s v="NA"/>
    <s v="NA"/>
  </r>
  <r>
    <s v="ADOVF9SBJJK33"/>
    <s v="english"/>
    <n v="32"/>
    <s v="male"/>
    <s v="train"/>
    <x v="2"/>
    <n v="31410"/>
    <n v="0"/>
    <n v="0"/>
    <n v="0"/>
    <n v="1"/>
    <s v="NA"/>
    <s v="NA"/>
    <s v="NA"/>
    <s v="NA"/>
    <s v="NA"/>
    <s v="NA"/>
    <s v="NA"/>
    <s v="NA"/>
    <s v="NA"/>
    <s v="NA"/>
    <s v="NA"/>
    <s v="NA"/>
    <s v="NA"/>
    <s v="NA"/>
    <s v="NA"/>
    <s v="NA"/>
    <s v="NA"/>
    <s v="NA"/>
    <s v="NA"/>
    <s v="NA"/>
  </r>
  <r>
    <s v="ADOVF9SBJJK33"/>
    <s v="english"/>
    <n v="32"/>
    <s v="male"/>
    <s v="train"/>
    <x v="1"/>
    <n v="46599"/>
    <n v="0"/>
    <n v="1"/>
    <n v="1"/>
    <n v="0"/>
    <s v="NA"/>
    <s v="NA"/>
    <s v="NA"/>
    <s v="NA"/>
    <s v="NA"/>
    <s v="NA"/>
    <s v="NA"/>
    <s v="NA"/>
    <s v="NA"/>
    <s v="NA"/>
    <s v="NA"/>
    <s v="NA"/>
    <s v="NA"/>
    <s v="NA"/>
    <s v="NA"/>
    <s v="NA"/>
    <s v="NA"/>
    <s v="NA"/>
    <s v="NA"/>
    <s v="NA"/>
  </r>
  <r>
    <s v="ADOVF9SBJJK33"/>
    <s v="english"/>
    <n v="32"/>
    <s v="male"/>
    <s v="test"/>
    <x v="4"/>
    <n v="49793"/>
    <n v="0"/>
    <n v="0"/>
    <n v="0"/>
    <n v="1"/>
    <s v="Dentist F."/>
    <s v="Dentists A and B."/>
    <s v="Dentists D and E."/>
    <s v="fa"/>
    <s v="ms-h"/>
    <s v="ms-l"/>
    <n v="0"/>
    <n v="0"/>
    <n v="0"/>
    <n v="1"/>
    <n v="1"/>
    <n v="0"/>
    <n v="1"/>
    <n v="0"/>
    <n v="0"/>
    <n v="0"/>
    <n v="0"/>
    <n v="0"/>
    <n v="0"/>
    <n v="1"/>
  </r>
  <r>
    <s v="ADOVF9SBJJK33"/>
    <s v="english"/>
    <n v="32"/>
    <s v="male"/>
    <s v="test"/>
    <x v="11"/>
    <n v="74737"/>
    <n v="0"/>
    <n v="1"/>
    <n v="1"/>
    <n v="0"/>
    <s v="Store F."/>
    <s v="Stores A, B, C, D and E."/>
    <s v="Stores A and B."/>
    <s v="fa"/>
    <s v="exh"/>
    <s v="ms-h"/>
    <n v="1"/>
    <n v="0"/>
    <n v="0"/>
    <n v="1"/>
    <n v="0"/>
    <n v="0"/>
    <n v="1"/>
    <n v="1"/>
    <n v="0"/>
    <n v="0"/>
    <n v="1"/>
    <n v="0"/>
    <n v="0"/>
    <n v="0"/>
  </r>
  <r>
    <s v="ADOVF9SBJJK33"/>
    <s v="english"/>
    <n v="32"/>
    <s v="male"/>
    <s v="control"/>
    <x v="7"/>
    <n v="24781"/>
    <n v="1"/>
    <n v="1"/>
    <n v="0"/>
    <n v="0"/>
    <s v="NA"/>
    <s v="NA"/>
    <s v="NA"/>
    <s v="NA"/>
    <s v="NA"/>
    <s v="NA"/>
    <s v="NA"/>
    <n v="0"/>
    <n v="0"/>
    <n v="1"/>
    <n v="0"/>
    <n v="0"/>
    <n v="1"/>
    <n v="1"/>
    <n v="0"/>
    <n v="0"/>
    <n v="1"/>
    <n v="0"/>
    <n v="0"/>
    <n v="0"/>
  </r>
  <r>
    <s v="ADOVF9SBJJK33"/>
    <s v="english"/>
    <n v="32"/>
    <s v="male"/>
    <s v="test"/>
    <x v="9"/>
    <n v="33144"/>
    <n v="1"/>
    <n v="0"/>
    <n v="0"/>
    <n v="0"/>
    <s v="Stall A."/>
    <s v="Stalls D and E."/>
    <s v="Stall F."/>
    <s v="mo-h"/>
    <s v="ms-l"/>
    <s v="fa"/>
    <n v="0"/>
    <n v="1"/>
    <n v="0"/>
    <n v="0"/>
    <n v="1"/>
    <n v="0"/>
    <n v="1"/>
    <n v="0"/>
    <n v="1"/>
    <n v="0"/>
    <n v="0"/>
    <n v="0"/>
    <n v="0"/>
    <n v="0"/>
  </r>
  <r>
    <s v="ADOVF9SBJJK33"/>
    <s v="english"/>
    <n v="32"/>
    <s v="male"/>
    <s v="test"/>
    <x v="8"/>
    <n v="21077"/>
    <n v="0"/>
    <n v="0"/>
    <n v="1"/>
    <n v="0"/>
    <s v="Stylist F."/>
    <s v="Stylists D and E."/>
    <s v="Stylist A."/>
    <s v="fa"/>
    <s v="ms-l"/>
    <s v="mo-h"/>
    <n v="0"/>
    <n v="1"/>
    <n v="0"/>
    <n v="0"/>
    <n v="1"/>
    <n v="0"/>
    <n v="1"/>
    <n v="0"/>
    <n v="1"/>
    <n v="0"/>
    <n v="0"/>
    <n v="0"/>
    <n v="0"/>
    <n v="0"/>
  </r>
  <r>
    <s v="ADOVF9SBJJK33"/>
    <s v="english"/>
    <n v="32"/>
    <s v="male"/>
    <s v="control"/>
    <x v="5"/>
    <n v="31388"/>
    <n v="0"/>
    <n v="0"/>
    <n v="0"/>
    <n v="1"/>
    <s v="NA"/>
    <s v="NA"/>
    <s v="NA"/>
    <s v="NA"/>
    <s v="NA"/>
    <s v="NA"/>
    <s v="NA"/>
    <n v="1"/>
    <n v="0"/>
    <n v="0"/>
    <n v="1"/>
    <n v="0"/>
    <n v="1"/>
    <n v="0"/>
    <n v="1"/>
    <n v="0"/>
    <n v="0"/>
    <n v="0"/>
    <n v="0"/>
    <n v="0"/>
  </r>
  <r>
    <s v="ADOVF9SBJJK33"/>
    <s v="english"/>
    <n v="32"/>
    <s v="male"/>
    <s v="test"/>
    <x v="6"/>
    <n v="20181"/>
    <n v="1"/>
    <n v="1"/>
    <n v="0"/>
    <n v="0"/>
    <s v="Cafe A."/>
    <s v="Cafes A and B."/>
    <s v="Cafes D and E."/>
    <s v="mo-h"/>
    <s v="ms-h"/>
    <s v="ms-l"/>
    <n v="0"/>
    <n v="1"/>
    <n v="0"/>
    <n v="1"/>
    <n v="1"/>
    <n v="0"/>
    <n v="1"/>
    <n v="0"/>
    <n v="1"/>
    <n v="0"/>
    <n v="1"/>
    <n v="0"/>
    <n v="0"/>
    <n v="0"/>
  </r>
  <r>
    <s v="ADOVF9SBJJK33"/>
    <s v="english"/>
    <n v="32"/>
    <s v="male"/>
    <s v="control"/>
    <x v="10"/>
    <n v="41000"/>
    <n v="0"/>
    <n v="1"/>
    <n v="1"/>
    <n v="0"/>
    <s v="NA"/>
    <s v="NA"/>
    <s v="NA"/>
    <s v="NA"/>
    <s v="NA"/>
    <s v="NA"/>
    <s v="NA"/>
    <n v="1"/>
    <n v="0"/>
    <n v="1"/>
    <n v="1"/>
    <n v="0"/>
    <n v="1"/>
    <n v="0"/>
    <n v="1"/>
    <n v="0"/>
    <n v="1"/>
    <n v="0"/>
    <n v="0"/>
    <n v="0"/>
  </r>
  <r>
    <s v="ADOVF9SBJJK33"/>
    <s v="english"/>
    <n v="32"/>
    <s v="male"/>
    <s v="test"/>
    <x v="3"/>
    <n v="23652"/>
    <n v="1"/>
    <n v="0"/>
    <n v="1"/>
    <n v="0"/>
    <s v="Bookstores A, B, C, D and E."/>
    <s v="Bookstore E."/>
    <s v="Bookstore A."/>
    <s v="exh"/>
    <s v="mo-l"/>
    <s v="mo-h"/>
    <n v="1"/>
    <n v="1"/>
    <n v="1"/>
    <n v="0"/>
    <n v="0"/>
    <n v="0"/>
    <n v="1"/>
    <n v="1"/>
    <n v="1"/>
    <n v="0"/>
    <n v="0"/>
    <n v="0"/>
    <n v="0"/>
    <n v="0"/>
  </r>
  <r>
    <s v="ADOVF9SBJJK33"/>
    <s v="english"/>
    <n v="32"/>
    <s v="male"/>
    <s v="control"/>
    <x v="12"/>
    <n v="22279"/>
    <n v="1"/>
    <n v="0"/>
    <n v="0"/>
    <n v="0"/>
    <s v="NA"/>
    <s v="NA"/>
    <s v="NA"/>
    <s v="NA"/>
    <s v="NA"/>
    <s v="NA"/>
    <s v="NA"/>
    <n v="1"/>
    <n v="1"/>
    <n v="0"/>
    <n v="0"/>
    <n v="0"/>
    <n v="1"/>
    <n v="1"/>
    <n v="1"/>
    <n v="0"/>
    <n v="0"/>
    <n v="0"/>
    <n v="0"/>
    <n v="0"/>
  </r>
  <r>
    <s v="ADOVF9SBJJK33"/>
    <s v="english"/>
    <n v="32"/>
    <s v="male"/>
    <s v="exit_quest"/>
    <x v="0"/>
    <n v="106748"/>
    <s v="No because I consider anyplace that serves brunch to be a restaurant as well so it's the same question to me."/>
    <s v="Sort of. I dont think I did well. Some of the A/B/C/D type questions confused me."/>
    <s v="no"/>
    <s v="NA"/>
    <s v="NA"/>
    <s v="NA"/>
    <s v="NA"/>
    <s v="NA"/>
    <s v="NA"/>
    <s v="NA"/>
    <s v="NA"/>
    <s v="NA"/>
    <s v="NA"/>
    <s v="NA"/>
    <s v="NA"/>
    <s v="NA"/>
    <s v="NA"/>
    <s v="NA"/>
    <s v="NA"/>
    <s v="NA"/>
    <s v="NA"/>
    <s v="NA"/>
    <s v="NA"/>
    <s v="NA"/>
  </r>
  <r>
    <s v="A2EW08X2I87RXL"/>
    <s v="english"/>
    <n v="34"/>
    <s v="male"/>
    <s v="consent"/>
    <x v="0"/>
    <n v="21175"/>
    <s v="NA"/>
    <s v="NA"/>
    <s v="NA"/>
    <s v="NA"/>
    <s v="NA"/>
    <s v="NA"/>
    <s v="NA"/>
    <s v="NA"/>
    <s v="NA"/>
    <s v="NA"/>
    <s v="NA"/>
    <s v="NA"/>
    <s v="NA"/>
    <s v="NA"/>
    <s v="NA"/>
    <s v="NA"/>
    <s v="NA"/>
    <s v="NA"/>
    <s v="NA"/>
    <s v="NA"/>
    <s v="NA"/>
    <s v="NA"/>
    <s v="NA"/>
    <s v="NA"/>
  </r>
  <r>
    <s v="A2EW08X2I87RXL"/>
    <s v="english"/>
    <n v="34"/>
    <s v="male"/>
    <s v="train"/>
    <x v="1"/>
    <n v="52992"/>
    <n v="0"/>
    <n v="0"/>
    <n v="1"/>
    <n v="0"/>
    <s v="NA"/>
    <s v="NA"/>
    <s v="NA"/>
    <s v="NA"/>
    <s v="NA"/>
    <s v="NA"/>
    <s v="NA"/>
    <s v="NA"/>
    <s v="NA"/>
    <s v="NA"/>
    <s v="NA"/>
    <s v="NA"/>
    <s v="NA"/>
    <s v="NA"/>
    <s v="NA"/>
    <s v="NA"/>
    <s v="NA"/>
    <s v="NA"/>
    <s v="NA"/>
    <s v="NA"/>
  </r>
  <r>
    <s v="A2EW08X2I87RXL"/>
    <s v="english"/>
    <n v="34"/>
    <s v="male"/>
    <s v="train"/>
    <x v="2"/>
    <n v="66176"/>
    <n v="0"/>
    <n v="0"/>
    <n v="0"/>
    <n v="1"/>
    <s v="NA"/>
    <s v="NA"/>
    <s v="NA"/>
    <s v="NA"/>
    <s v="NA"/>
    <s v="NA"/>
    <s v="NA"/>
    <s v="NA"/>
    <s v="NA"/>
    <s v="NA"/>
    <s v="NA"/>
    <s v="NA"/>
    <s v="NA"/>
    <s v="NA"/>
    <s v="NA"/>
    <s v="NA"/>
    <s v="NA"/>
    <s v="NA"/>
    <s v="NA"/>
    <s v="NA"/>
  </r>
  <r>
    <s v="A2EW08X2I87RXL"/>
    <s v="english"/>
    <n v="34"/>
    <s v="male"/>
    <s v="test"/>
    <x v="3"/>
    <n v="82567"/>
    <n v="1"/>
    <n v="1"/>
    <n v="1"/>
    <n v="0"/>
    <s v="Bookstore E."/>
    <s v="Bookstores D and E."/>
    <s v="Bookstores A and B."/>
    <s v="mo-l"/>
    <s v="ms-l"/>
    <s v="ms-h"/>
    <n v="0"/>
    <n v="0"/>
    <n v="1"/>
    <n v="1"/>
    <n v="1"/>
    <n v="0"/>
    <n v="1"/>
    <n v="0"/>
    <n v="0"/>
    <n v="1"/>
    <n v="1"/>
    <n v="1"/>
    <n v="0"/>
    <n v="0"/>
  </r>
  <r>
    <s v="A2EW08X2I87RXL"/>
    <s v="english"/>
    <n v="34"/>
    <s v="male"/>
    <s v="test"/>
    <x v="9"/>
    <n v="96553"/>
    <n v="0"/>
    <n v="0"/>
    <n v="0"/>
    <n v="1"/>
    <s v="Stall A."/>
    <s v="Stall E."/>
    <s v="Stalls A and B."/>
    <s v="mo-h"/>
    <s v="mo-l"/>
    <s v="ms-h"/>
    <n v="0"/>
    <n v="1"/>
    <n v="1"/>
    <n v="1"/>
    <n v="0"/>
    <n v="0"/>
    <n v="1"/>
    <n v="0"/>
    <n v="0"/>
    <n v="0"/>
    <n v="0"/>
    <n v="0"/>
    <n v="0"/>
    <n v="1"/>
  </r>
  <r>
    <s v="A2EW08X2I87RXL"/>
    <s v="english"/>
    <n v="34"/>
    <s v="male"/>
    <s v="control"/>
    <x v="5"/>
    <n v="54799"/>
    <n v="0"/>
    <n v="0"/>
    <n v="0"/>
    <n v="1"/>
    <s v="NA"/>
    <s v="NA"/>
    <s v="NA"/>
    <s v="NA"/>
    <s v="NA"/>
    <s v="NA"/>
    <s v="NA"/>
    <n v="1"/>
    <n v="1"/>
    <n v="1"/>
    <n v="0"/>
    <n v="0"/>
    <n v="1"/>
    <n v="0"/>
    <n v="0"/>
    <n v="0"/>
    <n v="0"/>
    <n v="0"/>
    <n v="0"/>
    <n v="1"/>
  </r>
  <r>
    <s v="A2EW08X2I87RXL"/>
    <s v="english"/>
    <n v="34"/>
    <s v="male"/>
    <s v="test"/>
    <x v="11"/>
    <n v="61842"/>
    <n v="1"/>
    <n v="1"/>
    <n v="1"/>
    <n v="0"/>
    <s v="Store E."/>
    <s v="Stores A and B."/>
    <s v="Stores A, B, C, D and E."/>
    <s v="mo-l"/>
    <s v="ms-h"/>
    <s v="exh"/>
    <n v="1"/>
    <n v="0"/>
    <n v="1"/>
    <n v="1"/>
    <n v="0"/>
    <n v="0"/>
    <n v="1"/>
    <n v="1"/>
    <n v="0"/>
    <n v="1"/>
    <n v="1"/>
    <n v="0"/>
    <n v="0"/>
    <n v="0"/>
  </r>
  <r>
    <s v="A2EW08X2I87RXL"/>
    <s v="english"/>
    <n v="34"/>
    <s v="male"/>
    <s v="control"/>
    <x v="10"/>
    <n v="86253"/>
    <n v="1"/>
    <n v="1"/>
    <n v="1"/>
    <n v="0"/>
    <s v="NA"/>
    <s v="NA"/>
    <s v="NA"/>
    <s v="NA"/>
    <s v="NA"/>
    <s v="NA"/>
    <s v="NA"/>
    <n v="0"/>
    <n v="1"/>
    <n v="1"/>
    <n v="0"/>
    <n v="0"/>
    <n v="1"/>
    <n v="1"/>
    <n v="0"/>
    <n v="1"/>
    <n v="1"/>
    <n v="0"/>
    <n v="0"/>
    <n v="0"/>
  </r>
  <r>
    <s v="A2EW08X2I87RXL"/>
    <s v="english"/>
    <n v="34"/>
    <s v="male"/>
    <s v="test"/>
    <x v="4"/>
    <n v="16290"/>
    <n v="0"/>
    <n v="0"/>
    <n v="0"/>
    <n v="1"/>
    <s v="Dentist E."/>
    <s v="Dentist A."/>
    <s v="Dentists A and B."/>
    <s v="mo-l"/>
    <s v="mo-h"/>
    <s v="ms-h"/>
    <n v="0"/>
    <n v="1"/>
    <n v="1"/>
    <n v="1"/>
    <n v="0"/>
    <n v="0"/>
    <n v="1"/>
    <n v="0"/>
    <n v="0"/>
    <n v="0"/>
    <n v="0"/>
    <n v="0"/>
    <n v="0"/>
    <n v="1"/>
  </r>
  <r>
    <s v="A2EW08X2I87RXL"/>
    <s v="english"/>
    <n v="34"/>
    <s v="male"/>
    <s v="test"/>
    <x v="6"/>
    <n v="13459"/>
    <n v="1"/>
    <n v="1"/>
    <n v="1"/>
    <n v="0"/>
    <s v="Cafe E."/>
    <s v="Cafes D and E."/>
    <s v="Cafe A."/>
    <s v="mo-l"/>
    <s v="ms-l"/>
    <s v="mo-h"/>
    <n v="0"/>
    <n v="1"/>
    <n v="1"/>
    <n v="0"/>
    <n v="1"/>
    <n v="0"/>
    <n v="1"/>
    <n v="0"/>
    <n v="1"/>
    <n v="1"/>
    <n v="0"/>
    <n v="1"/>
    <n v="0"/>
    <n v="0"/>
  </r>
  <r>
    <s v="A2EW08X2I87RXL"/>
    <s v="english"/>
    <n v="34"/>
    <s v="male"/>
    <s v="control"/>
    <x v="12"/>
    <n v="19302"/>
    <n v="0"/>
    <n v="1"/>
    <n v="0"/>
    <n v="0"/>
    <s v="NA"/>
    <s v="NA"/>
    <s v="NA"/>
    <s v="NA"/>
    <s v="NA"/>
    <s v="NA"/>
    <s v="NA"/>
    <n v="1"/>
    <n v="1"/>
    <n v="0"/>
    <n v="1"/>
    <n v="0"/>
    <n v="1"/>
    <n v="0"/>
    <n v="1"/>
    <n v="1"/>
    <n v="0"/>
    <n v="1"/>
    <n v="0"/>
    <n v="0"/>
  </r>
  <r>
    <s v="A2EW08X2I87RXL"/>
    <s v="english"/>
    <n v="34"/>
    <s v="male"/>
    <s v="test"/>
    <x v="8"/>
    <n v="11092"/>
    <n v="0"/>
    <n v="0"/>
    <n v="0"/>
    <n v="1"/>
    <s v="Stylists D and E."/>
    <s v="Stylist E."/>
    <s v="Stylists A and B."/>
    <s v="ms-l"/>
    <s v="mo-l"/>
    <s v="ms-h"/>
    <n v="0"/>
    <n v="0"/>
    <n v="1"/>
    <n v="1"/>
    <n v="1"/>
    <n v="0"/>
    <n v="1"/>
    <n v="0"/>
    <n v="0"/>
    <n v="0"/>
    <n v="0"/>
    <n v="0"/>
    <n v="0"/>
    <n v="1"/>
  </r>
  <r>
    <s v="A2EW08X2I87RXL"/>
    <s v="english"/>
    <n v="34"/>
    <s v="male"/>
    <s v="control"/>
    <x v="7"/>
    <n v="4209"/>
    <n v="0"/>
    <n v="0"/>
    <n v="0"/>
    <n v="1"/>
    <s v="NA"/>
    <s v="NA"/>
    <s v="NA"/>
    <s v="NA"/>
    <s v="NA"/>
    <s v="NA"/>
    <s v="NA"/>
    <n v="0"/>
    <n v="1"/>
    <n v="1"/>
    <n v="1"/>
    <n v="0"/>
    <n v="1"/>
    <n v="0"/>
    <n v="0"/>
    <n v="0"/>
    <n v="0"/>
    <n v="0"/>
    <n v="0"/>
    <n v="1"/>
  </r>
  <r>
    <s v="A2EW08X2I87RXL"/>
    <s v="english"/>
    <n v="34"/>
    <s v="male"/>
    <s v="exit_quest"/>
    <x v="0"/>
    <n v="87078"/>
    <s v="No%2C the answer will be same."/>
    <s v="Not difficult%2C because It was interesting "/>
    <s v="none"/>
    <s v="NA"/>
    <s v="NA"/>
    <s v="NA"/>
    <s v="NA"/>
    <s v="NA"/>
    <s v="NA"/>
    <s v="NA"/>
    <s v="NA"/>
    <s v="NA"/>
    <s v="NA"/>
    <s v="NA"/>
    <s v="NA"/>
    <s v="NA"/>
    <s v="NA"/>
    <s v="NA"/>
    <s v="NA"/>
    <s v="NA"/>
    <s v="NA"/>
    <s v="NA"/>
    <s v="NA"/>
    <s v="NA"/>
  </r>
  <r>
    <s v="ALF9AAZGQP4K5"/>
    <s v="english"/>
    <n v="30"/>
    <s v="male"/>
    <s v="consent"/>
    <x v="0"/>
    <n v="52388"/>
    <s v="NA"/>
    <s v="NA"/>
    <s v="NA"/>
    <s v="NA"/>
    <s v="NA"/>
    <s v="NA"/>
    <s v="NA"/>
    <s v="NA"/>
    <s v="NA"/>
    <s v="NA"/>
    <s v="NA"/>
    <s v="NA"/>
    <s v="NA"/>
    <s v="NA"/>
    <s v="NA"/>
    <s v="NA"/>
    <s v="NA"/>
    <s v="NA"/>
    <s v="NA"/>
    <s v="NA"/>
    <s v="NA"/>
    <s v="NA"/>
    <s v="NA"/>
    <s v="NA"/>
  </r>
  <r>
    <s v="ALF9AAZGQP4K5"/>
    <s v="english"/>
    <n v="30"/>
    <s v="male"/>
    <s v="train"/>
    <x v="2"/>
    <n v="35779"/>
    <n v="0"/>
    <n v="0"/>
    <n v="0"/>
    <n v="1"/>
    <s v="NA"/>
    <s v="NA"/>
    <s v="NA"/>
    <s v="NA"/>
    <s v="NA"/>
    <s v="NA"/>
    <s v="NA"/>
    <s v="NA"/>
    <s v="NA"/>
    <s v="NA"/>
    <s v="NA"/>
    <s v="NA"/>
    <s v="NA"/>
    <s v="NA"/>
    <s v="NA"/>
    <s v="NA"/>
    <s v="NA"/>
    <s v="NA"/>
    <s v="NA"/>
    <s v="NA"/>
  </r>
  <r>
    <s v="ALF9AAZGQP4K5"/>
    <s v="english"/>
    <n v="30"/>
    <s v="male"/>
    <s v="train"/>
    <x v="1"/>
    <n v="37927"/>
    <n v="0"/>
    <n v="0"/>
    <n v="1"/>
    <n v="0"/>
    <s v="NA"/>
    <s v="NA"/>
    <s v="NA"/>
    <s v="NA"/>
    <s v="NA"/>
    <s v="NA"/>
    <s v="NA"/>
    <s v="NA"/>
    <s v="NA"/>
    <s v="NA"/>
    <s v="NA"/>
    <s v="NA"/>
    <s v="NA"/>
    <s v="NA"/>
    <s v="NA"/>
    <s v="NA"/>
    <s v="NA"/>
    <s v="NA"/>
    <s v="NA"/>
    <s v="NA"/>
  </r>
  <r>
    <s v="ALF9AAZGQP4K5"/>
    <s v="english"/>
    <n v="30"/>
    <s v="male"/>
    <s v="test"/>
    <x v="3"/>
    <n v="76729"/>
    <n v="0"/>
    <n v="0"/>
    <n v="0"/>
    <n v="1"/>
    <s v="Bookstore E."/>
    <s v="Bookstores A and B."/>
    <s v="Bookstore A."/>
    <s v="mo-l"/>
    <s v="ms-h"/>
    <s v="mo-h"/>
    <n v="0"/>
    <n v="1"/>
    <n v="1"/>
    <n v="1"/>
    <n v="0"/>
    <n v="0"/>
    <n v="1"/>
    <n v="0"/>
    <n v="0"/>
    <n v="0"/>
    <n v="0"/>
    <n v="0"/>
    <n v="0"/>
    <n v="1"/>
  </r>
  <r>
    <s v="ALF9AAZGQP4K5"/>
    <s v="english"/>
    <n v="30"/>
    <s v="male"/>
    <s v="control"/>
    <x v="5"/>
    <n v="51004"/>
    <n v="1"/>
    <n v="1"/>
    <n v="0"/>
    <n v="0"/>
    <s v="NA"/>
    <s v="NA"/>
    <s v="NA"/>
    <s v="NA"/>
    <s v="NA"/>
    <s v="NA"/>
    <s v="NA"/>
    <n v="1"/>
    <n v="1"/>
    <n v="1"/>
    <n v="0"/>
    <n v="0"/>
    <n v="1"/>
    <n v="0"/>
    <n v="0"/>
    <n v="0"/>
    <n v="0"/>
    <n v="0"/>
    <n v="0"/>
    <n v="1"/>
  </r>
  <r>
    <s v="ALF9AAZGQP4K5"/>
    <s v="english"/>
    <n v="30"/>
    <s v="male"/>
    <s v="test"/>
    <x v="11"/>
    <n v="36024"/>
    <n v="0"/>
    <n v="0"/>
    <n v="1"/>
    <n v="0"/>
    <s v="Store E."/>
    <s v="Store F."/>
    <s v="Store A."/>
    <s v="mo-l"/>
    <s v="fa"/>
    <s v="mo-h"/>
    <n v="0"/>
    <n v="1"/>
    <n v="1"/>
    <n v="0"/>
    <n v="0"/>
    <n v="0"/>
    <n v="1"/>
    <n v="0"/>
    <n v="1"/>
    <n v="0"/>
    <n v="0"/>
    <n v="0"/>
    <n v="0"/>
    <n v="0"/>
  </r>
  <r>
    <s v="ALF9AAZGQP4K5"/>
    <s v="english"/>
    <n v="30"/>
    <s v="male"/>
    <s v="test"/>
    <x v="4"/>
    <n v="31351"/>
    <n v="0"/>
    <n v="1"/>
    <n v="1"/>
    <n v="0"/>
    <s v="Dentist E."/>
    <s v="Dentists A and B."/>
    <s v="Dentist A."/>
    <s v="mo-l"/>
    <s v="ms-h"/>
    <s v="mo-h"/>
    <n v="0"/>
    <n v="1"/>
    <n v="1"/>
    <n v="1"/>
    <n v="0"/>
    <n v="0"/>
    <n v="1"/>
    <n v="0"/>
    <n v="1"/>
    <n v="0"/>
    <n v="1"/>
    <n v="0"/>
    <n v="0"/>
    <n v="0"/>
  </r>
  <r>
    <s v="ALF9AAZGQP4K5"/>
    <s v="english"/>
    <n v="30"/>
    <s v="male"/>
    <s v="control"/>
    <x v="10"/>
    <n v="48689"/>
    <n v="0"/>
    <n v="0"/>
    <n v="1"/>
    <n v="0"/>
    <s v="NA"/>
    <s v="NA"/>
    <s v="NA"/>
    <s v="NA"/>
    <s v="NA"/>
    <s v="NA"/>
    <s v="NA"/>
    <n v="1"/>
    <n v="1"/>
    <n v="1"/>
    <n v="0"/>
    <n v="0"/>
    <n v="1"/>
    <n v="0"/>
    <n v="1"/>
    <n v="0"/>
    <n v="1"/>
    <n v="0"/>
    <n v="0"/>
    <n v="0"/>
  </r>
  <r>
    <s v="ALF9AAZGQP4K5"/>
    <s v="english"/>
    <n v="30"/>
    <s v="male"/>
    <s v="test"/>
    <x v="9"/>
    <n v="19486"/>
    <n v="0"/>
    <n v="0"/>
    <n v="0"/>
    <n v="1"/>
    <s v="Stall F."/>
    <s v="Stalls D and E."/>
    <s v="Stall A."/>
    <s v="fa"/>
    <s v="ms-l"/>
    <s v="mo-h"/>
    <n v="0"/>
    <n v="1"/>
    <n v="0"/>
    <n v="0"/>
    <n v="1"/>
    <n v="0"/>
    <n v="1"/>
    <n v="0"/>
    <n v="0"/>
    <n v="0"/>
    <n v="0"/>
    <n v="0"/>
    <n v="0"/>
    <n v="1"/>
  </r>
  <r>
    <s v="ALF9AAZGQP4K5"/>
    <s v="english"/>
    <n v="30"/>
    <s v="male"/>
    <s v="control"/>
    <x v="12"/>
    <n v="31836"/>
    <n v="1"/>
    <n v="0"/>
    <n v="0"/>
    <n v="0"/>
    <s v="NA"/>
    <s v="NA"/>
    <s v="NA"/>
    <s v="NA"/>
    <s v="NA"/>
    <s v="NA"/>
    <s v="NA"/>
    <n v="1"/>
    <n v="0"/>
    <n v="0"/>
    <n v="1"/>
    <n v="0"/>
    <n v="1"/>
    <n v="0"/>
    <n v="0"/>
    <n v="0"/>
    <n v="0"/>
    <n v="0"/>
    <n v="0"/>
    <n v="1"/>
  </r>
  <r>
    <s v="ALF9AAZGQP4K5"/>
    <s v="english"/>
    <n v="30"/>
    <s v="male"/>
    <s v="test"/>
    <x v="6"/>
    <n v="56689"/>
    <n v="0"/>
    <n v="0"/>
    <n v="1"/>
    <n v="0"/>
    <s v="Cafes A, B, C, D and E."/>
    <s v="Cafe E."/>
    <s v="Cafes A and B."/>
    <s v="exh"/>
    <s v="mo-l"/>
    <s v="ms-h"/>
    <n v="1"/>
    <n v="0"/>
    <n v="1"/>
    <n v="1"/>
    <n v="0"/>
    <n v="0"/>
    <n v="1"/>
    <n v="0"/>
    <n v="0"/>
    <n v="0"/>
    <n v="1"/>
    <n v="0"/>
    <n v="0"/>
    <n v="0"/>
  </r>
  <r>
    <s v="ALF9AAZGQP4K5"/>
    <s v="english"/>
    <n v="30"/>
    <s v="male"/>
    <s v="test"/>
    <x v="8"/>
    <n v="16992"/>
    <n v="0"/>
    <n v="0"/>
    <n v="1"/>
    <n v="0"/>
    <s v="Stylists D and E."/>
    <s v="Stylist F."/>
    <s v="Stylists A, B, C, D and E."/>
    <s v="ms-l"/>
    <s v="fa"/>
    <s v="exh"/>
    <n v="1"/>
    <n v="0"/>
    <n v="0"/>
    <n v="0"/>
    <n v="1"/>
    <n v="0"/>
    <n v="1"/>
    <n v="1"/>
    <n v="0"/>
    <n v="0"/>
    <n v="0"/>
    <n v="0"/>
    <n v="0"/>
    <n v="0"/>
  </r>
  <r>
    <s v="ALF9AAZGQP4K5"/>
    <s v="english"/>
    <n v="30"/>
    <s v="male"/>
    <s v="control"/>
    <x v="7"/>
    <n v="26983"/>
    <n v="1"/>
    <n v="1"/>
    <n v="0"/>
    <n v="0"/>
    <s v="NA"/>
    <s v="NA"/>
    <s v="NA"/>
    <s v="NA"/>
    <s v="NA"/>
    <s v="NA"/>
    <s v="NA"/>
    <n v="0"/>
    <n v="0"/>
    <n v="0"/>
    <n v="1"/>
    <n v="0"/>
    <n v="1"/>
    <n v="1"/>
    <n v="0"/>
    <n v="0"/>
    <n v="0"/>
    <n v="0"/>
    <n v="0"/>
    <n v="0"/>
  </r>
  <r>
    <s v="ALF9AAZGQP4K5"/>
    <s v="english"/>
    <n v="30"/>
    <s v="male"/>
    <s v="exit_quest"/>
    <x v="0"/>
    <n v="63497"/>
    <s v="i would asnwer the same unless there were places other than restaurants that serve brunch"/>
    <s v="just aggravating and monotonous"/>
    <s v="no"/>
    <s v="NA"/>
    <s v="NA"/>
    <s v="NA"/>
    <s v="NA"/>
    <s v="NA"/>
    <s v="NA"/>
    <s v="NA"/>
    <s v="NA"/>
    <s v="NA"/>
    <s v="NA"/>
    <s v="NA"/>
    <s v="NA"/>
    <s v="NA"/>
    <s v="NA"/>
    <s v="NA"/>
    <s v="NA"/>
    <s v="NA"/>
    <s v="NA"/>
    <s v="NA"/>
    <s v="NA"/>
    <s v="NA"/>
  </r>
  <r>
    <s v="A28LPPFS7FW2SD"/>
    <s v="english"/>
    <n v="50"/>
    <s v="male"/>
    <s v="consent"/>
    <x v="0"/>
    <n v="39041"/>
    <s v="NA"/>
    <s v="NA"/>
    <s v="NA"/>
    <s v="NA"/>
    <s v="NA"/>
    <s v="NA"/>
    <s v="NA"/>
    <s v="NA"/>
    <s v="NA"/>
    <s v="NA"/>
    <s v="NA"/>
    <s v="NA"/>
    <s v="NA"/>
    <s v="NA"/>
    <s v="NA"/>
    <s v="NA"/>
    <s v="NA"/>
    <s v="NA"/>
    <s v="NA"/>
    <s v="NA"/>
    <s v="NA"/>
    <s v="NA"/>
    <s v="NA"/>
    <s v="NA"/>
  </r>
  <r>
    <s v="A28LPPFS7FW2SD"/>
    <s v="english"/>
    <n v="50"/>
    <s v="male"/>
    <s v="train"/>
    <x v="1"/>
    <n v="7386"/>
    <n v="1"/>
    <n v="0"/>
    <n v="0"/>
    <n v="0"/>
    <s v="NA"/>
    <s v="NA"/>
    <s v="NA"/>
    <s v="NA"/>
    <s v="NA"/>
    <s v="NA"/>
    <s v="NA"/>
    <s v="NA"/>
    <s v="NA"/>
    <s v="NA"/>
    <s v="NA"/>
    <s v="NA"/>
    <s v="NA"/>
    <s v="NA"/>
    <s v="NA"/>
    <s v="NA"/>
    <s v="NA"/>
    <s v="NA"/>
    <s v="NA"/>
    <s v="NA"/>
  </r>
  <r>
    <s v="A28LPPFS7FW2SD"/>
    <s v="english"/>
    <n v="50"/>
    <s v="male"/>
    <s v="train"/>
    <x v="2"/>
    <n v="8287"/>
    <n v="1"/>
    <n v="0"/>
    <n v="0"/>
    <n v="0"/>
    <s v="NA"/>
    <s v="NA"/>
    <s v="NA"/>
    <s v="NA"/>
    <s v="NA"/>
    <s v="NA"/>
    <s v="NA"/>
    <s v="NA"/>
    <s v="NA"/>
    <s v="NA"/>
    <s v="NA"/>
    <s v="NA"/>
    <s v="NA"/>
    <s v="NA"/>
    <s v="NA"/>
    <s v="NA"/>
    <s v="NA"/>
    <s v="NA"/>
    <s v="NA"/>
    <s v="NA"/>
  </r>
  <r>
    <s v="A28LPPFS7FW2SD"/>
    <s v="english"/>
    <n v="50"/>
    <s v="male"/>
    <s v="test"/>
    <x v="3"/>
    <n v="12015"/>
    <n v="1"/>
    <n v="1"/>
    <n v="1"/>
    <n v="0"/>
    <s v="Bookstore A."/>
    <s v="Bookstore F."/>
    <s v="Bookstore E."/>
    <s v="mo-h"/>
    <s v="fa"/>
    <s v="mo-l"/>
    <n v="0"/>
    <n v="1"/>
    <n v="1"/>
    <n v="0"/>
    <n v="0"/>
    <n v="0"/>
    <n v="1"/>
    <n v="0"/>
    <n v="1"/>
    <n v="1"/>
    <n v="0"/>
    <n v="0"/>
    <n v="0"/>
    <n v="0"/>
  </r>
  <r>
    <s v="A28LPPFS7FW2SD"/>
    <s v="english"/>
    <n v="50"/>
    <s v="male"/>
    <s v="control"/>
    <x v="7"/>
    <n v="8798"/>
    <n v="1"/>
    <n v="1"/>
    <n v="1"/>
    <n v="0"/>
    <s v="NA"/>
    <s v="NA"/>
    <s v="NA"/>
    <s v="NA"/>
    <s v="NA"/>
    <s v="NA"/>
    <s v="NA"/>
    <n v="1"/>
    <n v="1"/>
    <n v="0"/>
    <n v="0"/>
    <n v="0"/>
    <n v="1"/>
    <n v="0"/>
    <n v="1"/>
    <n v="1"/>
    <n v="0"/>
    <n v="0"/>
    <n v="0"/>
    <n v="0"/>
  </r>
  <r>
    <s v="A28LPPFS7FW2SD"/>
    <s v="english"/>
    <n v="50"/>
    <s v="male"/>
    <s v="test"/>
    <x v="6"/>
    <n v="13969"/>
    <n v="1"/>
    <n v="1"/>
    <n v="1"/>
    <n v="0"/>
    <s v="Cafe E."/>
    <s v="Cafes D and E."/>
    <s v="Cafe A."/>
    <s v="mo-l"/>
    <s v="ms-l"/>
    <s v="mo-h"/>
    <n v="0"/>
    <n v="1"/>
    <n v="1"/>
    <n v="0"/>
    <n v="1"/>
    <n v="0"/>
    <n v="1"/>
    <n v="0"/>
    <n v="1"/>
    <n v="1"/>
    <n v="0"/>
    <n v="1"/>
    <n v="0"/>
    <n v="0"/>
  </r>
  <r>
    <s v="A28LPPFS7FW2SD"/>
    <s v="english"/>
    <n v="50"/>
    <s v="male"/>
    <s v="test"/>
    <x v="8"/>
    <n v="11167"/>
    <n v="1"/>
    <n v="1"/>
    <n v="1"/>
    <n v="0"/>
    <s v="Stylists A, B, C, D and E."/>
    <s v="Stylist A."/>
    <s v="Stylists A and B."/>
    <s v="exh"/>
    <s v="mo-h"/>
    <s v="ms-h"/>
    <n v="1"/>
    <n v="1"/>
    <n v="0"/>
    <n v="1"/>
    <n v="0"/>
    <n v="0"/>
    <n v="1"/>
    <n v="1"/>
    <n v="1"/>
    <n v="0"/>
    <n v="1"/>
    <n v="0"/>
    <n v="0"/>
    <n v="0"/>
  </r>
  <r>
    <s v="A28LPPFS7FW2SD"/>
    <s v="english"/>
    <n v="50"/>
    <s v="male"/>
    <s v="control"/>
    <x v="12"/>
    <n v="10458"/>
    <n v="1"/>
    <n v="1"/>
    <n v="1"/>
    <n v="0"/>
    <s v="NA"/>
    <s v="NA"/>
    <s v="NA"/>
    <s v="NA"/>
    <s v="NA"/>
    <s v="NA"/>
    <s v="NA"/>
    <n v="1"/>
    <n v="0"/>
    <n v="1"/>
    <n v="0"/>
    <n v="0"/>
    <n v="1"/>
    <n v="1"/>
    <n v="1"/>
    <n v="0"/>
    <n v="1"/>
    <n v="0"/>
    <n v="0"/>
    <n v="0"/>
  </r>
  <r>
    <s v="A28LPPFS7FW2SD"/>
    <s v="english"/>
    <n v="50"/>
    <s v="male"/>
    <s v="test"/>
    <x v="4"/>
    <n v="11049"/>
    <n v="0"/>
    <n v="0"/>
    <n v="1"/>
    <n v="0"/>
    <s v="Dentists D and E."/>
    <s v="Dentists A and B."/>
    <s v="Dentist F."/>
    <s v="ms-l"/>
    <s v="ms-h"/>
    <s v="fa"/>
    <n v="0"/>
    <n v="0"/>
    <n v="0"/>
    <n v="1"/>
    <n v="1"/>
    <n v="0"/>
    <n v="1"/>
    <n v="0"/>
    <n v="0"/>
    <n v="0"/>
    <n v="0"/>
    <n v="0"/>
    <n v="0"/>
    <n v="0"/>
  </r>
  <r>
    <s v="A28LPPFS7FW2SD"/>
    <s v="english"/>
    <n v="50"/>
    <s v="male"/>
    <s v="control"/>
    <x v="10"/>
    <n v="7236"/>
    <n v="0"/>
    <n v="1"/>
    <n v="0"/>
    <n v="0"/>
    <s v="NA"/>
    <s v="NA"/>
    <s v="NA"/>
    <s v="NA"/>
    <s v="NA"/>
    <s v="NA"/>
    <s v="NA"/>
    <n v="0"/>
    <n v="0"/>
    <n v="1"/>
    <n v="1"/>
    <n v="0"/>
    <n v="1"/>
    <n v="0"/>
    <n v="0"/>
    <n v="0"/>
    <n v="0"/>
    <n v="0"/>
    <n v="0"/>
    <n v="0"/>
  </r>
  <r>
    <s v="A28LPPFS7FW2SD"/>
    <s v="english"/>
    <n v="50"/>
    <s v="male"/>
    <s v="test"/>
    <x v="11"/>
    <n v="11499"/>
    <n v="0"/>
    <n v="1"/>
    <n v="1"/>
    <n v="0"/>
    <s v="Stores A and B."/>
    <s v="Stores D and E."/>
    <s v="Store E."/>
    <s v="ms-h"/>
    <s v="ms-l"/>
    <s v="mo-l"/>
    <n v="0"/>
    <n v="0"/>
    <n v="1"/>
    <n v="1"/>
    <n v="1"/>
    <n v="0"/>
    <n v="1"/>
    <n v="0"/>
    <n v="0"/>
    <n v="1"/>
    <n v="0"/>
    <n v="1"/>
    <n v="0"/>
    <n v="0"/>
  </r>
  <r>
    <s v="A28LPPFS7FW2SD"/>
    <s v="english"/>
    <n v="50"/>
    <s v="male"/>
    <s v="test"/>
    <x v="9"/>
    <n v="8246"/>
    <n v="0"/>
    <n v="1"/>
    <n v="0"/>
    <n v="0"/>
    <s v="Stalls D and E."/>
    <s v="Stalls A, B, C, D and E."/>
    <s v="Stall E."/>
    <s v="ms-l"/>
    <s v="exh"/>
    <s v="mo-l"/>
    <n v="1"/>
    <n v="0"/>
    <n v="1"/>
    <n v="0"/>
    <n v="1"/>
    <n v="0"/>
    <n v="1"/>
    <n v="1"/>
    <n v="0"/>
    <n v="0"/>
    <n v="0"/>
    <n v="0"/>
    <n v="0"/>
    <n v="0"/>
  </r>
  <r>
    <s v="A28LPPFS7FW2SD"/>
    <s v="english"/>
    <n v="50"/>
    <s v="male"/>
    <s v="control"/>
    <x v="5"/>
    <n v="5747"/>
    <n v="0"/>
    <n v="0"/>
    <n v="1"/>
    <n v="0"/>
    <s v="NA"/>
    <s v="NA"/>
    <s v="NA"/>
    <s v="NA"/>
    <s v="NA"/>
    <s v="NA"/>
    <s v="NA"/>
    <n v="0"/>
    <n v="1"/>
    <n v="0"/>
    <n v="1"/>
    <n v="0"/>
    <n v="1"/>
    <n v="1"/>
    <n v="0"/>
    <n v="0"/>
    <n v="0"/>
    <n v="0"/>
    <n v="0"/>
    <n v="0"/>
  </r>
  <r>
    <s v="A28LPPFS7FW2SD"/>
    <s v="english"/>
    <n v="50"/>
    <s v="male"/>
    <s v="exit_quest"/>
    <x v="0"/>
    <n v="105161"/>
    <s v="the quality is important"/>
    <s v="no because its to concerntration"/>
    <s v="good"/>
    <s v="NA"/>
    <s v="NA"/>
    <s v="NA"/>
    <s v="NA"/>
    <s v="NA"/>
    <s v="NA"/>
    <s v="NA"/>
    <s v="NA"/>
    <s v="NA"/>
    <s v="NA"/>
    <s v="NA"/>
    <s v="NA"/>
    <s v="NA"/>
    <s v="NA"/>
    <s v="NA"/>
    <s v="NA"/>
    <s v="NA"/>
    <s v="NA"/>
    <s v="NA"/>
    <s v="NA"/>
    <s v="NA"/>
  </r>
  <r>
    <s v="A38YLXHJTSE5VD"/>
    <s v="English "/>
    <n v="30"/>
    <s v="other"/>
    <s v="consent"/>
    <x v="0"/>
    <n v="30903"/>
    <s v="NA"/>
    <s v="NA"/>
    <s v="NA"/>
    <s v="NA"/>
    <s v="NA"/>
    <s v="NA"/>
    <s v="NA"/>
    <s v="NA"/>
    <s v="NA"/>
    <s v="NA"/>
    <s v="NA"/>
    <s v="NA"/>
    <s v="NA"/>
    <s v="NA"/>
    <s v="NA"/>
    <s v="NA"/>
    <s v="NA"/>
    <s v="NA"/>
    <s v="NA"/>
    <s v="NA"/>
    <s v="NA"/>
    <s v="NA"/>
    <s v="NA"/>
    <s v="NA"/>
  </r>
  <r>
    <s v="A38YLXHJTSE5VD"/>
    <s v="English "/>
    <n v="30"/>
    <s v="other"/>
    <s v="train"/>
    <x v="1"/>
    <n v="69876"/>
    <n v="0"/>
    <n v="1"/>
    <n v="1"/>
    <n v="0"/>
    <s v="NA"/>
    <s v="NA"/>
    <s v="NA"/>
    <s v="NA"/>
    <s v="NA"/>
    <s v="NA"/>
    <s v="NA"/>
    <s v="NA"/>
    <s v="NA"/>
    <s v="NA"/>
    <s v="NA"/>
    <s v="NA"/>
    <s v="NA"/>
    <s v="NA"/>
    <s v="NA"/>
    <s v="NA"/>
    <s v="NA"/>
    <s v="NA"/>
    <s v="NA"/>
    <s v="NA"/>
  </r>
  <r>
    <s v="A38YLXHJTSE5VD"/>
    <s v="English "/>
    <n v="30"/>
    <s v="other"/>
    <s v="train"/>
    <x v="2"/>
    <n v="66814"/>
    <n v="0"/>
    <n v="0"/>
    <n v="0"/>
    <n v="1"/>
    <s v="NA"/>
    <s v="NA"/>
    <s v="NA"/>
    <s v="NA"/>
    <s v="NA"/>
    <s v="NA"/>
    <s v="NA"/>
    <s v="NA"/>
    <s v="NA"/>
    <s v="NA"/>
    <s v="NA"/>
    <s v="NA"/>
    <s v="NA"/>
    <s v="NA"/>
    <s v="NA"/>
    <s v="NA"/>
    <s v="NA"/>
    <s v="NA"/>
    <s v="NA"/>
    <s v="NA"/>
  </r>
  <r>
    <s v="A38YLXHJTSE5VD"/>
    <s v="English "/>
    <n v="30"/>
    <s v="other"/>
    <s v="test"/>
    <x v="6"/>
    <n v="30087"/>
    <n v="0"/>
    <n v="0"/>
    <n v="0"/>
    <n v="1"/>
    <s v="Cafe A."/>
    <s v="Cafes D and E."/>
    <s v="Cafes A and B."/>
    <s v="mo-h"/>
    <s v="ms-l"/>
    <s v="ms-h"/>
    <n v="0"/>
    <n v="1"/>
    <n v="0"/>
    <n v="1"/>
    <n v="1"/>
    <n v="0"/>
    <n v="1"/>
    <n v="0"/>
    <n v="0"/>
    <n v="0"/>
    <n v="0"/>
    <n v="0"/>
    <n v="0"/>
    <n v="1"/>
  </r>
  <r>
    <s v="A38YLXHJTSE5VD"/>
    <s v="English "/>
    <n v="30"/>
    <s v="other"/>
    <s v="test"/>
    <x v="8"/>
    <n v="35700"/>
    <n v="0"/>
    <n v="0"/>
    <n v="0"/>
    <n v="1"/>
    <s v="Stylist F."/>
    <s v="Stylists A and B."/>
    <s v="Stylists A, B, C, D and E."/>
    <s v="fa"/>
    <s v="ms-h"/>
    <s v="exh"/>
    <n v="1"/>
    <n v="0"/>
    <n v="0"/>
    <n v="1"/>
    <n v="0"/>
    <n v="0"/>
    <n v="1"/>
    <n v="0"/>
    <n v="0"/>
    <n v="0"/>
    <n v="0"/>
    <n v="0"/>
    <n v="0"/>
    <n v="1"/>
  </r>
  <r>
    <s v="A38YLXHJTSE5VD"/>
    <s v="English "/>
    <n v="30"/>
    <s v="other"/>
    <s v="control"/>
    <x v="12"/>
    <n v="28290"/>
    <n v="1"/>
    <n v="0"/>
    <n v="0"/>
    <n v="0"/>
    <s v="NA"/>
    <s v="NA"/>
    <s v="NA"/>
    <s v="NA"/>
    <s v="NA"/>
    <s v="NA"/>
    <s v="NA"/>
    <n v="0"/>
    <n v="0"/>
    <n v="1"/>
    <n v="0"/>
    <n v="0"/>
    <n v="1"/>
    <n v="0"/>
    <n v="0"/>
    <n v="0"/>
    <n v="0"/>
    <n v="0"/>
    <n v="0"/>
    <n v="1"/>
  </r>
  <r>
    <s v="A38YLXHJTSE5VD"/>
    <s v="English "/>
    <n v="30"/>
    <s v="other"/>
    <s v="test"/>
    <x v="4"/>
    <n v="42658"/>
    <n v="0"/>
    <n v="0"/>
    <n v="0"/>
    <n v="1"/>
    <s v="Dentist F."/>
    <s v="Dentists A and B."/>
    <s v="Dentist A."/>
    <s v="fa"/>
    <s v="ms-h"/>
    <s v="mo-h"/>
    <n v="0"/>
    <n v="1"/>
    <n v="0"/>
    <n v="1"/>
    <n v="0"/>
    <n v="0"/>
    <n v="1"/>
    <n v="0"/>
    <n v="0"/>
    <n v="0"/>
    <n v="0"/>
    <n v="0"/>
    <n v="0"/>
    <n v="1"/>
  </r>
  <r>
    <s v="A38YLXHJTSE5VD"/>
    <s v="English "/>
    <n v="30"/>
    <s v="other"/>
    <s v="control"/>
    <x v="5"/>
    <n v="45294"/>
    <n v="0"/>
    <n v="0"/>
    <n v="0"/>
    <n v="1"/>
    <s v="NA"/>
    <s v="NA"/>
    <s v="NA"/>
    <s v="NA"/>
    <s v="NA"/>
    <s v="NA"/>
    <s v="NA"/>
    <n v="1"/>
    <n v="0"/>
    <n v="1"/>
    <n v="0"/>
    <n v="0"/>
    <n v="1"/>
    <n v="0"/>
    <n v="0"/>
    <n v="0"/>
    <n v="0"/>
    <n v="0"/>
    <n v="0"/>
    <n v="1"/>
  </r>
  <r>
    <s v="A38YLXHJTSE5VD"/>
    <s v="English "/>
    <n v="30"/>
    <s v="other"/>
    <s v="test"/>
    <x v="11"/>
    <n v="122021"/>
    <n v="1"/>
    <n v="1"/>
    <n v="1"/>
    <n v="0"/>
    <s v="Stores D and E."/>
    <s v="Store A."/>
    <s v="Stores A and B."/>
    <s v="ms-l"/>
    <s v="mo-h"/>
    <s v="ms-h"/>
    <n v="0"/>
    <n v="1"/>
    <n v="0"/>
    <n v="1"/>
    <n v="1"/>
    <n v="0"/>
    <n v="1"/>
    <n v="0"/>
    <n v="1"/>
    <n v="0"/>
    <n v="1"/>
    <n v="1"/>
    <n v="0"/>
    <n v="0"/>
  </r>
  <r>
    <s v="A38YLXHJTSE5VD"/>
    <s v="English "/>
    <n v="30"/>
    <s v="other"/>
    <s v="test"/>
    <x v="3"/>
    <n v="33138"/>
    <n v="1"/>
    <n v="1"/>
    <n v="1"/>
    <n v="0"/>
    <s v="Bookstores A, B, C, D and E."/>
    <s v="Bookstores D and E."/>
    <s v="Bookstore F."/>
    <s v="exh"/>
    <s v="ms-l"/>
    <s v="fa"/>
    <n v="1"/>
    <n v="0"/>
    <n v="0"/>
    <n v="0"/>
    <n v="1"/>
    <n v="0"/>
    <n v="1"/>
    <n v="1"/>
    <n v="0"/>
    <n v="0"/>
    <n v="0"/>
    <n v="1"/>
    <n v="0"/>
    <n v="0"/>
  </r>
  <r>
    <s v="A38YLXHJTSE5VD"/>
    <s v="English "/>
    <n v="30"/>
    <s v="other"/>
    <s v="control"/>
    <x v="10"/>
    <n v="43560"/>
    <n v="1"/>
    <n v="1"/>
    <n v="1"/>
    <n v="0"/>
    <s v="NA"/>
    <s v="NA"/>
    <s v="NA"/>
    <s v="NA"/>
    <s v="NA"/>
    <s v="NA"/>
    <s v="NA"/>
    <n v="0"/>
    <n v="0"/>
    <n v="0"/>
    <n v="1"/>
    <n v="0"/>
    <n v="1"/>
    <n v="1"/>
    <n v="0"/>
    <n v="0"/>
    <n v="0"/>
    <n v="1"/>
    <n v="0"/>
    <n v="0"/>
  </r>
  <r>
    <s v="A38YLXHJTSE5VD"/>
    <s v="English "/>
    <n v="30"/>
    <s v="other"/>
    <s v="test"/>
    <x v="9"/>
    <n v="26338"/>
    <n v="0"/>
    <n v="0"/>
    <n v="0"/>
    <n v="1"/>
    <s v="Stalls D and E."/>
    <s v="Stalls A, B, C, D and E."/>
    <s v="Stalls A and B."/>
    <s v="ms-l"/>
    <s v="exh"/>
    <s v="ms-h"/>
    <n v="1"/>
    <n v="0"/>
    <n v="0"/>
    <n v="1"/>
    <n v="1"/>
    <n v="0"/>
    <n v="1"/>
    <n v="0"/>
    <n v="0"/>
    <n v="0"/>
    <n v="0"/>
    <n v="0"/>
    <n v="0"/>
    <n v="1"/>
  </r>
  <r>
    <s v="A38YLXHJTSE5VD"/>
    <s v="English "/>
    <n v="30"/>
    <s v="other"/>
    <s v="control"/>
    <x v="7"/>
    <n v="26824"/>
    <n v="0"/>
    <n v="0"/>
    <n v="1"/>
    <n v="0"/>
    <s v="NA"/>
    <s v="NA"/>
    <s v="NA"/>
    <s v="NA"/>
    <s v="NA"/>
    <s v="NA"/>
    <s v="NA"/>
    <n v="0"/>
    <n v="0"/>
    <n v="1"/>
    <n v="1"/>
    <n v="0"/>
    <n v="1"/>
    <n v="0"/>
    <n v="0"/>
    <n v="0"/>
    <n v="0"/>
    <n v="0"/>
    <n v="0"/>
    <n v="1"/>
  </r>
  <r>
    <s v="A38YLXHJTSE5VD"/>
    <s v="English "/>
    <n v="30"/>
    <s v="other"/>
    <s v="exit_quest"/>
    <x v="0"/>
    <n v="97523"/>
    <s v="Yes for the first question I would answer all the places you can go for brunch and for the second I would say the places I like."/>
    <s v="Yes some of them it was hard to determine who knew what."/>
    <s v="no"/>
    <s v="NA"/>
    <s v="NA"/>
    <s v="NA"/>
    <s v="NA"/>
    <s v="NA"/>
    <s v="NA"/>
    <s v="NA"/>
    <s v="NA"/>
    <s v="NA"/>
    <s v="NA"/>
    <s v="NA"/>
    <s v="NA"/>
    <s v="NA"/>
    <s v="NA"/>
    <s v="NA"/>
    <s v="NA"/>
    <s v="NA"/>
    <s v="NA"/>
    <s v="NA"/>
    <s v="NA"/>
    <s v="NA"/>
  </r>
  <r>
    <s v="AWZCVOUD0LPT"/>
    <s v="hindi"/>
    <n v="26"/>
    <s v="female"/>
    <s v="consent"/>
    <x v="0"/>
    <n v="27483"/>
    <s v="NA"/>
    <s v="NA"/>
    <s v="NA"/>
    <s v="NA"/>
    <s v="NA"/>
    <s v="NA"/>
    <s v="NA"/>
    <s v="NA"/>
    <s v="NA"/>
    <s v="NA"/>
    <s v="NA"/>
    <s v="NA"/>
    <s v="NA"/>
    <s v="NA"/>
    <s v="NA"/>
    <s v="NA"/>
    <s v="NA"/>
    <s v="NA"/>
    <s v="NA"/>
    <s v="NA"/>
    <s v="NA"/>
    <s v="NA"/>
    <s v="NA"/>
    <s v="NA"/>
  </r>
  <r>
    <s v="AWZCVOUD0LPT"/>
    <s v="hindi"/>
    <n v="26"/>
    <s v="female"/>
    <s v="train"/>
    <x v="1"/>
    <n v="52501"/>
    <n v="0"/>
    <n v="0"/>
    <n v="1"/>
    <n v="0"/>
    <s v="NA"/>
    <s v="NA"/>
    <s v="NA"/>
    <s v="NA"/>
    <s v="NA"/>
    <s v="NA"/>
    <s v="NA"/>
    <s v="NA"/>
    <s v="NA"/>
    <s v="NA"/>
    <s v="NA"/>
    <s v="NA"/>
    <s v="NA"/>
    <s v="NA"/>
    <s v="NA"/>
    <s v="NA"/>
    <s v="NA"/>
    <s v="NA"/>
    <s v="NA"/>
    <s v="NA"/>
  </r>
  <r>
    <s v="AWZCVOUD0LPT"/>
    <s v="hindi"/>
    <n v="26"/>
    <s v="female"/>
    <s v="train"/>
    <x v="2"/>
    <n v="45398"/>
    <n v="0"/>
    <n v="1"/>
    <n v="1"/>
    <n v="0"/>
    <s v="NA"/>
    <s v="NA"/>
    <s v="NA"/>
    <s v="NA"/>
    <s v="NA"/>
    <s v="NA"/>
    <s v="NA"/>
    <s v="NA"/>
    <s v="NA"/>
    <s v="NA"/>
    <s v="NA"/>
    <s v="NA"/>
    <s v="NA"/>
    <s v="NA"/>
    <s v="NA"/>
    <s v="NA"/>
    <s v="NA"/>
    <s v="NA"/>
    <s v="NA"/>
    <s v="NA"/>
  </r>
  <r>
    <s v="AWZCVOUD0LPT"/>
    <s v="hindi"/>
    <n v="26"/>
    <s v="female"/>
    <s v="test"/>
    <x v="4"/>
    <n v="95146"/>
    <n v="0"/>
    <n v="0"/>
    <n v="0"/>
    <n v="1"/>
    <s v="Dentists D and E."/>
    <s v="Dentist A."/>
    <s v="Dentists A and B."/>
    <s v="ms-l"/>
    <s v="mo-h"/>
    <s v="ms-h"/>
    <n v="0"/>
    <n v="1"/>
    <n v="0"/>
    <n v="1"/>
    <n v="1"/>
    <n v="0"/>
    <n v="1"/>
    <n v="0"/>
    <n v="0"/>
    <n v="0"/>
    <n v="0"/>
    <n v="0"/>
    <n v="0"/>
    <n v="1"/>
  </r>
  <r>
    <s v="AWZCVOUD0LPT"/>
    <s v="hindi"/>
    <n v="26"/>
    <s v="female"/>
    <s v="test"/>
    <x v="11"/>
    <n v="32282"/>
    <n v="0"/>
    <n v="1"/>
    <n v="0"/>
    <n v="0"/>
    <s v="Store A."/>
    <s v="Stores D and E."/>
    <s v="Store E."/>
    <s v="mo-h"/>
    <s v="ms-l"/>
    <s v="mo-l"/>
    <n v="0"/>
    <n v="1"/>
    <n v="1"/>
    <n v="0"/>
    <n v="1"/>
    <n v="0"/>
    <n v="1"/>
    <n v="0"/>
    <n v="0"/>
    <n v="0"/>
    <n v="0"/>
    <n v="1"/>
    <n v="0"/>
    <n v="0"/>
  </r>
  <r>
    <s v="AWZCVOUD0LPT"/>
    <s v="hindi"/>
    <n v="26"/>
    <s v="female"/>
    <s v="control"/>
    <x v="7"/>
    <n v="18530"/>
    <n v="0"/>
    <n v="1"/>
    <n v="0"/>
    <n v="0"/>
    <s v="NA"/>
    <s v="NA"/>
    <s v="NA"/>
    <s v="NA"/>
    <s v="NA"/>
    <s v="NA"/>
    <s v="NA"/>
    <n v="1"/>
    <n v="1"/>
    <n v="0"/>
    <n v="1"/>
    <n v="0"/>
    <n v="1"/>
    <n v="0"/>
    <n v="0"/>
    <n v="0"/>
    <n v="0"/>
    <n v="1"/>
    <n v="0"/>
    <n v="0"/>
  </r>
  <r>
    <s v="AWZCVOUD0LPT"/>
    <s v="hindi"/>
    <n v="26"/>
    <s v="female"/>
    <s v="test"/>
    <x v="8"/>
    <n v="22183"/>
    <n v="0"/>
    <n v="1"/>
    <n v="0"/>
    <n v="0"/>
    <s v="Stylist E."/>
    <s v="Stylist A."/>
    <s v="Stylist F."/>
    <s v="mo-l"/>
    <s v="mo-h"/>
    <s v="fa"/>
    <n v="0"/>
    <n v="1"/>
    <n v="1"/>
    <n v="0"/>
    <n v="0"/>
    <n v="0"/>
    <n v="1"/>
    <n v="0"/>
    <n v="1"/>
    <n v="0"/>
    <n v="0"/>
    <n v="0"/>
    <n v="0"/>
    <n v="0"/>
  </r>
  <r>
    <s v="AWZCVOUD0LPT"/>
    <s v="hindi"/>
    <n v="26"/>
    <s v="female"/>
    <s v="control"/>
    <x v="12"/>
    <n v="4518"/>
    <n v="0"/>
    <n v="1"/>
    <n v="0"/>
    <n v="0"/>
    <s v="NA"/>
    <s v="NA"/>
    <s v="NA"/>
    <s v="NA"/>
    <s v="NA"/>
    <s v="NA"/>
    <s v="NA"/>
    <n v="1"/>
    <n v="1"/>
    <n v="0"/>
    <n v="0"/>
    <n v="0"/>
    <n v="1"/>
    <n v="0"/>
    <n v="1"/>
    <n v="0"/>
    <n v="0"/>
    <n v="0"/>
    <n v="0"/>
    <n v="0"/>
  </r>
  <r>
    <s v="AWZCVOUD0LPT"/>
    <s v="hindi"/>
    <n v="26"/>
    <s v="female"/>
    <s v="test"/>
    <x v="6"/>
    <n v="43527"/>
    <n v="1"/>
    <n v="0"/>
    <n v="0"/>
    <n v="1"/>
    <s v="Cafe A."/>
    <s v="Cafe F."/>
    <s v="Cafes D and E."/>
    <s v="mo-h"/>
    <s v="fa"/>
    <s v="ms-l"/>
    <n v="0"/>
    <n v="1"/>
    <n v="0"/>
    <n v="0"/>
    <n v="1"/>
    <n v="0"/>
    <n v="1"/>
    <n v="0"/>
    <n v="1"/>
    <n v="0"/>
    <n v="0"/>
    <n v="0"/>
    <n v="0"/>
    <n v="1"/>
  </r>
  <r>
    <s v="AWZCVOUD0LPT"/>
    <s v="hindi"/>
    <n v="26"/>
    <s v="female"/>
    <s v="test"/>
    <x v="3"/>
    <n v="14249"/>
    <n v="1"/>
    <n v="0"/>
    <n v="0"/>
    <n v="1"/>
    <s v="Bookstores D and E."/>
    <s v="Bookstore E."/>
    <s v="Bookstores A and B."/>
    <s v="ms-l"/>
    <s v="mo-l"/>
    <s v="ms-h"/>
    <n v="0"/>
    <n v="0"/>
    <n v="1"/>
    <n v="1"/>
    <n v="1"/>
    <n v="0"/>
    <n v="1"/>
    <n v="0"/>
    <n v="0"/>
    <n v="0"/>
    <n v="0"/>
    <n v="1"/>
    <n v="0"/>
    <n v="1"/>
  </r>
  <r>
    <s v="AWZCVOUD0LPT"/>
    <s v="hindi"/>
    <n v="26"/>
    <s v="female"/>
    <s v="control"/>
    <x v="5"/>
    <n v="3416"/>
    <n v="0"/>
    <n v="1"/>
    <n v="0"/>
    <n v="0"/>
    <s v="NA"/>
    <s v="NA"/>
    <s v="NA"/>
    <s v="NA"/>
    <s v="NA"/>
    <s v="NA"/>
    <s v="NA"/>
    <n v="0"/>
    <n v="1"/>
    <n v="1"/>
    <n v="1"/>
    <n v="0"/>
    <n v="1"/>
    <n v="0"/>
    <n v="0"/>
    <n v="0"/>
    <n v="0"/>
    <n v="1"/>
    <n v="0"/>
    <n v="1"/>
  </r>
  <r>
    <s v="AWZCVOUD0LPT"/>
    <s v="hindi"/>
    <n v="26"/>
    <s v="female"/>
    <s v="test"/>
    <x v="9"/>
    <n v="4834"/>
    <n v="0"/>
    <n v="0"/>
    <n v="1"/>
    <n v="0"/>
    <s v="Stall A."/>
    <s v="Stalls D and E."/>
    <s v="Stall E."/>
    <s v="mo-h"/>
    <s v="ms-l"/>
    <s v="mo-l"/>
    <n v="0"/>
    <n v="1"/>
    <n v="1"/>
    <n v="0"/>
    <n v="1"/>
    <n v="0"/>
    <n v="1"/>
    <n v="0"/>
    <n v="0"/>
    <n v="1"/>
    <n v="0"/>
    <n v="0"/>
    <n v="0"/>
    <n v="0"/>
  </r>
  <r>
    <s v="AWZCVOUD0LPT"/>
    <s v="hindi"/>
    <n v="26"/>
    <s v="female"/>
    <s v="control"/>
    <x v="10"/>
    <n v="4349"/>
    <n v="0"/>
    <n v="1"/>
    <n v="0"/>
    <n v="0"/>
    <s v="NA"/>
    <s v="NA"/>
    <s v="NA"/>
    <s v="NA"/>
    <s v="NA"/>
    <s v="NA"/>
    <s v="NA"/>
    <n v="1"/>
    <n v="1"/>
    <n v="0"/>
    <n v="1"/>
    <n v="0"/>
    <n v="1"/>
    <n v="0"/>
    <n v="0"/>
    <n v="1"/>
    <n v="0"/>
    <n v="0"/>
    <n v="0"/>
    <n v="0"/>
  </r>
  <r>
    <s v="AWZCVOUD0LPT"/>
    <s v="hindi"/>
    <n v="26"/>
    <s v="female"/>
    <s v="exit_quest"/>
    <x v="0"/>
    <n v="4868"/>
    <m/>
    <m/>
    <m/>
    <s v="NA"/>
    <s v="NA"/>
    <s v="NA"/>
    <s v="NA"/>
    <s v="NA"/>
    <s v="NA"/>
    <s v="NA"/>
    <s v="NA"/>
    <s v="NA"/>
    <s v="NA"/>
    <s v="NA"/>
    <s v="NA"/>
    <s v="NA"/>
    <s v="NA"/>
    <s v="NA"/>
    <s v="NA"/>
    <s v="NA"/>
    <s v="NA"/>
    <s v="NA"/>
    <s v="NA"/>
    <s v="NA"/>
  </r>
  <r>
    <s v="AZCGSVDT79E6X"/>
    <s v="english"/>
    <n v="24"/>
    <s v="male"/>
    <s v="consent"/>
    <x v="0"/>
    <n v="10745"/>
    <s v="NA"/>
    <s v="NA"/>
    <s v="NA"/>
    <s v="NA"/>
    <s v="NA"/>
    <s v="NA"/>
    <s v="NA"/>
    <s v="NA"/>
    <s v="NA"/>
    <s v="NA"/>
    <s v="NA"/>
    <s v="NA"/>
    <s v="NA"/>
    <s v="NA"/>
    <s v="NA"/>
    <s v="NA"/>
    <s v="NA"/>
    <s v="NA"/>
    <s v="NA"/>
    <s v="NA"/>
    <s v="NA"/>
    <s v="NA"/>
    <s v="NA"/>
    <s v="NA"/>
  </r>
  <r>
    <s v="AZCGSVDT79E6X"/>
    <s v="english"/>
    <n v="24"/>
    <s v="male"/>
    <s v="train"/>
    <x v="2"/>
    <n v="21711"/>
    <n v="0"/>
    <n v="0"/>
    <n v="0"/>
    <n v="1"/>
    <s v="NA"/>
    <s v="NA"/>
    <s v="NA"/>
    <s v="NA"/>
    <s v="NA"/>
    <s v="NA"/>
    <s v="NA"/>
    <s v="NA"/>
    <s v="NA"/>
    <s v="NA"/>
    <s v="NA"/>
    <s v="NA"/>
    <s v="NA"/>
    <s v="NA"/>
    <s v="NA"/>
    <s v="NA"/>
    <s v="NA"/>
    <s v="NA"/>
    <s v="NA"/>
    <s v="NA"/>
  </r>
  <r>
    <s v="AZCGSVDT79E6X"/>
    <s v="english"/>
    <n v="24"/>
    <s v="male"/>
    <s v="train"/>
    <x v="1"/>
    <n v="15797"/>
    <n v="0"/>
    <n v="0"/>
    <n v="1"/>
    <n v="0"/>
    <s v="NA"/>
    <s v="NA"/>
    <s v="NA"/>
    <s v="NA"/>
    <s v="NA"/>
    <s v="NA"/>
    <s v="NA"/>
    <s v="NA"/>
    <s v="NA"/>
    <s v="NA"/>
    <s v="NA"/>
    <s v="NA"/>
    <s v="NA"/>
    <s v="NA"/>
    <s v="NA"/>
    <s v="NA"/>
    <s v="NA"/>
    <s v="NA"/>
    <s v="NA"/>
    <s v="NA"/>
  </r>
  <r>
    <s v="AZCGSVDT79E6X"/>
    <s v="english"/>
    <n v="24"/>
    <s v="male"/>
    <s v="test"/>
    <x v="8"/>
    <n v="57391"/>
    <n v="1"/>
    <n v="0"/>
    <n v="0"/>
    <n v="0"/>
    <s v="Stylists A and B."/>
    <s v="Stylist E."/>
    <s v="Stylist A."/>
    <s v="ms-h"/>
    <s v="mo-l"/>
    <s v="mo-h"/>
    <n v="0"/>
    <n v="1"/>
    <n v="1"/>
    <n v="1"/>
    <n v="0"/>
    <n v="0"/>
    <n v="1"/>
    <n v="0"/>
    <n v="0"/>
    <n v="0"/>
    <n v="1"/>
    <n v="0"/>
    <n v="0"/>
    <n v="0"/>
  </r>
  <r>
    <s v="AZCGSVDT79E6X"/>
    <s v="english"/>
    <n v="24"/>
    <s v="male"/>
    <s v="test"/>
    <x v="11"/>
    <n v="26572"/>
    <n v="0"/>
    <n v="1"/>
    <n v="0"/>
    <n v="0"/>
    <s v="Stores D and E."/>
    <s v="Stores A, B, C, D and E."/>
    <s v="Store E."/>
    <s v="ms-l"/>
    <s v="exh"/>
    <s v="mo-l"/>
    <n v="1"/>
    <n v="0"/>
    <n v="1"/>
    <n v="0"/>
    <n v="1"/>
    <n v="0"/>
    <n v="1"/>
    <n v="1"/>
    <n v="0"/>
    <n v="0"/>
    <n v="0"/>
    <n v="0"/>
    <n v="0"/>
    <n v="0"/>
  </r>
  <r>
    <s v="AZCGSVDT79E6X"/>
    <s v="english"/>
    <n v="24"/>
    <s v="male"/>
    <s v="control"/>
    <x v="10"/>
    <n v="26443"/>
    <n v="0"/>
    <n v="0"/>
    <n v="1"/>
    <n v="0"/>
    <s v="NA"/>
    <s v="NA"/>
    <s v="NA"/>
    <s v="NA"/>
    <s v="NA"/>
    <s v="NA"/>
    <s v="NA"/>
    <n v="0"/>
    <n v="1"/>
    <n v="0"/>
    <n v="1"/>
    <n v="0"/>
    <n v="1"/>
    <n v="1"/>
    <n v="0"/>
    <n v="0"/>
    <n v="0"/>
    <n v="0"/>
    <n v="0"/>
    <n v="0"/>
  </r>
  <r>
    <s v="AZCGSVDT79E6X"/>
    <s v="english"/>
    <n v="24"/>
    <s v="male"/>
    <s v="test"/>
    <x v="3"/>
    <n v="32748"/>
    <n v="1"/>
    <n v="1"/>
    <n v="1"/>
    <n v="0"/>
    <s v="Bookstores A, B, C, D and E."/>
    <s v="Bookstores A and B."/>
    <s v="Bookstore E."/>
    <s v="exh"/>
    <s v="ms-h"/>
    <s v="mo-l"/>
    <n v="1"/>
    <n v="0"/>
    <n v="1"/>
    <n v="1"/>
    <n v="0"/>
    <n v="0"/>
    <n v="1"/>
    <n v="1"/>
    <n v="0"/>
    <n v="1"/>
    <n v="1"/>
    <n v="0"/>
    <n v="0"/>
    <n v="0"/>
  </r>
  <r>
    <s v="AZCGSVDT79E6X"/>
    <s v="english"/>
    <n v="24"/>
    <s v="male"/>
    <s v="control"/>
    <x v="5"/>
    <n v="29890"/>
    <n v="1"/>
    <n v="1"/>
    <n v="1"/>
    <n v="0"/>
    <s v="NA"/>
    <s v="NA"/>
    <s v="NA"/>
    <s v="NA"/>
    <s v="NA"/>
    <s v="NA"/>
    <s v="NA"/>
    <n v="0"/>
    <n v="1"/>
    <n v="1"/>
    <n v="0"/>
    <n v="0"/>
    <n v="1"/>
    <n v="1"/>
    <n v="0"/>
    <n v="1"/>
    <n v="1"/>
    <n v="0"/>
    <n v="0"/>
    <n v="0"/>
  </r>
  <r>
    <s v="AZCGSVDT79E6X"/>
    <s v="english"/>
    <n v="24"/>
    <s v="male"/>
    <s v="test"/>
    <x v="6"/>
    <n v="43901"/>
    <n v="0"/>
    <n v="1"/>
    <n v="0"/>
    <n v="0"/>
    <s v="Cafe E."/>
    <s v="Cafes A and B."/>
    <s v="Cafes D and E."/>
    <s v="mo-l"/>
    <s v="ms-h"/>
    <s v="ms-l"/>
    <n v="0"/>
    <n v="0"/>
    <n v="1"/>
    <n v="1"/>
    <n v="1"/>
    <n v="0"/>
    <n v="1"/>
    <n v="0"/>
    <n v="0"/>
    <n v="0"/>
    <n v="1"/>
    <n v="0"/>
    <n v="0"/>
    <n v="0"/>
  </r>
  <r>
    <s v="AZCGSVDT79E6X"/>
    <s v="english"/>
    <n v="24"/>
    <s v="male"/>
    <s v="test"/>
    <x v="9"/>
    <n v="19279"/>
    <n v="1"/>
    <n v="1"/>
    <n v="0"/>
    <n v="0"/>
    <s v="Stall A."/>
    <s v="Stalls A and B."/>
    <s v="Stalls D and E."/>
    <s v="mo-h"/>
    <s v="ms-h"/>
    <s v="ms-l"/>
    <n v="0"/>
    <n v="1"/>
    <n v="0"/>
    <n v="1"/>
    <n v="1"/>
    <n v="0"/>
    <n v="1"/>
    <n v="0"/>
    <n v="1"/>
    <n v="0"/>
    <n v="1"/>
    <n v="0"/>
    <n v="0"/>
    <n v="0"/>
  </r>
  <r>
    <s v="AZCGSVDT79E6X"/>
    <s v="english"/>
    <n v="24"/>
    <s v="male"/>
    <s v="control"/>
    <x v="7"/>
    <n v="37451"/>
    <n v="1"/>
    <n v="1"/>
    <n v="0"/>
    <n v="0"/>
    <s v="NA"/>
    <s v="NA"/>
    <s v="NA"/>
    <s v="NA"/>
    <s v="NA"/>
    <s v="NA"/>
    <s v="NA"/>
    <n v="1"/>
    <n v="0"/>
    <n v="1"/>
    <n v="1"/>
    <n v="0"/>
    <n v="1"/>
    <n v="0"/>
    <n v="1"/>
    <n v="0"/>
    <n v="1"/>
    <n v="0"/>
    <n v="0"/>
    <n v="0"/>
  </r>
  <r>
    <s v="AZCGSVDT79E6X"/>
    <s v="english"/>
    <n v="24"/>
    <s v="male"/>
    <s v="test"/>
    <x v="4"/>
    <n v="28542"/>
    <n v="0"/>
    <n v="0"/>
    <n v="0"/>
    <n v="1"/>
    <s v="Dentist E."/>
    <s v="Dentist F."/>
    <s v="Dentists D and E."/>
    <s v="mo-l"/>
    <s v="fa"/>
    <s v="ms-l"/>
    <n v="0"/>
    <n v="0"/>
    <n v="1"/>
    <n v="0"/>
    <n v="1"/>
    <n v="0"/>
    <n v="1"/>
    <n v="0"/>
    <n v="0"/>
    <n v="0"/>
    <n v="0"/>
    <n v="0"/>
    <n v="0"/>
    <n v="1"/>
  </r>
  <r>
    <s v="AZCGSVDT79E6X"/>
    <s v="english"/>
    <n v="24"/>
    <s v="male"/>
    <s v="control"/>
    <x v="12"/>
    <n v="36323"/>
    <n v="1"/>
    <n v="0"/>
    <n v="0"/>
    <n v="0"/>
    <s v="NA"/>
    <s v="NA"/>
    <s v="NA"/>
    <s v="NA"/>
    <s v="NA"/>
    <s v="NA"/>
    <s v="NA"/>
    <n v="0"/>
    <n v="1"/>
    <n v="0"/>
    <n v="1"/>
    <n v="0"/>
    <n v="1"/>
    <n v="0"/>
    <n v="0"/>
    <n v="0"/>
    <n v="0"/>
    <n v="0"/>
    <n v="0"/>
    <n v="1"/>
  </r>
  <r>
    <s v="AZCGSVDT79E6X"/>
    <s v="english"/>
    <n v="24"/>
    <s v="male"/>
    <s v="exit_quest"/>
    <x v="0"/>
    <n v="74983"/>
    <s v="No%2C  they are asking a the same question%2C about what places serve brunch."/>
    <s v="No%2C it was easy to understand with how the information was presented to me."/>
    <s v="It was fun and interesting to complete."/>
    <s v="NA"/>
    <s v="NA"/>
    <s v="NA"/>
    <s v="NA"/>
    <s v="NA"/>
    <s v="NA"/>
    <s v="NA"/>
    <s v="NA"/>
    <s v="NA"/>
    <s v="NA"/>
    <s v="NA"/>
    <s v="NA"/>
    <s v="NA"/>
    <s v="NA"/>
    <s v="NA"/>
    <s v="NA"/>
    <s v="NA"/>
    <s v="NA"/>
    <s v="NA"/>
    <s v="NA"/>
    <s v="NA"/>
  </r>
  <r>
    <s v="A3UN1F1EOHKKE6"/>
    <s v="english"/>
    <n v="37"/>
    <s v="male"/>
    <s v="consent"/>
    <x v="0"/>
    <n v="51842"/>
    <s v="NA"/>
    <s v="NA"/>
    <s v="NA"/>
    <s v="NA"/>
    <s v="NA"/>
    <s v="NA"/>
    <s v="NA"/>
    <s v="NA"/>
    <s v="NA"/>
    <s v="NA"/>
    <s v="NA"/>
    <s v="NA"/>
    <s v="NA"/>
    <s v="NA"/>
    <s v="NA"/>
    <s v="NA"/>
    <s v="NA"/>
    <s v="NA"/>
    <s v="NA"/>
    <s v="NA"/>
    <s v="NA"/>
    <s v="NA"/>
    <s v="NA"/>
    <s v="NA"/>
  </r>
  <r>
    <s v="A3UN1F1EOHKKE6"/>
    <s v="english"/>
    <n v="37"/>
    <s v="male"/>
    <s v="train"/>
    <x v="1"/>
    <n v="36017"/>
    <n v="0"/>
    <n v="0"/>
    <n v="1"/>
    <n v="0"/>
    <s v="NA"/>
    <s v="NA"/>
    <s v="NA"/>
    <s v="NA"/>
    <s v="NA"/>
    <s v="NA"/>
    <s v="NA"/>
    <s v="NA"/>
    <s v="NA"/>
    <s v="NA"/>
    <s v="NA"/>
    <s v="NA"/>
    <s v="NA"/>
    <s v="NA"/>
    <s v="NA"/>
    <s v="NA"/>
    <s v="NA"/>
    <s v="NA"/>
    <s v="NA"/>
    <s v="NA"/>
  </r>
  <r>
    <s v="A3UN1F1EOHKKE6"/>
    <s v="english"/>
    <n v="37"/>
    <s v="male"/>
    <s v="train"/>
    <x v="2"/>
    <n v="39746"/>
    <n v="0"/>
    <n v="0"/>
    <n v="0"/>
    <n v="1"/>
    <s v="NA"/>
    <s v="NA"/>
    <s v="NA"/>
    <s v="NA"/>
    <s v="NA"/>
    <s v="NA"/>
    <s v="NA"/>
    <s v="NA"/>
    <s v="NA"/>
    <s v="NA"/>
    <s v="NA"/>
    <s v="NA"/>
    <s v="NA"/>
    <s v="NA"/>
    <s v="NA"/>
    <s v="NA"/>
    <s v="NA"/>
    <s v="NA"/>
    <s v="NA"/>
    <s v="NA"/>
  </r>
  <r>
    <s v="A3UN1F1EOHKKE6"/>
    <s v="english"/>
    <n v="37"/>
    <s v="male"/>
    <s v="test"/>
    <x v="6"/>
    <n v="40651"/>
    <n v="0"/>
    <n v="0"/>
    <n v="1"/>
    <n v="0"/>
    <s v="Cafes D and E."/>
    <s v="Cafe E."/>
    <s v="Cafes A and B."/>
    <s v="ms-l"/>
    <s v="mo-l"/>
    <s v="ms-h"/>
    <n v="0"/>
    <n v="0"/>
    <n v="1"/>
    <n v="1"/>
    <n v="1"/>
    <n v="0"/>
    <n v="1"/>
    <n v="0"/>
    <n v="0"/>
    <n v="0"/>
    <n v="1"/>
    <n v="0"/>
    <n v="0"/>
    <n v="0"/>
  </r>
  <r>
    <s v="A3UN1F1EOHKKE6"/>
    <s v="english"/>
    <n v="37"/>
    <s v="male"/>
    <s v="test"/>
    <x v="11"/>
    <n v="28801"/>
    <n v="0"/>
    <n v="1"/>
    <n v="1"/>
    <n v="0"/>
    <s v="Stores D and E."/>
    <s v="Store A."/>
    <s v="Stores A and B."/>
    <s v="ms-l"/>
    <s v="mo-h"/>
    <s v="ms-h"/>
    <n v="0"/>
    <n v="1"/>
    <n v="0"/>
    <n v="1"/>
    <n v="1"/>
    <n v="0"/>
    <n v="1"/>
    <n v="0"/>
    <n v="1"/>
    <n v="0"/>
    <n v="1"/>
    <n v="0"/>
    <n v="0"/>
    <n v="0"/>
  </r>
  <r>
    <s v="A3UN1F1EOHKKE6"/>
    <s v="english"/>
    <n v="37"/>
    <s v="male"/>
    <s v="control"/>
    <x v="10"/>
    <n v="65519"/>
    <n v="0"/>
    <n v="1"/>
    <n v="1"/>
    <n v="0"/>
    <s v="NA"/>
    <s v="NA"/>
    <s v="NA"/>
    <s v="NA"/>
    <s v="NA"/>
    <s v="NA"/>
    <s v="NA"/>
    <n v="1"/>
    <n v="0"/>
    <n v="1"/>
    <n v="1"/>
    <n v="0"/>
    <n v="1"/>
    <n v="0"/>
    <n v="1"/>
    <n v="0"/>
    <n v="1"/>
    <n v="0"/>
    <n v="0"/>
    <n v="0"/>
  </r>
  <r>
    <s v="A3UN1F1EOHKKE6"/>
    <s v="english"/>
    <n v="37"/>
    <s v="male"/>
    <s v="test"/>
    <x v="4"/>
    <n v="39418"/>
    <n v="1"/>
    <n v="1"/>
    <n v="1"/>
    <n v="0"/>
    <s v="Dentists A, B, C, D and E."/>
    <s v="Dentist F."/>
    <s v="Dentist E."/>
    <s v="exh"/>
    <s v="fa"/>
    <s v="mo-l"/>
    <n v="1"/>
    <n v="0"/>
    <n v="1"/>
    <n v="0"/>
    <n v="0"/>
    <n v="0"/>
    <n v="1"/>
    <n v="1"/>
    <n v="0"/>
    <n v="1"/>
    <n v="0"/>
    <n v="0"/>
    <n v="0"/>
    <n v="0"/>
  </r>
  <r>
    <s v="A3UN1F1EOHKKE6"/>
    <s v="english"/>
    <n v="37"/>
    <s v="male"/>
    <s v="control"/>
    <x v="5"/>
    <n v="58258"/>
    <n v="1"/>
    <n v="1"/>
    <n v="0"/>
    <n v="0"/>
    <s v="NA"/>
    <s v="NA"/>
    <s v="NA"/>
    <s v="NA"/>
    <s v="NA"/>
    <s v="NA"/>
    <s v="NA"/>
    <n v="0"/>
    <n v="1"/>
    <n v="0"/>
    <n v="0"/>
    <n v="0"/>
    <n v="1"/>
    <n v="1"/>
    <n v="0"/>
    <n v="1"/>
    <n v="0"/>
    <n v="0"/>
    <n v="0"/>
    <n v="0"/>
  </r>
  <r>
    <s v="A3UN1F1EOHKKE6"/>
    <s v="english"/>
    <n v="37"/>
    <s v="male"/>
    <s v="test"/>
    <x v="9"/>
    <n v="35364"/>
    <n v="1"/>
    <n v="0"/>
    <n v="0"/>
    <n v="0"/>
    <s v="Stalls A and B."/>
    <s v="Stall E."/>
    <s v="Stalls D and E."/>
    <s v="ms-h"/>
    <s v="mo-l"/>
    <s v="ms-l"/>
    <n v="0"/>
    <n v="0"/>
    <n v="1"/>
    <n v="1"/>
    <n v="1"/>
    <n v="0"/>
    <n v="1"/>
    <n v="0"/>
    <n v="0"/>
    <n v="0"/>
    <n v="1"/>
    <n v="0"/>
    <n v="0"/>
    <n v="0"/>
  </r>
  <r>
    <s v="A3UN1F1EOHKKE6"/>
    <s v="english"/>
    <n v="37"/>
    <s v="male"/>
    <s v="test"/>
    <x v="3"/>
    <n v="21800"/>
    <n v="0"/>
    <n v="0"/>
    <n v="1"/>
    <n v="0"/>
    <s v="Bookstores D and E."/>
    <s v="Bookstore E."/>
    <s v="Bookstore A."/>
    <s v="ms-l"/>
    <s v="mo-l"/>
    <s v="mo-h"/>
    <n v="0"/>
    <n v="1"/>
    <n v="1"/>
    <n v="0"/>
    <n v="1"/>
    <n v="0"/>
    <n v="1"/>
    <n v="0"/>
    <n v="1"/>
    <n v="0"/>
    <n v="0"/>
    <n v="0"/>
    <n v="0"/>
    <n v="0"/>
  </r>
  <r>
    <s v="A3UN1F1EOHKKE6"/>
    <s v="english"/>
    <n v="37"/>
    <s v="male"/>
    <s v="control"/>
    <x v="7"/>
    <n v="19341"/>
    <n v="1"/>
    <n v="1"/>
    <n v="0"/>
    <n v="0"/>
    <s v="NA"/>
    <s v="NA"/>
    <s v="NA"/>
    <s v="NA"/>
    <s v="NA"/>
    <s v="NA"/>
    <s v="NA"/>
    <n v="1"/>
    <n v="1"/>
    <n v="0"/>
    <n v="1"/>
    <n v="0"/>
    <n v="1"/>
    <n v="0"/>
    <n v="1"/>
    <n v="0"/>
    <n v="0"/>
    <n v="0"/>
    <n v="0"/>
    <n v="0"/>
  </r>
  <r>
    <s v="A3UN1F1EOHKKE6"/>
    <s v="english"/>
    <n v="37"/>
    <s v="male"/>
    <s v="test"/>
    <x v="8"/>
    <n v="22496"/>
    <n v="0"/>
    <n v="0"/>
    <n v="1"/>
    <n v="0"/>
    <s v="Stylist F."/>
    <s v="Stylist E."/>
    <s v="Stylists A, B, C, D and E."/>
    <s v="fa"/>
    <s v="mo-l"/>
    <s v="exh"/>
    <n v="1"/>
    <n v="0"/>
    <n v="1"/>
    <n v="0"/>
    <n v="0"/>
    <n v="0"/>
    <n v="1"/>
    <n v="1"/>
    <n v="0"/>
    <n v="0"/>
    <n v="0"/>
    <n v="0"/>
    <n v="0"/>
    <n v="0"/>
  </r>
  <r>
    <s v="A3UN1F1EOHKKE6"/>
    <s v="english"/>
    <n v="37"/>
    <s v="male"/>
    <s v="control"/>
    <x v="12"/>
    <n v="15179"/>
    <n v="1"/>
    <n v="0"/>
    <n v="0"/>
    <n v="0"/>
    <s v="NA"/>
    <s v="NA"/>
    <s v="NA"/>
    <s v="NA"/>
    <s v="NA"/>
    <s v="NA"/>
    <s v="NA"/>
    <n v="0"/>
    <n v="1"/>
    <n v="0"/>
    <n v="0"/>
    <n v="0"/>
    <n v="1"/>
    <n v="1"/>
    <n v="0"/>
    <n v="0"/>
    <n v="0"/>
    <n v="0"/>
    <n v="0"/>
    <n v="0"/>
  </r>
  <r>
    <s v="A3UN1F1EOHKKE6"/>
    <s v="english"/>
    <n v="37"/>
    <s v="male"/>
    <s v="exit_quest"/>
    <x v="0"/>
    <n v="161720"/>
    <s v="I would answer the same way%2C because I think that both questions are asking the same thing. Brunch is served in restaurants%2C and that fact can be assumed when the question is phrased the second way."/>
    <s v="Sometimes it was difficult because there seemed to be a level of philosophy in some of the questions and answers "/>
    <s v="Nothing else."/>
    <s v="NA"/>
    <s v="NA"/>
    <s v="NA"/>
    <s v="NA"/>
    <s v="NA"/>
    <s v="NA"/>
    <s v="NA"/>
    <s v="NA"/>
    <s v="NA"/>
    <s v="NA"/>
    <s v="NA"/>
    <s v="NA"/>
    <s v="NA"/>
    <s v="NA"/>
    <s v="NA"/>
    <s v="NA"/>
    <s v="NA"/>
    <s v="NA"/>
    <s v="NA"/>
    <s v="NA"/>
    <s v="NA"/>
  </r>
  <r>
    <s v="AXP8EG22MPZY8"/>
    <s v="english"/>
    <n v="38"/>
    <s v="male"/>
    <s v="consent"/>
    <x v="0"/>
    <n v="27416"/>
    <s v="NA"/>
    <s v="NA"/>
    <s v="NA"/>
    <s v="NA"/>
    <s v="NA"/>
    <s v="NA"/>
    <s v="NA"/>
    <s v="NA"/>
    <s v="NA"/>
    <s v="NA"/>
    <s v="NA"/>
    <s v="NA"/>
    <s v="NA"/>
    <s v="NA"/>
    <s v="NA"/>
    <s v="NA"/>
    <s v="NA"/>
    <s v="NA"/>
    <s v="NA"/>
    <s v="NA"/>
    <s v="NA"/>
    <s v="NA"/>
    <s v="NA"/>
    <s v="NA"/>
  </r>
  <r>
    <s v="AXP8EG22MPZY8"/>
    <s v="english"/>
    <n v="38"/>
    <s v="male"/>
    <s v="train"/>
    <x v="2"/>
    <n v="56233"/>
    <n v="0"/>
    <n v="0"/>
    <n v="0"/>
    <n v="1"/>
    <s v="NA"/>
    <s v="NA"/>
    <s v="NA"/>
    <s v="NA"/>
    <s v="NA"/>
    <s v="NA"/>
    <s v="NA"/>
    <s v="NA"/>
    <s v="NA"/>
    <s v="NA"/>
    <s v="NA"/>
    <s v="NA"/>
    <s v="NA"/>
    <s v="NA"/>
    <s v="NA"/>
    <s v="NA"/>
    <s v="NA"/>
    <s v="NA"/>
    <s v="NA"/>
    <s v="NA"/>
  </r>
  <r>
    <s v="AXP8EG22MPZY8"/>
    <s v="english"/>
    <n v="38"/>
    <s v="male"/>
    <s v="train"/>
    <x v="1"/>
    <n v="57853"/>
    <n v="0"/>
    <n v="0"/>
    <n v="1"/>
    <n v="0"/>
    <s v="NA"/>
    <s v="NA"/>
    <s v="NA"/>
    <s v="NA"/>
    <s v="NA"/>
    <s v="NA"/>
    <s v="NA"/>
    <s v="NA"/>
    <s v="NA"/>
    <s v="NA"/>
    <s v="NA"/>
    <s v="NA"/>
    <s v="NA"/>
    <s v="NA"/>
    <s v="NA"/>
    <s v="NA"/>
    <s v="NA"/>
    <s v="NA"/>
    <s v="NA"/>
    <s v="NA"/>
  </r>
  <r>
    <s v="AXP8EG22MPZY8"/>
    <s v="english"/>
    <n v="38"/>
    <s v="male"/>
    <s v="test"/>
    <x v="11"/>
    <n v="82888"/>
    <n v="1"/>
    <n v="1"/>
    <n v="1"/>
    <n v="0"/>
    <s v="Stores A and B."/>
    <s v="Store A."/>
    <s v="Stores D and E."/>
    <s v="ms-h"/>
    <s v="mo-h"/>
    <s v="ms-l"/>
    <n v="0"/>
    <n v="1"/>
    <n v="0"/>
    <n v="1"/>
    <n v="1"/>
    <n v="0"/>
    <n v="1"/>
    <n v="0"/>
    <n v="1"/>
    <n v="0"/>
    <n v="1"/>
    <n v="1"/>
    <n v="0"/>
    <n v="0"/>
  </r>
  <r>
    <s v="AXP8EG22MPZY8"/>
    <s v="english"/>
    <n v="38"/>
    <s v="male"/>
    <s v="test"/>
    <x v="6"/>
    <n v="37884"/>
    <n v="1"/>
    <n v="0"/>
    <n v="1"/>
    <n v="0"/>
    <s v="Cafes D and E."/>
    <s v="Cafes A, B, C, D and E."/>
    <s v="Cafe E."/>
    <s v="ms-l"/>
    <s v="exh"/>
    <s v="mo-l"/>
    <n v="1"/>
    <n v="0"/>
    <n v="1"/>
    <n v="0"/>
    <n v="1"/>
    <n v="0"/>
    <n v="1"/>
    <n v="0"/>
    <n v="0"/>
    <n v="1"/>
    <n v="0"/>
    <n v="1"/>
    <n v="0"/>
    <n v="0"/>
  </r>
  <r>
    <s v="AXP8EG22MPZY8"/>
    <s v="english"/>
    <n v="38"/>
    <s v="male"/>
    <s v="control"/>
    <x v="10"/>
    <n v="108712"/>
    <n v="1"/>
    <n v="1"/>
    <n v="1"/>
    <n v="0"/>
    <s v="NA"/>
    <s v="NA"/>
    <s v="NA"/>
    <s v="NA"/>
    <s v="NA"/>
    <s v="NA"/>
    <s v="NA"/>
    <n v="0"/>
    <n v="1"/>
    <n v="0"/>
    <n v="1"/>
    <n v="0"/>
    <n v="1"/>
    <n v="0"/>
    <n v="0"/>
    <n v="1"/>
    <n v="0"/>
    <n v="1"/>
    <n v="0"/>
    <n v="0"/>
  </r>
  <r>
    <s v="AXP8EG22MPZY8"/>
    <s v="english"/>
    <n v="38"/>
    <s v="male"/>
    <s v="test"/>
    <x v="3"/>
    <n v="39584"/>
    <n v="1"/>
    <n v="1"/>
    <n v="1"/>
    <n v="0"/>
    <s v="Bookstores A and B."/>
    <s v="Bookstores D and E."/>
    <s v="Bookstore A."/>
    <s v="ms-h"/>
    <s v="ms-l"/>
    <s v="mo-h"/>
    <n v="0"/>
    <n v="1"/>
    <n v="0"/>
    <n v="1"/>
    <n v="1"/>
    <n v="0"/>
    <n v="1"/>
    <n v="0"/>
    <n v="1"/>
    <n v="0"/>
    <n v="1"/>
    <n v="1"/>
    <n v="0"/>
    <n v="0"/>
  </r>
  <r>
    <s v="AXP8EG22MPZY8"/>
    <s v="english"/>
    <n v="38"/>
    <s v="male"/>
    <s v="test"/>
    <x v="9"/>
    <n v="24629"/>
    <n v="1"/>
    <n v="1"/>
    <n v="1"/>
    <n v="0"/>
    <s v="Stalls D and E."/>
    <s v="Stall E."/>
    <s v="Stall F."/>
    <s v="ms-l"/>
    <s v="mo-l"/>
    <s v="fa"/>
    <n v="0"/>
    <n v="0"/>
    <n v="1"/>
    <n v="0"/>
    <n v="1"/>
    <n v="0"/>
    <n v="1"/>
    <n v="0"/>
    <n v="0"/>
    <n v="1"/>
    <n v="0"/>
    <n v="1"/>
    <n v="0"/>
    <n v="0"/>
  </r>
  <r>
    <s v="AXP8EG22MPZY8"/>
    <s v="english"/>
    <n v="38"/>
    <s v="male"/>
    <s v="control"/>
    <x v="7"/>
    <n v="28934"/>
    <n v="1"/>
    <n v="1"/>
    <n v="0"/>
    <n v="0"/>
    <s v="NA"/>
    <s v="NA"/>
    <s v="NA"/>
    <s v="NA"/>
    <s v="NA"/>
    <s v="NA"/>
    <s v="NA"/>
    <n v="0"/>
    <n v="1"/>
    <n v="0"/>
    <n v="1"/>
    <n v="0"/>
    <n v="1"/>
    <n v="0"/>
    <n v="0"/>
    <n v="1"/>
    <n v="0"/>
    <n v="1"/>
    <n v="0"/>
    <n v="0"/>
  </r>
  <r>
    <s v="AXP8EG22MPZY8"/>
    <s v="english"/>
    <n v="38"/>
    <s v="male"/>
    <s v="test"/>
    <x v="4"/>
    <n v="48368"/>
    <n v="0"/>
    <n v="0"/>
    <n v="0"/>
    <n v="1"/>
    <s v="Dentist A."/>
    <s v="Dentists D and E."/>
    <s v="Dentist F."/>
    <s v="mo-h"/>
    <s v="ms-l"/>
    <s v="fa"/>
    <n v="0"/>
    <n v="1"/>
    <n v="0"/>
    <n v="0"/>
    <n v="1"/>
    <n v="0"/>
    <n v="1"/>
    <n v="0"/>
    <n v="0"/>
    <n v="0"/>
    <n v="0"/>
    <n v="0"/>
    <n v="0"/>
    <n v="1"/>
  </r>
  <r>
    <s v="AXP8EG22MPZY8"/>
    <s v="english"/>
    <n v="38"/>
    <s v="male"/>
    <s v="control"/>
    <x v="5"/>
    <n v="66215"/>
    <n v="1"/>
    <n v="0"/>
    <n v="1"/>
    <n v="0"/>
    <s v="NA"/>
    <s v="NA"/>
    <s v="NA"/>
    <s v="NA"/>
    <s v="NA"/>
    <s v="NA"/>
    <s v="NA"/>
    <n v="1"/>
    <n v="0"/>
    <n v="0"/>
    <n v="1"/>
    <n v="0"/>
    <n v="1"/>
    <n v="0"/>
    <n v="0"/>
    <n v="0"/>
    <n v="0"/>
    <n v="0"/>
    <n v="0"/>
    <n v="1"/>
  </r>
  <r>
    <s v="AXP8EG22MPZY8"/>
    <s v="english"/>
    <n v="38"/>
    <s v="male"/>
    <s v="test"/>
    <x v="8"/>
    <n v="45951"/>
    <n v="1"/>
    <n v="1"/>
    <n v="1"/>
    <n v="0"/>
    <s v="Stylists D and E."/>
    <s v="Stylist A."/>
    <s v="Stylists A and B."/>
    <s v="ms-l"/>
    <s v="mo-h"/>
    <s v="ms-h"/>
    <n v="0"/>
    <n v="1"/>
    <n v="0"/>
    <n v="1"/>
    <n v="1"/>
    <n v="0"/>
    <n v="1"/>
    <n v="0"/>
    <n v="1"/>
    <n v="0"/>
    <n v="1"/>
    <n v="1"/>
    <n v="0"/>
    <n v="0"/>
  </r>
  <r>
    <s v="AXP8EG22MPZY8"/>
    <s v="english"/>
    <n v="38"/>
    <s v="male"/>
    <s v="control"/>
    <x v="12"/>
    <n v="27949"/>
    <n v="0"/>
    <n v="0"/>
    <n v="0"/>
    <n v="1"/>
    <s v="NA"/>
    <s v="NA"/>
    <s v="NA"/>
    <s v="NA"/>
    <s v="NA"/>
    <s v="NA"/>
    <s v="NA"/>
    <n v="1"/>
    <n v="0"/>
    <n v="1"/>
    <n v="1"/>
    <n v="0"/>
    <n v="1"/>
    <n v="0"/>
    <n v="1"/>
    <n v="0"/>
    <n v="1"/>
    <n v="1"/>
    <n v="0"/>
    <n v="0"/>
  </r>
  <r>
    <s v="AXP8EG22MPZY8"/>
    <s v="english"/>
    <n v="38"/>
    <s v="male"/>
    <s v="exit_quest"/>
    <x v="0"/>
    <n v="56415"/>
    <s v="No I would answer the same"/>
    <s v="No%2C because it is easy"/>
    <s v="no"/>
    <s v="NA"/>
    <s v="NA"/>
    <s v="NA"/>
    <s v="NA"/>
    <s v="NA"/>
    <s v="NA"/>
    <s v="NA"/>
    <s v="NA"/>
    <s v="NA"/>
    <s v="NA"/>
    <s v="NA"/>
    <s v="NA"/>
    <s v="NA"/>
    <s v="NA"/>
    <s v="NA"/>
    <s v="NA"/>
    <s v="NA"/>
    <s v="NA"/>
    <s v="NA"/>
    <s v="NA"/>
    <s v="NA"/>
  </r>
  <r>
    <s v="A1XATJA7ENOGWB"/>
    <s v="english"/>
    <n v="46"/>
    <s v="male"/>
    <s v="consent"/>
    <x v="0"/>
    <n v="29437"/>
    <s v="NA"/>
    <s v="NA"/>
    <s v="NA"/>
    <s v="NA"/>
    <s v="NA"/>
    <s v="NA"/>
    <s v="NA"/>
    <s v="NA"/>
    <s v="NA"/>
    <s v="NA"/>
    <s v="NA"/>
    <s v="NA"/>
    <s v="NA"/>
    <s v="NA"/>
    <s v="NA"/>
    <s v="NA"/>
    <s v="NA"/>
    <s v="NA"/>
    <s v="NA"/>
    <s v="NA"/>
    <s v="NA"/>
    <s v="NA"/>
    <s v="NA"/>
    <s v="NA"/>
  </r>
  <r>
    <s v="A1XATJA7ENOGWB"/>
    <s v="english"/>
    <n v="46"/>
    <s v="male"/>
    <s v="train"/>
    <x v="2"/>
    <n v="36014"/>
    <n v="0"/>
    <n v="0"/>
    <n v="0"/>
    <n v="1"/>
    <s v="NA"/>
    <s v="NA"/>
    <s v="NA"/>
    <s v="NA"/>
    <s v="NA"/>
    <s v="NA"/>
    <s v="NA"/>
    <s v="NA"/>
    <s v="NA"/>
    <s v="NA"/>
    <s v="NA"/>
    <s v="NA"/>
    <s v="NA"/>
    <s v="NA"/>
    <s v="NA"/>
    <s v="NA"/>
    <s v="NA"/>
    <s v="NA"/>
    <s v="NA"/>
    <s v="NA"/>
  </r>
  <r>
    <s v="A1XATJA7ENOGWB"/>
    <s v="english"/>
    <n v="46"/>
    <s v="male"/>
    <s v="train"/>
    <x v="1"/>
    <n v="46658"/>
    <n v="0"/>
    <n v="0"/>
    <n v="1"/>
    <n v="0"/>
    <s v="NA"/>
    <s v="NA"/>
    <s v="NA"/>
    <s v="NA"/>
    <s v="NA"/>
    <s v="NA"/>
    <s v="NA"/>
    <s v="NA"/>
    <s v="NA"/>
    <s v="NA"/>
    <s v="NA"/>
    <s v="NA"/>
    <s v="NA"/>
    <s v="NA"/>
    <s v="NA"/>
    <s v="NA"/>
    <s v="NA"/>
    <s v="NA"/>
    <s v="NA"/>
    <s v="NA"/>
  </r>
  <r>
    <s v="A1XATJA7ENOGWB"/>
    <s v="english"/>
    <n v="46"/>
    <s v="male"/>
    <s v="test"/>
    <x v="3"/>
    <n v="177704"/>
    <n v="1"/>
    <n v="1"/>
    <n v="1"/>
    <n v="0"/>
    <s v="Bookstores A, B, C, D and E."/>
    <s v="Bookstores A and B."/>
    <s v="Bookstore E."/>
    <s v="exh"/>
    <s v="ms-h"/>
    <s v="mo-l"/>
    <n v="1"/>
    <n v="0"/>
    <n v="1"/>
    <n v="1"/>
    <n v="0"/>
    <n v="0"/>
    <n v="1"/>
    <n v="1"/>
    <n v="0"/>
    <n v="1"/>
    <n v="1"/>
    <n v="0"/>
    <n v="0"/>
    <n v="0"/>
  </r>
  <r>
    <s v="A1XATJA7ENOGWB"/>
    <s v="english"/>
    <n v="46"/>
    <s v="male"/>
    <s v="test"/>
    <x v="4"/>
    <n v="17861"/>
    <n v="1"/>
    <n v="1"/>
    <n v="1"/>
    <n v="0"/>
    <s v="Dentists A and B."/>
    <s v="Dentists A, B, C, D and E."/>
    <s v="Dentist A."/>
    <s v="ms-h"/>
    <s v="exh"/>
    <s v="mo-h"/>
    <n v="1"/>
    <n v="1"/>
    <n v="0"/>
    <n v="1"/>
    <n v="0"/>
    <n v="0"/>
    <n v="1"/>
    <n v="1"/>
    <n v="1"/>
    <n v="0"/>
    <n v="1"/>
    <n v="0"/>
    <n v="0"/>
    <n v="0"/>
  </r>
  <r>
    <s v="A1XATJA7ENOGWB"/>
    <s v="english"/>
    <n v="46"/>
    <s v="male"/>
    <s v="control"/>
    <x v="5"/>
    <n v="85503"/>
    <n v="0"/>
    <n v="0"/>
    <n v="0"/>
    <n v="1"/>
    <s v="NA"/>
    <s v="NA"/>
    <s v="NA"/>
    <s v="NA"/>
    <s v="NA"/>
    <s v="NA"/>
    <s v="NA"/>
    <n v="1"/>
    <n v="0"/>
    <n v="1"/>
    <n v="0"/>
    <n v="0"/>
    <n v="1"/>
    <n v="1"/>
    <n v="1"/>
    <n v="0"/>
    <n v="1"/>
    <n v="0"/>
    <n v="0"/>
    <n v="0"/>
  </r>
  <r>
    <s v="A1XATJA7ENOGWB"/>
    <s v="english"/>
    <n v="46"/>
    <s v="male"/>
    <s v="test"/>
    <x v="8"/>
    <n v="34905"/>
    <n v="1"/>
    <n v="1"/>
    <n v="1"/>
    <n v="0"/>
    <s v="Stylist A."/>
    <s v="Stylist F."/>
    <s v="Stylists D and E."/>
    <s v="mo-h"/>
    <s v="fa"/>
    <s v="ms-l"/>
    <n v="0"/>
    <n v="1"/>
    <n v="0"/>
    <n v="0"/>
    <n v="1"/>
    <n v="0"/>
    <n v="1"/>
    <n v="0"/>
    <n v="1"/>
    <n v="0"/>
    <n v="0"/>
    <n v="1"/>
    <n v="0"/>
    <n v="0"/>
  </r>
  <r>
    <s v="A1XATJA7ENOGWB"/>
    <s v="english"/>
    <n v="46"/>
    <s v="male"/>
    <s v="control"/>
    <x v="10"/>
    <n v="49566"/>
    <n v="0"/>
    <n v="1"/>
    <n v="0"/>
    <n v="0"/>
    <s v="NA"/>
    <s v="NA"/>
    <s v="NA"/>
    <s v="NA"/>
    <s v="NA"/>
    <s v="NA"/>
    <s v="NA"/>
    <n v="1"/>
    <n v="0"/>
    <n v="0"/>
    <n v="1"/>
    <n v="0"/>
    <n v="1"/>
    <n v="0"/>
    <n v="1"/>
    <n v="0"/>
    <n v="0"/>
    <n v="1"/>
    <n v="0"/>
    <n v="0"/>
  </r>
  <r>
    <s v="A1XATJA7ENOGWB"/>
    <s v="english"/>
    <n v="46"/>
    <s v="male"/>
    <s v="test"/>
    <x v="11"/>
    <n v="18699"/>
    <n v="1"/>
    <n v="1"/>
    <n v="1"/>
    <n v="0"/>
    <s v="Store E."/>
    <s v="Store A."/>
    <s v="Stores D and E."/>
    <s v="mo-l"/>
    <s v="mo-h"/>
    <s v="ms-l"/>
    <n v="0"/>
    <n v="1"/>
    <n v="1"/>
    <n v="0"/>
    <n v="1"/>
    <n v="0"/>
    <n v="1"/>
    <n v="0"/>
    <n v="1"/>
    <n v="1"/>
    <n v="0"/>
    <n v="1"/>
    <n v="0"/>
    <n v="0"/>
  </r>
  <r>
    <s v="A1XATJA7ENOGWB"/>
    <s v="english"/>
    <n v="46"/>
    <s v="male"/>
    <s v="test"/>
    <x v="6"/>
    <n v="14950"/>
    <n v="1"/>
    <n v="1"/>
    <n v="1"/>
    <n v="0"/>
    <s v="Cafes A and B."/>
    <s v="Cafe E."/>
    <s v="Cafe A."/>
    <s v="ms-h"/>
    <s v="mo-l"/>
    <s v="mo-h"/>
    <n v="0"/>
    <n v="1"/>
    <n v="1"/>
    <n v="1"/>
    <n v="0"/>
    <n v="0"/>
    <n v="1"/>
    <n v="0"/>
    <n v="1"/>
    <n v="1"/>
    <n v="1"/>
    <n v="0"/>
    <n v="0"/>
    <n v="0"/>
  </r>
  <r>
    <s v="A1XATJA7ENOGWB"/>
    <s v="english"/>
    <n v="46"/>
    <s v="male"/>
    <s v="control"/>
    <x v="7"/>
    <n v="41348"/>
    <n v="0"/>
    <n v="0"/>
    <n v="0"/>
    <n v="1"/>
    <s v="NA"/>
    <s v="NA"/>
    <s v="NA"/>
    <s v="NA"/>
    <s v="NA"/>
    <s v="NA"/>
    <s v="NA"/>
    <n v="1"/>
    <n v="1"/>
    <n v="1"/>
    <n v="0"/>
    <n v="0"/>
    <n v="1"/>
    <n v="0"/>
    <n v="1"/>
    <n v="1"/>
    <n v="1"/>
    <n v="0"/>
    <n v="0"/>
    <n v="0"/>
  </r>
  <r>
    <s v="A1XATJA7ENOGWB"/>
    <s v="english"/>
    <n v="46"/>
    <s v="male"/>
    <s v="test"/>
    <x v="9"/>
    <n v="22845"/>
    <n v="1"/>
    <n v="1"/>
    <n v="1"/>
    <n v="0"/>
    <s v="Stalls D and E."/>
    <s v="Stalls A, B, C, D and E."/>
    <s v="Stalls A and B."/>
    <s v="ms-l"/>
    <s v="exh"/>
    <s v="ms-h"/>
    <n v="1"/>
    <n v="0"/>
    <n v="0"/>
    <n v="1"/>
    <n v="1"/>
    <n v="0"/>
    <n v="1"/>
    <n v="1"/>
    <n v="0"/>
    <n v="0"/>
    <n v="1"/>
    <n v="1"/>
    <n v="0"/>
    <n v="0"/>
  </r>
  <r>
    <s v="A1XATJA7ENOGWB"/>
    <s v="english"/>
    <n v="46"/>
    <s v="male"/>
    <s v="control"/>
    <x v="12"/>
    <n v="41852"/>
    <n v="1"/>
    <n v="0"/>
    <n v="0"/>
    <n v="0"/>
    <s v="NA"/>
    <s v="NA"/>
    <s v="NA"/>
    <s v="NA"/>
    <s v="NA"/>
    <s v="NA"/>
    <s v="NA"/>
    <n v="0"/>
    <n v="0"/>
    <n v="1"/>
    <n v="1"/>
    <n v="0"/>
    <n v="1"/>
    <n v="1"/>
    <n v="0"/>
    <n v="0"/>
    <n v="1"/>
    <n v="1"/>
    <n v="0"/>
    <n v="0"/>
  </r>
  <r>
    <s v="A1XATJA7ENOGWB"/>
    <s v="english"/>
    <n v="46"/>
    <s v="male"/>
    <s v="exit_quest"/>
    <x v="0"/>
    <n v="50141"/>
    <s v="No%2C the traveler is still asking the same thing."/>
    <s v="No"/>
    <s v="no"/>
    <s v="NA"/>
    <s v="NA"/>
    <s v="NA"/>
    <s v="NA"/>
    <s v="NA"/>
    <s v="NA"/>
    <s v="NA"/>
    <s v="NA"/>
    <s v="NA"/>
    <s v="NA"/>
    <s v="NA"/>
    <s v="NA"/>
    <s v="NA"/>
    <s v="NA"/>
    <s v="NA"/>
    <s v="NA"/>
    <s v="NA"/>
    <s v="NA"/>
    <s v="NA"/>
    <s v="NA"/>
    <s v="NA"/>
  </r>
  <r>
    <s v="A2W5Q0IVJUS7Y6"/>
    <s v="english"/>
    <n v="67"/>
    <s v="male"/>
    <s v="consent"/>
    <x v="0"/>
    <n v="82416"/>
    <s v="NA"/>
    <s v="NA"/>
    <s v="NA"/>
    <s v="NA"/>
    <s v="NA"/>
    <s v="NA"/>
    <s v="NA"/>
    <s v="NA"/>
    <s v="NA"/>
    <s v="NA"/>
    <s v="NA"/>
    <s v="NA"/>
    <s v="NA"/>
    <s v="NA"/>
    <s v="NA"/>
    <s v="NA"/>
    <s v="NA"/>
    <s v="NA"/>
    <s v="NA"/>
    <s v="NA"/>
    <s v="NA"/>
    <s v="NA"/>
    <s v="NA"/>
    <s v="NA"/>
  </r>
  <r>
    <s v="A2W5Q0IVJUS7Y6"/>
    <s v="english"/>
    <n v="67"/>
    <s v="male"/>
    <s v="train"/>
    <x v="2"/>
    <n v="54660"/>
    <n v="0"/>
    <n v="0"/>
    <n v="0"/>
    <n v="1"/>
    <s v="NA"/>
    <s v="NA"/>
    <s v="NA"/>
    <s v="NA"/>
    <s v="NA"/>
    <s v="NA"/>
    <s v="NA"/>
    <s v="NA"/>
    <s v="NA"/>
    <s v="NA"/>
    <s v="NA"/>
    <s v="NA"/>
    <s v="NA"/>
    <s v="NA"/>
    <s v="NA"/>
    <s v="NA"/>
    <s v="NA"/>
    <s v="NA"/>
    <s v="NA"/>
    <s v="NA"/>
  </r>
  <r>
    <s v="A2W5Q0IVJUS7Y6"/>
    <s v="english"/>
    <n v="67"/>
    <s v="male"/>
    <s v="train"/>
    <x v="1"/>
    <n v="31088"/>
    <n v="0"/>
    <n v="0"/>
    <n v="1"/>
    <n v="0"/>
    <s v="NA"/>
    <s v="NA"/>
    <s v="NA"/>
    <s v="NA"/>
    <s v="NA"/>
    <s v="NA"/>
    <s v="NA"/>
    <s v="NA"/>
    <s v="NA"/>
    <s v="NA"/>
    <s v="NA"/>
    <s v="NA"/>
    <s v="NA"/>
    <s v="NA"/>
    <s v="NA"/>
    <s v="NA"/>
    <s v="NA"/>
    <s v="NA"/>
    <s v="NA"/>
    <s v="NA"/>
  </r>
  <r>
    <s v="A2W5Q0IVJUS7Y6"/>
    <s v="english"/>
    <n v="67"/>
    <s v="male"/>
    <s v="test"/>
    <x v="4"/>
    <n v="69247"/>
    <n v="0"/>
    <n v="1"/>
    <n v="1"/>
    <n v="0"/>
    <s v="Dentists A and B."/>
    <s v="Dentist E."/>
    <s v="Dentist A."/>
    <s v="ms-h"/>
    <s v="mo-l"/>
    <s v="mo-h"/>
    <n v="0"/>
    <n v="1"/>
    <n v="1"/>
    <n v="1"/>
    <n v="0"/>
    <n v="0"/>
    <n v="1"/>
    <n v="0"/>
    <n v="1"/>
    <n v="1"/>
    <n v="0"/>
    <n v="0"/>
    <n v="0"/>
    <n v="0"/>
  </r>
  <r>
    <s v="A2W5Q0IVJUS7Y6"/>
    <s v="english"/>
    <n v="67"/>
    <s v="male"/>
    <s v="control"/>
    <x v="10"/>
    <n v="26375"/>
    <n v="0"/>
    <n v="0"/>
    <n v="1"/>
    <n v="0"/>
    <s v="NA"/>
    <s v="NA"/>
    <s v="NA"/>
    <s v="NA"/>
    <s v="NA"/>
    <s v="NA"/>
    <s v="NA"/>
    <n v="1"/>
    <n v="1"/>
    <n v="1"/>
    <n v="0"/>
    <n v="0"/>
    <n v="1"/>
    <n v="0"/>
    <n v="1"/>
    <n v="1"/>
    <n v="0"/>
    <n v="0"/>
    <n v="0"/>
    <n v="0"/>
  </r>
  <r>
    <s v="A2W5Q0IVJUS7Y6"/>
    <s v="english"/>
    <n v="67"/>
    <s v="male"/>
    <s v="test"/>
    <x v="8"/>
    <n v="27034"/>
    <n v="0"/>
    <n v="1"/>
    <n v="0"/>
    <n v="0"/>
    <s v="Stylists D and E."/>
    <s v="Stylists A and B."/>
    <s v="Stylist E."/>
    <s v="ms-l"/>
    <s v="ms-h"/>
    <s v="mo-l"/>
    <n v="0"/>
    <n v="0"/>
    <n v="1"/>
    <n v="1"/>
    <n v="1"/>
    <n v="0"/>
    <n v="1"/>
    <n v="0"/>
    <n v="0"/>
    <n v="0"/>
    <n v="1"/>
    <n v="0"/>
    <n v="0"/>
    <n v="0"/>
  </r>
  <r>
    <s v="A2W5Q0IVJUS7Y6"/>
    <s v="english"/>
    <n v="67"/>
    <s v="male"/>
    <s v="test"/>
    <x v="11"/>
    <n v="35766"/>
    <n v="1"/>
    <n v="1"/>
    <n v="1"/>
    <n v="0"/>
    <s v="Store F."/>
    <s v="Store A."/>
    <s v="Stores A and B."/>
    <s v="fa"/>
    <s v="mo-h"/>
    <s v="ms-h"/>
    <n v="0"/>
    <n v="1"/>
    <n v="0"/>
    <n v="1"/>
    <n v="0"/>
    <n v="0"/>
    <n v="1"/>
    <n v="0"/>
    <n v="1"/>
    <n v="0"/>
    <n v="1"/>
    <n v="0"/>
    <n v="0"/>
    <n v="0"/>
  </r>
  <r>
    <s v="A2W5Q0IVJUS7Y6"/>
    <s v="english"/>
    <n v="67"/>
    <s v="male"/>
    <s v="control"/>
    <x v="12"/>
    <n v="18848"/>
    <n v="1"/>
    <n v="1"/>
    <n v="0"/>
    <n v="0"/>
    <s v="NA"/>
    <s v="NA"/>
    <s v="NA"/>
    <s v="NA"/>
    <s v="NA"/>
    <s v="NA"/>
    <s v="NA"/>
    <n v="1"/>
    <n v="0"/>
    <n v="1"/>
    <n v="0"/>
    <n v="0"/>
    <n v="1"/>
    <n v="0"/>
    <n v="1"/>
    <n v="0"/>
    <n v="1"/>
    <n v="0"/>
    <n v="0"/>
    <n v="0"/>
  </r>
  <r>
    <s v="A2W5Q0IVJUS7Y6"/>
    <s v="english"/>
    <n v="67"/>
    <s v="male"/>
    <s v="test"/>
    <x v="6"/>
    <n v="25903"/>
    <n v="1"/>
    <n v="1"/>
    <n v="0"/>
    <n v="0"/>
    <s v="Cafe E."/>
    <s v="Cafe A."/>
    <s v="Cafes A and B."/>
    <s v="mo-l"/>
    <s v="mo-h"/>
    <s v="ms-h"/>
    <n v="0"/>
    <n v="1"/>
    <n v="1"/>
    <n v="1"/>
    <n v="0"/>
    <n v="0"/>
    <n v="1"/>
    <n v="0"/>
    <n v="1"/>
    <n v="1"/>
    <n v="0"/>
    <n v="0"/>
    <n v="0"/>
    <n v="0"/>
  </r>
  <r>
    <s v="A2W5Q0IVJUS7Y6"/>
    <s v="english"/>
    <n v="67"/>
    <s v="male"/>
    <s v="control"/>
    <x v="7"/>
    <n v="39317"/>
    <n v="1"/>
    <n v="1"/>
    <n v="0"/>
    <n v="0"/>
    <s v="NA"/>
    <s v="NA"/>
    <s v="NA"/>
    <s v="NA"/>
    <s v="NA"/>
    <s v="NA"/>
    <s v="NA"/>
    <n v="1"/>
    <n v="1"/>
    <n v="1"/>
    <n v="0"/>
    <n v="0"/>
    <n v="1"/>
    <n v="0"/>
    <n v="1"/>
    <n v="1"/>
    <n v="0"/>
    <n v="0"/>
    <n v="0"/>
    <n v="0"/>
  </r>
  <r>
    <s v="A2W5Q0IVJUS7Y6"/>
    <s v="english"/>
    <n v="67"/>
    <s v="male"/>
    <s v="test"/>
    <x v="9"/>
    <n v="31056"/>
    <n v="1"/>
    <n v="1"/>
    <n v="1"/>
    <n v="0"/>
    <s v="Stall E."/>
    <s v="Stall A."/>
    <s v="Stalls D and E."/>
    <s v="mo-l"/>
    <s v="mo-h"/>
    <s v="ms-l"/>
    <n v="0"/>
    <n v="1"/>
    <n v="1"/>
    <n v="0"/>
    <n v="1"/>
    <n v="0"/>
    <n v="1"/>
    <n v="0"/>
    <n v="1"/>
    <n v="1"/>
    <n v="0"/>
    <n v="1"/>
    <n v="0"/>
    <n v="0"/>
  </r>
  <r>
    <s v="A2W5Q0IVJUS7Y6"/>
    <s v="english"/>
    <n v="67"/>
    <s v="male"/>
    <s v="test"/>
    <x v="3"/>
    <n v="34015"/>
    <n v="1"/>
    <n v="1"/>
    <n v="1"/>
    <n v="0"/>
    <s v="Bookstores A, B, C, D and E."/>
    <s v="Bookstore A."/>
    <s v="Bookstores A and B."/>
    <s v="exh"/>
    <s v="mo-h"/>
    <s v="ms-h"/>
    <n v="1"/>
    <n v="1"/>
    <n v="0"/>
    <n v="1"/>
    <n v="0"/>
    <n v="0"/>
    <n v="1"/>
    <n v="1"/>
    <n v="1"/>
    <n v="0"/>
    <n v="1"/>
    <n v="0"/>
    <n v="0"/>
    <n v="0"/>
  </r>
  <r>
    <s v="A2W5Q0IVJUS7Y6"/>
    <s v="english"/>
    <n v="67"/>
    <s v="male"/>
    <s v="control"/>
    <x v="5"/>
    <n v="28496"/>
    <n v="1"/>
    <n v="1"/>
    <n v="0"/>
    <n v="0"/>
    <s v="NA"/>
    <s v="NA"/>
    <s v="NA"/>
    <s v="NA"/>
    <s v="NA"/>
    <s v="NA"/>
    <s v="NA"/>
    <n v="1"/>
    <n v="0"/>
    <n v="1"/>
    <n v="0"/>
    <n v="0"/>
    <n v="1"/>
    <n v="1"/>
    <n v="1"/>
    <n v="0"/>
    <n v="1"/>
    <n v="0"/>
    <n v="0"/>
    <n v="0"/>
  </r>
  <r>
    <s v="A2W5Q0IVJUS7Y6"/>
    <s v="english"/>
    <n v="67"/>
    <s v="male"/>
    <s v="exit_quest"/>
    <x v="0"/>
    <n v="301156"/>
    <s v="No%2Ca traveler would 0nly go to a restaurant."/>
    <s v="Yes%2C a little but I think a traveler only go to a restaurant and not somewhere else."/>
    <s v="thank you"/>
    <s v="NA"/>
    <s v="NA"/>
    <s v="NA"/>
    <s v="NA"/>
    <s v="NA"/>
    <s v="NA"/>
    <s v="NA"/>
    <s v="NA"/>
    <s v="NA"/>
    <s v="NA"/>
    <s v="NA"/>
    <s v="NA"/>
    <s v="NA"/>
    <s v="NA"/>
    <s v="NA"/>
    <s v="NA"/>
    <s v="NA"/>
    <s v="NA"/>
    <s v="NA"/>
    <s v="NA"/>
    <s v="NA"/>
  </r>
  <r>
    <s v="AKAPWAUEDPVGV"/>
    <s v="english"/>
    <n v="30"/>
    <s v="female"/>
    <s v="consent"/>
    <x v="0"/>
    <n v="96179"/>
    <s v="NA"/>
    <s v="NA"/>
    <s v="NA"/>
    <s v="NA"/>
    <s v="NA"/>
    <s v="NA"/>
    <s v="NA"/>
    <s v="NA"/>
    <s v="NA"/>
    <s v="NA"/>
    <s v="NA"/>
    <s v="NA"/>
    <s v="NA"/>
    <s v="NA"/>
    <s v="NA"/>
    <s v="NA"/>
    <s v="NA"/>
    <s v="NA"/>
    <s v="NA"/>
    <s v="NA"/>
    <s v="NA"/>
    <s v="NA"/>
    <s v="NA"/>
    <s v="NA"/>
  </r>
  <r>
    <s v="AKAPWAUEDPVGV"/>
    <s v="english"/>
    <n v="30"/>
    <s v="female"/>
    <s v="train"/>
    <x v="2"/>
    <n v="18711"/>
    <n v="1"/>
    <n v="0"/>
    <n v="1"/>
    <n v="0"/>
    <s v="NA"/>
    <s v="NA"/>
    <s v="NA"/>
    <s v="NA"/>
    <s v="NA"/>
    <s v="NA"/>
    <s v="NA"/>
    <s v="NA"/>
    <s v="NA"/>
    <s v="NA"/>
    <s v="NA"/>
    <s v="NA"/>
    <s v="NA"/>
    <s v="NA"/>
    <s v="NA"/>
    <s v="NA"/>
    <s v="NA"/>
    <s v="NA"/>
    <s v="NA"/>
    <s v="NA"/>
  </r>
  <r>
    <s v="AKAPWAUEDPVGV"/>
    <s v="english"/>
    <n v="30"/>
    <s v="female"/>
    <s v="train"/>
    <x v="1"/>
    <n v="157969"/>
    <n v="0"/>
    <n v="1"/>
    <n v="1"/>
    <n v="0"/>
    <s v="NA"/>
    <s v="NA"/>
    <s v="NA"/>
    <s v="NA"/>
    <s v="NA"/>
    <s v="NA"/>
    <s v="NA"/>
    <s v="NA"/>
    <s v="NA"/>
    <s v="NA"/>
    <s v="NA"/>
    <s v="NA"/>
    <s v="NA"/>
    <s v="NA"/>
    <s v="NA"/>
    <s v="NA"/>
    <s v="NA"/>
    <s v="NA"/>
    <s v="NA"/>
    <s v="NA"/>
  </r>
  <r>
    <s v="AKAPWAUEDPVGV"/>
    <s v="english"/>
    <n v="30"/>
    <s v="female"/>
    <s v="test"/>
    <x v="6"/>
    <n v="47236"/>
    <n v="0"/>
    <n v="1"/>
    <n v="0"/>
    <n v="0"/>
    <s v="Cafes D and E."/>
    <s v="Cafes A and B."/>
    <s v="Cafe A."/>
    <s v="ms-l"/>
    <s v="ms-h"/>
    <s v="mo-h"/>
    <n v="0"/>
    <n v="1"/>
    <n v="0"/>
    <n v="1"/>
    <n v="1"/>
    <n v="0"/>
    <n v="1"/>
    <n v="0"/>
    <n v="0"/>
    <n v="0"/>
    <n v="1"/>
    <n v="0"/>
    <n v="0"/>
    <n v="0"/>
  </r>
  <r>
    <s v="AKAPWAUEDPVGV"/>
    <s v="english"/>
    <n v="30"/>
    <s v="female"/>
    <s v="test"/>
    <x v="3"/>
    <n v="16545"/>
    <n v="0"/>
    <n v="1"/>
    <n v="0"/>
    <n v="0"/>
    <s v="Bookstores D and E."/>
    <s v="Bookstores A and B."/>
    <s v="Bookstores A, B, C, D and E."/>
    <s v="ms-l"/>
    <s v="ms-h"/>
    <s v="exh"/>
    <n v="1"/>
    <n v="0"/>
    <n v="0"/>
    <n v="1"/>
    <n v="1"/>
    <n v="0"/>
    <n v="1"/>
    <n v="0"/>
    <n v="0"/>
    <n v="0"/>
    <n v="1"/>
    <n v="0"/>
    <n v="0"/>
    <n v="0"/>
  </r>
  <r>
    <s v="AKAPWAUEDPVGV"/>
    <s v="english"/>
    <n v="30"/>
    <s v="female"/>
    <s v="control"/>
    <x v="5"/>
    <n v="5534"/>
    <n v="0"/>
    <n v="0"/>
    <n v="1"/>
    <n v="0"/>
    <s v="NA"/>
    <s v="NA"/>
    <s v="NA"/>
    <s v="NA"/>
    <s v="NA"/>
    <s v="NA"/>
    <s v="NA"/>
    <n v="0"/>
    <n v="0"/>
    <n v="1"/>
    <n v="1"/>
    <n v="0"/>
    <n v="1"/>
    <n v="0"/>
    <n v="0"/>
    <n v="0"/>
    <n v="1"/>
    <n v="0"/>
    <n v="0"/>
    <n v="0"/>
  </r>
  <r>
    <s v="AKAPWAUEDPVGV"/>
    <s v="english"/>
    <n v="30"/>
    <s v="female"/>
    <s v="test"/>
    <x v="8"/>
    <n v="13047"/>
    <n v="0"/>
    <n v="1"/>
    <n v="0"/>
    <n v="0"/>
    <s v="Stylists D and E."/>
    <s v="Stylist E."/>
    <s v="Stylist A."/>
    <s v="ms-l"/>
    <s v="mo-l"/>
    <s v="mo-h"/>
    <n v="0"/>
    <n v="1"/>
    <n v="1"/>
    <n v="0"/>
    <n v="1"/>
    <n v="0"/>
    <n v="1"/>
    <n v="0"/>
    <n v="0"/>
    <n v="1"/>
    <n v="0"/>
    <n v="0"/>
    <n v="0"/>
    <n v="0"/>
  </r>
  <r>
    <s v="AKAPWAUEDPVGV"/>
    <s v="english"/>
    <n v="30"/>
    <s v="female"/>
    <s v="control"/>
    <x v="12"/>
    <n v="3843"/>
    <n v="0"/>
    <n v="1"/>
    <n v="0"/>
    <n v="0"/>
    <s v="NA"/>
    <s v="NA"/>
    <s v="NA"/>
    <s v="NA"/>
    <s v="NA"/>
    <s v="NA"/>
    <s v="NA"/>
    <n v="1"/>
    <n v="1"/>
    <n v="0"/>
    <n v="1"/>
    <n v="0"/>
    <n v="1"/>
    <n v="0"/>
    <n v="0"/>
    <n v="1"/>
    <n v="0"/>
    <n v="0"/>
    <n v="0"/>
    <n v="0"/>
  </r>
  <r>
    <s v="AKAPWAUEDPVGV"/>
    <s v="english"/>
    <n v="30"/>
    <s v="female"/>
    <s v="test"/>
    <x v="4"/>
    <n v="4461"/>
    <n v="0"/>
    <n v="1"/>
    <n v="0"/>
    <n v="0"/>
    <s v="Dentist F."/>
    <s v="Dentists D and E."/>
    <s v="Dentists A, B, C, D and E."/>
    <s v="fa"/>
    <s v="ms-l"/>
    <s v="exh"/>
    <n v="1"/>
    <n v="0"/>
    <n v="0"/>
    <n v="0"/>
    <n v="1"/>
    <n v="0"/>
    <n v="1"/>
    <n v="0"/>
    <n v="0"/>
    <n v="0"/>
    <n v="0"/>
    <n v="1"/>
    <n v="0"/>
    <n v="0"/>
  </r>
  <r>
    <s v="AKAPWAUEDPVGV"/>
    <s v="english"/>
    <n v="30"/>
    <s v="female"/>
    <s v="test"/>
    <x v="11"/>
    <n v="8213"/>
    <n v="0"/>
    <n v="0"/>
    <n v="1"/>
    <n v="0"/>
    <s v="Stores A, B, C, D and E."/>
    <s v="Store A."/>
    <s v="Stores D and E."/>
    <s v="exh"/>
    <s v="mo-h"/>
    <s v="ms-l"/>
    <n v="1"/>
    <n v="1"/>
    <n v="0"/>
    <n v="0"/>
    <n v="1"/>
    <n v="0"/>
    <n v="1"/>
    <n v="0"/>
    <n v="0"/>
    <n v="0"/>
    <n v="0"/>
    <n v="1"/>
    <n v="0"/>
    <n v="0"/>
  </r>
  <r>
    <s v="AKAPWAUEDPVGV"/>
    <s v="english"/>
    <n v="30"/>
    <s v="female"/>
    <s v="control"/>
    <x v="10"/>
    <n v="4222"/>
    <n v="0"/>
    <n v="0"/>
    <n v="1"/>
    <n v="0"/>
    <s v="NA"/>
    <s v="NA"/>
    <s v="NA"/>
    <s v="NA"/>
    <s v="NA"/>
    <s v="NA"/>
    <s v="NA"/>
    <n v="1"/>
    <n v="0"/>
    <n v="0"/>
    <n v="1"/>
    <n v="0"/>
    <n v="1"/>
    <n v="0"/>
    <n v="0"/>
    <n v="0"/>
    <n v="0"/>
    <n v="1"/>
    <n v="0"/>
    <n v="0"/>
  </r>
  <r>
    <s v="AKAPWAUEDPVGV"/>
    <s v="english"/>
    <n v="30"/>
    <s v="female"/>
    <s v="test"/>
    <x v="9"/>
    <n v="6699"/>
    <n v="0"/>
    <n v="0"/>
    <n v="1"/>
    <n v="0"/>
    <s v="Stalls A and B."/>
    <s v="Stalls D and E."/>
    <s v="Stall F."/>
    <s v="ms-h"/>
    <s v="ms-l"/>
    <s v="fa"/>
    <n v="0"/>
    <n v="0"/>
    <n v="0"/>
    <n v="1"/>
    <n v="1"/>
    <n v="0"/>
    <n v="1"/>
    <n v="0"/>
    <n v="0"/>
    <n v="0"/>
    <n v="0"/>
    <n v="0"/>
    <n v="0"/>
    <n v="0"/>
  </r>
  <r>
    <s v="AKAPWAUEDPVGV"/>
    <s v="english"/>
    <n v="30"/>
    <s v="female"/>
    <s v="control"/>
    <x v="7"/>
    <n v="10224"/>
    <n v="0"/>
    <n v="1"/>
    <n v="0"/>
    <n v="0"/>
    <s v="NA"/>
    <s v="NA"/>
    <s v="NA"/>
    <s v="NA"/>
    <s v="NA"/>
    <s v="NA"/>
    <s v="NA"/>
    <n v="0"/>
    <n v="0"/>
    <n v="1"/>
    <n v="1"/>
    <n v="0"/>
    <n v="1"/>
    <n v="0"/>
    <n v="0"/>
    <n v="0"/>
    <n v="0"/>
    <n v="0"/>
    <n v="0"/>
    <n v="0"/>
  </r>
  <r>
    <s v="AKAPWAUEDPVGV"/>
    <s v="english"/>
    <n v="30"/>
    <s v="female"/>
    <s v="exit_quest"/>
    <x v="0"/>
    <n v="279010"/>
    <s v="almost every restaurants save the brunch but the specific restaurants are more useful than others"/>
    <s v="no"/>
    <s v="it's interesting"/>
    <s v="NA"/>
    <s v="NA"/>
    <s v="NA"/>
    <s v="NA"/>
    <s v="NA"/>
    <s v="NA"/>
    <s v="NA"/>
    <s v="NA"/>
    <s v="NA"/>
    <s v="NA"/>
    <s v="NA"/>
    <s v="NA"/>
    <s v="NA"/>
    <s v="NA"/>
    <s v="NA"/>
    <s v="NA"/>
    <s v="NA"/>
    <s v="NA"/>
    <s v="NA"/>
    <s v="NA"/>
    <s v="NA"/>
  </r>
  <r>
    <s v="A39BSJLRE2AQD4"/>
    <s v="english"/>
    <n v="35"/>
    <s v="male"/>
    <s v="consent"/>
    <x v="0"/>
    <n v="41695"/>
    <s v="NA"/>
    <s v="NA"/>
    <s v="NA"/>
    <s v="NA"/>
    <s v="NA"/>
    <s v="NA"/>
    <s v="NA"/>
    <s v="NA"/>
    <s v="NA"/>
    <s v="NA"/>
    <s v="NA"/>
    <s v="NA"/>
    <s v="NA"/>
    <s v="NA"/>
    <s v="NA"/>
    <s v="NA"/>
    <s v="NA"/>
    <s v="NA"/>
    <s v="NA"/>
    <s v="NA"/>
    <s v="NA"/>
    <s v="NA"/>
    <s v="NA"/>
    <s v="NA"/>
  </r>
  <r>
    <s v="A39BSJLRE2AQD4"/>
    <s v="english"/>
    <n v="35"/>
    <s v="male"/>
    <s v="train"/>
    <x v="2"/>
    <n v="67488"/>
    <n v="1"/>
    <n v="1"/>
    <n v="0"/>
    <n v="0"/>
    <s v="NA"/>
    <s v="NA"/>
    <s v="NA"/>
    <s v="NA"/>
    <s v="NA"/>
    <s v="NA"/>
    <s v="NA"/>
    <s v="NA"/>
    <s v="NA"/>
    <s v="NA"/>
    <s v="NA"/>
    <s v="NA"/>
    <s v="NA"/>
    <s v="NA"/>
    <s v="NA"/>
    <s v="NA"/>
    <s v="NA"/>
    <s v="NA"/>
    <s v="NA"/>
    <s v="NA"/>
  </r>
  <r>
    <s v="A39BSJLRE2AQD4"/>
    <s v="english"/>
    <n v="35"/>
    <s v="male"/>
    <s v="train"/>
    <x v="1"/>
    <n v="21589"/>
    <n v="1"/>
    <n v="1"/>
    <n v="1"/>
    <n v="0"/>
    <s v="NA"/>
    <s v="NA"/>
    <s v="NA"/>
    <s v="NA"/>
    <s v="NA"/>
    <s v="NA"/>
    <s v="NA"/>
    <s v="NA"/>
    <s v="NA"/>
    <s v="NA"/>
    <s v="NA"/>
    <s v="NA"/>
    <s v="NA"/>
    <s v="NA"/>
    <s v="NA"/>
    <s v="NA"/>
    <s v="NA"/>
    <s v="NA"/>
    <s v="NA"/>
    <s v="NA"/>
  </r>
  <r>
    <s v="A39BSJLRE2AQD4"/>
    <s v="english"/>
    <n v="35"/>
    <s v="male"/>
    <s v="test"/>
    <x v="3"/>
    <n v="106597"/>
    <n v="1"/>
    <n v="1"/>
    <n v="0"/>
    <n v="0"/>
    <s v="Bookstores D and E."/>
    <s v="Bookstores A and B."/>
    <s v="Bookstore E."/>
    <s v="ms-l"/>
    <s v="ms-h"/>
    <s v="mo-l"/>
    <n v="0"/>
    <n v="0"/>
    <n v="1"/>
    <n v="1"/>
    <n v="1"/>
    <n v="0"/>
    <n v="1"/>
    <n v="0"/>
    <n v="0"/>
    <n v="0"/>
    <n v="1"/>
    <n v="1"/>
    <n v="0"/>
    <n v="0"/>
  </r>
  <r>
    <s v="A39BSJLRE2AQD4"/>
    <s v="english"/>
    <n v="35"/>
    <s v="male"/>
    <s v="control"/>
    <x v="10"/>
    <n v="41849"/>
    <n v="1"/>
    <n v="1"/>
    <n v="0"/>
    <n v="0"/>
    <s v="NA"/>
    <s v="NA"/>
    <s v="NA"/>
    <s v="NA"/>
    <s v="NA"/>
    <s v="NA"/>
    <s v="NA"/>
    <n v="0"/>
    <n v="1"/>
    <n v="1"/>
    <n v="1"/>
    <n v="0"/>
    <n v="1"/>
    <n v="0"/>
    <n v="0"/>
    <n v="0"/>
    <n v="1"/>
    <n v="1"/>
    <n v="0"/>
    <n v="0"/>
  </r>
  <r>
    <s v="A39BSJLRE2AQD4"/>
    <s v="english"/>
    <n v="35"/>
    <s v="male"/>
    <s v="test"/>
    <x v="8"/>
    <n v="21429"/>
    <n v="0"/>
    <n v="1"/>
    <n v="0"/>
    <n v="0"/>
    <s v="Stylist E."/>
    <s v="Stylists D and E."/>
    <s v="Stylist F."/>
    <s v="mo-l"/>
    <s v="ms-l"/>
    <s v="fa"/>
    <n v="0"/>
    <n v="0"/>
    <n v="1"/>
    <n v="0"/>
    <n v="1"/>
    <n v="0"/>
    <n v="1"/>
    <n v="0"/>
    <n v="0"/>
    <n v="0"/>
    <n v="0"/>
    <n v="1"/>
    <n v="0"/>
    <n v="0"/>
  </r>
  <r>
    <s v="A39BSJLRE2AQD4"/>
    <s v="english"/>
    <n v="35"/>
    <s v="male"/>
    <s v="test"/>
    <x v="11"/>
    <n v="8682"/>
    <n v="0"/>
    <n v="1"/>
    <n v="0"/>
    <n v="0"/>
    <s v="Stores A and B."/>
    <s v="Store F."/>
    <s v="Store A."/>
    <s v="ms-h"/>
    <s v="fa"/>
    <s v="mo-h"/>
    <n v="0"/>
    <n v="1"/>
    <n v="0"/>
    <n v="1"/>
    <n v="0"/>
    <n v="0"/>
    <n v="1"/>
    <n v="0"/>
    <n v="0"/>
    <n v="0"/>
    <n v="0"/>
    <n v="0"/>
    <n v="0"/>
    <n v="0"/>
  </r>
  <r>
    <s v="A39BSJLRE2AQD4"/>
    <s v="english"/>
    <n v="35"/>
    <s v="male"/>
    <s v="control"/>
    <x v="12"/>
    <n v="11255"/>
    <n v="0"/>
    <n v="1"/>
    <n v="0"/>
    <n v="0"/>
    <s v="NA"/>
    <s v="NA"/>
    <s v="NA"/>
    <s v="NA"/>
    <s v="NA"/>
    <s v="NA"/>
    <s v="NA"/>
    <n v="1"/>
    <n v="0"/>
    <n v="1"/>
    <n v="0"/>
    <n v="0"/>
    <n v="1"/>
    <n v="0"/>
    <n v="0"/>
    <n v="0"/>
    <n v="0"/>
    <n v="0"/>
    <n v="0"/>
    <n v="0"/>
  </r>
  <r>
    <s v="A39BSJLRE2AQD4"/>
    <s v="english"/>
    <n v="35"/>
    <s v="male"/>
    <s v="test"/>
    <x v="9"/>
    <n v="17957"/>
    <n v="1"/>
    <n v="1"/>
    <n v="0"/>
    <n v="0"/>
    <s v="Stall F."/>
    <s v="Stall E."/>
    <s v="Stalls D and E."/>
    <s v="fa"/>
    <s v="mo-l"/>
    <s v="ms-l"/>
    <n v="0"/>
    <n v="0"/>
    <n v="1"/>
    <n v="0"/>
    <n v="1"/>
    <n v="0"/>
    <n v="1"/>
    <n v="0"/>
    <n v="0"/>
    <n v="1"/>
    <n v="0"/>
    <n v="0"/>
    <n v="0"/>
    <n v="0"/>
  </r>
  <r>
    <s v="A39BSJLRE2AQD4"/>
    <s v="english"/>
    <n v="35"/>
    <s v="male"/>
    <s v="control"/>
    <x v="7"/>
    <n v="14512"/>
    <n v="1"/>
    <n v="1"/>
    <n v="0"/>
    <n v="0"/>
    <s v="NA"/>
    <s v="NA"/>
    <s v="NA"/>
    <s v="NA"/>
    <s v="NA"/>
    <s v="NA"/>
    <s v="NA"/>
    <n v="0"/>
    <n v="1"/>
    <n v="0"/>
    <n v="1"/>
    <n v="0"/>
    <n v="1"/>
    <n v="0"/>
    <n v="0"/>
    <n v="1"/>
    <n v="0"/>
    <n v="0"/>
    <n v="0"/>
    <n v="0"/>
  </r>
  <r>
    <s v="A39BSJLRE2AQD4"/>
    <s v="english"/>
    <n v="35"/>
    <s v="male"/>
    <s v="test"/>
    <x v="6"/>
    <n v="18280"/>
    <n v="0"/>
    <n v="1"/>
    <n v="0"/>
    <n v="0"/>
    <s v="Cafes D and E."/>
    <s v="Cafes A, B, C, D and E."/>
    <s v="Cafe E."/>
    <s v="ms-l"/>
    <s v="exh"/>
    <s v="mo-l"/>
    <n v="1"/>
    <n v="0"/>
    <n v="1"/>
    <n v="0"/>
    <n v="1"/>
    <n v="0"/>
    <n v="1"/>
    <n v="1"/>
    <n v="0"/>
    <n v="0"/>
    <n v="0"/>
    <n v="0"/>
    <n v="0"/>
    <n v="0"/>
  </r>
  <r>
    <s v="A39BSJLRE2AQD4"/>
    <s v="english"/>
    <n v="35"/>
    <s v="male"/>
    <s v="test"/>
    <x v="4"/>
    <n v="6206"/>
    <n v="0"/>
    <n v="0"/>
    <n v="1"/>
    <n v="0"/>
    <s v="Dentist A."/>
    <s v="Dentist E."/>
    <s v="Dentists D and E."/>
    <s v="mo-h"/>
    <s v="mo-l"/>
    <s v="ms-l"/>
    <n v="0"/>
    <n v="1"/>
    <n v="1"/>
    <n v="0"/>
    <n v="1"/>
    <n v="0"/>
    <n v="1"/>
    <n v="0"/>
    <n v="0"/>
    <n v="0"/>
    <n v="0"/>
    <n v="1"/>
    <n v="0"/>
    <n v="0"/>
  </r>
  <r>
    <s v="A39BSJLRE2AQD4"/>
    <s v="english"/>
    <n v="35"/>
    <s v="male"/>
    <s v="control"/>
    <x v="5"/>
    <n v="9423"/>
    <n v="0"/>
    <n v="1"/>
    <n v="0"/>
    <n v="0"/>
    <s v="NA"/>
    <s v="NA"/>
    <s v="NA"/>
    <s v="NA"/>
    <s v="NA"/>
    <s v="NA"/>
    <s v="NA"/>
    <n v="1"/>
    <n v="1"/>
    <n v="0"/>
    <n v="1"/>
    <n v="0"/>
    <n v="1"/>
    <n v="0"/>
    <n v="0"/>
    <n v="0"/>
    <n v="0"/>
    <n v="1"/>
    <n v="0"/>
    <n v="0"/>
  </r>
  <r>
    <s v="A39BSJLRE2AQD4"/>
    <s v="english"/>
    <n v="35"/>
    <s v="male"/>
    <s v="exit_quest"/>
    <x v="0"/>
    <n v="502341"/>
    <s v="Brunch%2C that long and lazy late morning mean which stretches in to the early afternoon."/>
    <s v="No difficult its very good."/>
    <s v="nice"/>
    <s v="NA"/>
    <s v="NA"/>
    <s v="NA"/>
    <s v="NA"/>
    <s v="NA"/>
    <s v="NA"/>
    <s v="NA"/>
    <s v="NA"/>
    <s v="NA"/>
    <s v="NA"/>
    <s v="NA"/>
    <s v="NA"/>
    <s v="NA"/>
    <s v="NA"/>
    <s v="NA"/>
    <s v="NA"/>
    <s v="NA"/>
    <s v="NA"/>
    <s v="NA"/>
    <s v="NA"/>
    <s v="NA"/>
  </r>
  <r>
    <s v="A125AOX978LDG7"/>
    <s v="English "/>
    <n v="34"/>
    <s v="female"/>
    <s v="consent"/>
    <x v="0"/>
    <n v="37078"/>
    <s v="NA"/>
    <s v="NA"/>
    <s v="NA"/>
    <s v="NA"/>
    <s v="NA"/>
    <s v="NA"/>
    <s v="NA"/>
    <s v="NA"/>
    <s v="NA"/>
    <s v="NA"/>
    <s v="NA"/>
    <s v="NA"/>
    <s v="NA"/>
    <s v="NA"/>
    <s v="NA"/>
    <s v="NA"/>
    <s v="NA"/>
    <s v="NA"/>
    <s v="NA"/>
    <s v="NA"/>
    <s v="NA"/>
    <s v="NA"/>
    <s v="NA"/>
    <s v="NA"/>
  </r>
  <r>
    <s v="A125AOX978LDG7"/>
    <s v="English "/>
    <n v="34"/>
    <s v="female"/>
    <s v="train"/>
    <x v="2"/>
    <n v="49209"/>
    <n v="0"/>
    <n v="0"/>
    <n v="0"/>
    <n v="1"/>
    <s v="NA"/>
    <s v="NA"/>
    <s v="NA"/>
    <s v="NA"/>
    <s v="NA"/>
    <s v="NA"/>
    <s v="NA"/>
    <s v="NA"/>
    <s v="NA"/>
    <s v="NA"/>
    <s v="NA"/>
    <s v="NA"/>
    <s v="NA"/>
    <s v="NA"/>
    <s v="NA"/>
    <s v="NA"/>
    <s v="NA"/>
    <s v="NA"/>
    <s v="NA"/>
    <s v="NA"/>
  </r>
  <r>
    <s v="A125AOX978LDG7"/>
    <s v="English "/>
    <n v="34"/>
    <s v="female"/>
    <s v="train"/>
    <x v="1"/>
    <n v="60560"/>
    <n v="0"/>
    <n v="0"/>
    <n v="0"/>
    <n v="1"/>
    <s v="NA"/>
    <s v="NA"/>
    <s v="NA"/>
    <s v="NA"/>
    <s v="NA"/>
    <s v="NA"/>
    <s v="NA"/>
    <s v="NA"/>
    <s v="NA"/>
    <s v="NA"/>
    <s v="NA"/>
    <s v="NA"/>
    <s v="NA"/>
    <s v="NA"/>
    <s v="NA"/>
    <s v="NA"/>
    <s v="NA"/>
    <s v="NA"/>
    <s v="NA"/>
    <s v="NA"/>
  </r>
  <r>
    <s v="A125AOX978LDG7"/>
    <s v="English "/>
    <n v="34"/>
    <s v="female"/>
    <s v="test"/>
    <x v="3"/>
    <n v="69833"/>
    <n v="1"/>
    <n v="1"/>
    <n v="1"/>
    <n v="0"/>
    <s v="Bookstores A and B."/>
    <s v="Bookstores D and E."/>
    <s v="Bookstore F."/>
    <s v="ms-h"/>
    <s v="ms-l"/>
    <s v="fa"/>
    <n v="0"/>
    <n v="0"/>
    <n v="0"/>
    <n v="1"/>
    <n v="1"/>
    <n v="0"/>
    <n v="1"/>
    <n v="0"/>
    <n v="0"/>
    <n v="0"/>
    <n v="1"/>
    <n v="1"/>
    <n v="0"/>
    <n v="0"/>
  </r>
  <r>
    <s v="A125AOX978LDG7"/>
    <s v="English "/>
    <n v="34"/>
    <s v="female"/>
    <s v="test"/>
    <x v="11"/>
    <n v="59838"/>
    <n v="1"/>
    <n v="1"/>
    <n v="1"/>
    <n v="0"/>
    <s v="Store E."/>
    <s v="Store A."/>
    <s v="Stores A and B."/>
    <s v="mo-l"/>
    <s v="mo-h"/>
    <s v="ms-h"/>
    <n v="0"/>
    <n v="1"/>
    <n v="1"/>
    <n v="1"/>
    <n v="0"/>
    <n v="0"/>
    <n v="1"/>
    <n v="0"/>
    <n v="1"/>
    <n v="1"/>
    <n v="1"/>
    <n v="0"/>
    <n v="0"/>
    <n v="0"/>
  </r>
  <r>
    <s v="A125AOX978LDG7"/>
    <s v="English "/>
    <n v="34"/>
    <s v="female"/>
    <s v="control"/>
    <x v="12"/>
    <n v="28031"/>
    <n v="1"/>
    <n v="0"/>
    <n v="0"/>
    <n v="0"/>
    <s v="NA"/>
    <s v="NA"/>
    <s v="NA"/>
    <s v="NA"/>
    <s v="NA"/>
    <s v="NA"/>
    <s v="NA"/>
    <n v="1"/>
    <n v="1"/>
    <n v="1"/>
    <n v="0"/>
    <n v="0"/>
    <n v="1"/>
    <n v="0"/>
    <n v="1"/>
    <n v="1"/>
    <n v="1"/>
    <n v="0"/>
    <n v="0"/>
    <n v="0"/>
  </r>
  <r>
    <s v="A125AOX978LDG7"/>
    <s v="English "/>
    <n v="34"/>
    <s v="female"/>
    <s v="test"/>
    <x v="8"/>
    <n v="26132"/>
    <n v="1"/>
    <n v="1"/>
    <n v="1"/>
    <n v="0"/>
    <s v="Stylists D and E."/>
    <s v="Stylist E."/>
    <s v="Stylists A and B."/>
    <s v="ms-l"/>
    <s v="mo-l"/>
    <s v="ms-h"/>
    <n v="0"/>
    <n v="0"/>
    <n v="1"/>
    <n v="1"/>
    <n v="1"/>
    <n v="0"/>
    <n v="1"/>
    <n v="0"/>
    <n v="0"/>
    <n v="1"/>
    <n v="1"/>
    <n v="1"/>
    <n v="0"/>
    <n v="0"/>
  </r>
  <r>
    <s v="A125AOX978LDG7"/>
    <s v="English "/>
    <n v="34"/>
    <s v="female"/>
    <s v="test"/>
    <x v="4"/>
    <n v="27980"/>
    <n v="0"/>
    <n v="0"/>
    <n v="0"/>
    <n v="1"/>
    <s v="Dentists A and B."/>
    <s v="Dentists D and E."/>
    <s v="Dentist F."/>
    <s v="ms-h"/>
    <s v="ms-l"/>
    <s v="fa"/>
    <n v="0"/>
    <n v="0"/>
    <n v="0"/>
    <n v="1"/>
    <n v="1"/>
    <n v="0"/>
    <n v="1"/>
    <n v="0"/>
    <n v="0"/>
    <n v="0"/>
    <n v="0"/>
    <n v="0"/>
    <n v="0"/>
    <n v="1"/>
  </r>
  <r>
    <s v="A125AOX978LDG7"/>
    <s v="English "/>
    <n v="34"/>
    <s v="female"/>
    <s v="control"/>
    <x v="5"/>
    <n v="31461"/>
    <n v="0"/>
    <n v="0"/>
    <n v="0"/>
    <n v="1"/>
    <s v="NA"/>
    <s v="NA"/>
    <s v="NA"/>
    <s v="NA"/>
    <s v="NA"/>
    <s v="NA"/>
    <s v="NA"/>
    <n v="0"/>
    <n v="0"/>
    <n v="1"/>
    <n v="1"/>
    <n v="0"/>
    <n v="1"/>
    <n v="0"/>
    <n v="0"/>
    <n v="0"/>
    <n v="0"/>
    <n v="0"/>
    <n v="0"/>
    <n v="1"/>
  </r>
  <r>
    <s v="A125AOX978LDG7"/>
    <s v="English "/>
    <n v="34"/>
    <s v="female"/>
    <s v="test"/>
    <x v="9"/>
    <n v="54201"/>
    <n v="1"/>
    <n v="1"/>
    <n v="1"/>
    <n v="0"/>
    <s v="Stall A."/>
    <s v="Stall E."/>
    <s v="Stalls D and E."/>
    <s v="mo-h"/>
    <s v="mo-l"/>
    <s v="ms-l"/>
    <n v="0"/>
    <n v="1"/>
    <n v="1"/>
    <n v="0"/>
    <n v="1"/>
    <n v="0"/>
    <n v="1"/>
    <n v="0"/>
    <n v="1"/>
    <n v="1"/>
    <n v="0"/>
    <n v="1"/>
    <n v="0"/>
    <n v="0"/>
  </r>
  <r>
    <s v="A125AOX978LDG7"/>
    <s v="English "/>
    <n v="34"/>
    <s v="female"/>
    <s v="control"/>
    <x v="7"/>
    <n v="33830"/>
    <n v="1"/>
    <n v="0"/>
    <n v="0"/>
    <n v="0"/>
    <s v="NA"/>
    <s v="NA"/>
    <s v="NA"/>
    <s v="NA"/>
    <s v="NA"/>
    <s v="NA"/>
    <s v="NA"/>
    <n v="1"/>
    <n v="1"/>
    <n v="0"/>
    <n v="1"/>
    <n v="0"/>
    <n v="1"/>
    <n v="0"/>
    <n v="1"/>
    <n v="1"/>
    <n v="0"/>
    <n v="1"/>
    <n v="0"/>
    <n v="0"/>
  </r>
  <r>
    <s v="A125AOX978LDG7"/>
    <s v="English "/>
    <n v="34"/>
    <s v="female"/>
    <s v="test"/>
    <x v="6"/>
    <n v="28087"/>
    <n v="1"/>
    <n v="1"/>
    <n v="1"/>
    <n v="0"/>
    <s v="Cafe E."/>
    <s v="Cafe A."/>
    <s v="Cafes A and B."/>
    <s v="mo-l"/>
    <s v="mo-h"/>
    <s v="ms-h"/>
    <n v="0"/>
    <n v="1"/>
    <n v="1"/>
    <n v="1"/>
    <n v="0"/>
    <n v="0"/>
    <n v="1"/>
    <n v="0"/>
    <n v="1"/>
    <n v="1"/>
    <n v="1"/>
    <n v="0"/>
    <n v="0"/>
    <n v="0"/>
  </r>
  <r>
    <s v="A125AOX978LDG7"/>
    <s v="English "/>
    <n v="34"/>
    <s v="female"/>
    <s v="control"/>
    <x v="10"/>
    <n v="30029"/>
    <n v="0"/>
    <n v="0"/>
    <n v="0"/>
    <n v="1"/>
    <s v="NA"/>
    <s v="NA"/>
    <s v="NA"/>
    <s v="NA"/>
    <s v="NA"/>
    <s v="NA"/>
    <s v="NA"/>
    <n v="1"/>
    <n v="1"/>
    <n v="1"/>
    <n v="0"/>
    <n v="0"/>
    <n v="1"/>
    <n v="0"/>
    <n v="1"/>
    <n v="1"/>
    <n v="1"/>
    <n v="0"/>
    <n v="0"/>
    <n v="0"/>
  </r>
  <r>
    <s v="A125AOX978LDG7"/>
    <s v="English "/>
    <n v="34"/>
    <s v="female"/>
    <s v="exit_quest"/>
    <x v="0"/>
    <n v="131511"/>
    <s v="I wouldn‚Äôt answer differently because the questions are the same except they are worded differently.¬†"/>
    <s v="No."/>
    <s v="Not at the moment.¬†"/>
    <s v="NA"/>
    <s v="NA"/>
    <s v="NA"/>
    <s v="NA"/>
    <s v="NA"/>
    <s v="NA"/>
    <s v="NA"/>
    <s v="NA"/>
    <s v="NA"/>
    <s v="NA"/>
    <s v="NA"/>
    <s v="NA"/>
    <s v="NA"/>
    <s v="NA"/>
    <s v="NA"/>
    <s v="NA"/>
    <s v="NA"/>
    <s v="NA"/>
    <s v="NA"/>
    <s v="NA"/>
    <s v="NA"/>
  </r>
  <r>
    <s v="A20Q6LGMUJLJDG"/>
    <s v="english"/>
    <n v="40"/>
    <s v="female"/>
    <s v="consent"/>
    <x v="0"/>
    <n v="42851"/>
    <s v="NA"/>
    <s v="NA"/>
    <s v="NA"/>
    <s v="NA"/>
    <s v="NA"/>
    <s v="NA"/>
    <s v="NA"/>
    <s v="NA"/>
    <s v="NA"/>
    <s v="NA"/>
    <s v="NA"/>
    <s v="NA"/>
    <s v="NA"/>
    <s v="NA"/>
    <s v="NA"/>
    <s v="NA"/>
    <s v="NA"/>
    <s v="NA"/>
    <s v="NA"/>
    <s v="NA"/>
    <s v="NA"/>
    <s v="NA"/>
    <s v="NA"/>
    <s v="NA"/>
  </r>
  <r>
    <s v="A20Q6LGMUJLJDG"/>
    <s v="english"/>
    <n v="40"/>
    <s v="female"/>
    <s v="train"/>
    <x v="1"/>
    <n v="56702"/>
    <n v="0"/>
    <n v="0"/>
    <n v="1"/>
    <n v="0"/>
    <s v="NA"/>
    <s v="NA"/>
    <s v="NA"/>
    <s v="NA"/>
    <s v="NA"/>
    <s v="NA"/>
    <s v="NA"/>
    <s v="NA"/>
    <s v="NA"/>
    <s v="NA"/>
    <s v="NA"/>
    <s v="NA"/>
    <s v="NA"/>
    <s v="NA"/>
    <s v="NA"/>
    <s v="NA"/>
    <s v="NA"/>
    <s v="NA"/>
    <s v="NA"/>
    <s v="NA"/>
  </r>
  <r>
    <s v="A20Q6LGMUJLJDG"/>
    <s v="english"/>
    <n v="40"/>
    <s v="female"/>
    <s v="train"/>
    <x v="2"/>
    <n v="58060"/>
    <n v="0"/>
    <n v="1"/>
    <n v="0"/>
    <n v="0"/>
    <s v="NA"/>
    <s v="NA"/>
    <s v="NA"/>
    <s v="NA"/>
    <s v="NA"/>
    <s v="NA"/>
    <s v="NA"/>
    <s v="NA"/>
    <s v="NA"/>
    <s v="NA"/>
    <s v="NA"/>
    <s v="NA"/>
    <s v="NA"/>
    <s v="NA"/>
    <s v="NA"/>
    <s v="NA"/>
    <s v="NA"/>
    <s v="NA"/>
    <s v="NA"/>
    <s v="NA"/>
  </r>
  <r>
    <s v="A20Q6LGMUJLJDG"/>
    <s v="english"/>
    <n v="40"/>
    <s v="female"/>
    <s v="test"/>
    <x v="11"/>
    <n v="235265"/>
    <n v="0"/>
    <n v="1"/>
    <n v="0"/>
    <n v="0"/>
    <s v="Stores D and E."/>
    <s v="Store A."/>
    <s v="Stores A and B."/>
    <s v="ms-l"/>
    <s v="mo-h"/>
    <s v="ms-h"/>
    <n v="0"/>
    <n v="1"/>
    <n v="0"/>
    <n v="1"/>
    <n v="1"/>
    <n v="0"/>
    <n v="1"/>
    <n v="0"/>
    <n v="1"/>
    <n v="0"/>
    <n v="0"/>
    <n v="0"/>
    <n v="0"/>
    <n v="0"/>
  </r>
  <r>
    <s v="A20Q6LGMUJLJDG"/>
    <s v="english"/>
    <n v="40"/>
    <s v="female"/>
    <s v="test"/>
    <x v="6"/>
    <n v="72552"/>
    <n v="1"/>
    <n v="1"/>
    <n v="1"/>
    <n v="0"/>
    <s v="Cafe A."/>
    <s v="Cafe F."/>
    <s v="Cafes A and B."/>
    <s v="mo-h"/>
    <s v="fa"/>
    <s v="ms-h"/>
    <n v="0"/>
    <n v="1"/>
    <n v="0"/>
    <n v="1"/>
    <n v="0"/>
    <n v="0"/>
    <n v="1"/>
    <n v="0"/>
    <n v="1"/>
    <n v="0"/>
    <n v="1"/>
    <n v="0"/>
    <n v="0"/>
    <n v="0"/>
  </r>
  <r>
    <s v="A20Q6LGMUJLJDG"/>
    <s v="english"/>
    <n v="40"/>
    <s v="female"/>
    <s v="control"/>
    <x v="5"/>
    <n v="14094"/>
    <n v="0"/>
    <n v="1"/>
    <n v="0"/>
    <n v="0"/>
    <s v="NA"/>
    <s v="NA"/>
    <s v="NA"/>
    <s v="NA"/>
    <s v="NA"/>
    <s v="NA"/>
    <s v="NA"/>
    <n v="1"/>
    <n v="0"/>
    <n v="1"/>
    <n v="0"/>
    <n v="0"/>
    <n v="1"/>
    <n v="0"/>
    <n v="1"/>
    <n v="0"/>
    <n v="1"/>
    <n v="0"/>
    <n v="0"/>
    <n v="0"/>
  </r>
  <r>
    <s v="A20Q6LGMUJLJDG"/>
    <s v="english"/>
    <n v="40"/>
    <s v="female"/>
    <s v="test"/>
    <x v="8"/>
    <n v="9770"/>
    <n v="0"/>
    <n v="0"/>
    <n v="1"/>
    <n v="0"/>
    <s v="Stylist A."/>
    <s v="Stylists D and E."/>
    <s v="Stylists A and B."/>
    <s v="mo-h"/>
    <s v="ms-l"/>
    <s v="ms-h"/>
    <n v="0"/>
    <n v="1"/>
    <n v="0"/>
    <n v="1"/>
    <n v="1"/>
    <n v="0"/>
    <n v="1"/>
    <n v="0"/>
    <n v="0"/>
    <n v="0"/>
    <n v="1"/>
    <n v="0"/>
    <n v="0"/>
    <n v="0"/>
  </r>
  <r>
    <s v="A20Q6LGMUJLJDG"/>
    <s v="english"/>
    <n v="40"/>
    <s v="female"/>
    <s v="test"/>
    <x v="9"/>
    <n v="9526"/>
    <n v="1"/>
    <n v="0"/>
    <n v="0"/>
    <n v="0"/>
    <s v="Stall A."/>
    <s v="Stall E."/>
    <s v="Stalls A, B, C, D and E."/>
    <s v="mo-h"/>
    <s v="mo-l"/>
    <s v="exh"/>
    <n v="1"/>
    <n v="1"/>
    <n v="1"/>
    <n v="0"/>
    <n v="0"/>
    <n v="0"/>
    <n v="1"/>
    <n v="0"/>
    <n v="1"/>
    <n v="0"/>
    <n v="0"/>
    <n v="0"/>
    <n v="0"/>
    <n v="0"/>
  </r>
  <r>
    <s v="A20Q6LGMUJLJDG"/>
    <s v="english"/>
    <n v="40"/>
    <s v="female"/>
    <s v="control"/>
    <x v="7"/>
    <n v="9655"/>
    <n v="0"/>
    <n v="1"/>
    <n v="0"/>
    <n v="0"/>
    <s v="NA"/>
    <s v="NA"/>
    <s v="NA"/>
    <s v="NA"/>
    <s v="NA"/>
    <s v="NA"/>
    <s v="NA"/>
    <n v="1"/>
    <n v="1"/>
    <n v="0"/>
    <n v="0"/>
    <n v="0"/>
    <n v="1"/>
    <n v="0"/>
    <n v="1"/>
    <n v="0"/>
    <n v="0"/>
    <n v="0"/>
    <n v="0"/>
    <n v="0"/>
  </r>
  <r>
    <s v="A20Q6LGMUJLJDG"/>
    <s v="english"/>
    <n v="40"/>
    <s v="female"/>
    <s v="test"/>
    <x v="4"/>
    <n v="18617"/>
    <n v="0"/>
    <n v="1"/>
    <n v="0"/>
    <n v="0"/>
    <s v="Dentist F."/>
    <s v="Dentist A."/>
    <s v="Dentists D and E."/>
    <s v="fa"/>
    <s v="mo-h"/>
    <s v="ms-l"/>
    <n v="0"/>
    <n v="1"/>
    <n v="0"/>
    <n v="0"/>
    <n v="1"/>
    <n v="0"/>
    <n v="1"/>
    <n v="0"/>
    <n v="1"/>
    <n v="0"/>
    <n v="0"/>
    <n v="0"/>
    <n v="0"/>
    <n v="0"/>
  </r>
  <r>
    <s v="A20Q6LGMUJLJDG"/>
    <s v="english"/>
    <n v="40"/>
    <s v="female"/>
    <s v="control"/>
    <x v="12"/>
    <n v="44457"/>
    <n v="1"/>
    <n v="0"/>
    <n v="0"/>
    <n v="0"/>
    <s v="NA"/>
    <s v="NA"/>
    <s v="NA"/>
    <s v="NA"/>
    <s v="NA"/>
    <s v="NA"/>
    <s v="NA"/>
    <n v="1"/>
    <n v="0"/>
    <n v="0"/>
    <n v="1"/>
    <n v="0"/>
    <n v="1"/>
    <n v="0"/>
    <n v="1"/>
    <n v="0"/>
    <n v="0"/>
    <n v="0"/>
    <n v="0"/>
    <n v="0"/>
  </r>
  <r>
    <s v="A20Q6LGMUJLJDG"/>
    <s v="english"/>
    <n v="40"/>
    <s v="female"/>
    <s v="test"/>
    <x v="3"/>
    <n v="91577"/>
    <n v="1"/>
    <n v="0"/>
    <n v="0"/>
    <n v="0"/>
    <s v="Bookstores D and E."/>
    <s v="Bookstore A."/>
    <s v="Bookstores A and B."/>
    <s v="ms-l"/>
    <s v="mo-h"/>
    <s v="ms-h"/>
    <n v="0"/>
    <n v="1"/>
    <n v="0"/>
    <n v="1"/>
    <n v="1"/>
    <n v="0"/>
    <n v="1"/>
    <n v="0"/>
    <n v="0"/>
    <n v="0"/>
    <n v="0"/>
    <n v="1"/>
    <n v="0"/>
    <n v="0"/>
  </r>
  <r>
    <s v="A20Q6LGMUJLJDG"/>
    <s v="english"/>
    <n v="40"/>
    <s v="female"/>
    <s v="control"/>
    <x v="10"/>
    <n v="29877"/>
    <n v="0"/>
    <n v="1"/>
    <n v="0"/>
    <n v="0"/>
    <s v="NA"/>
    <s v="NA"/>
    <s v="NA"/>
    <s v="NA"/>
    <s v="NA"/>
    <s v="NA"/>
    <s v="NA"/>
    <n v="1"/>
    <n v="0"/>
    <n v="1"/>
    <n v="1"/>
    <n v="0"/>
    <n v="1"/>
    <n v="0"/>
    <n v="0"/>
    <n v="0"/>
    <n v="0"/>
    <n v="1"/>
    <n v="0"/>
    <n v="0"/>
  </r>
  <r>
    <s v="A20Q6LGMUJLJDG"/>
    <s v="english"/>
    <n v="40"/>
    <s v="female"/>
    <s v="exit_quest"/>
    <x v="0"/>
    <n v="146257"/>
    <s v="NONE"/>
    <s v="NO"/>
    <s v="nice"/>
    <s v="NA"/>
    <s v="NA"/>
    <s v="NA"/>
    <s v="NA"/>
    <s v="NA"/>
    <s v="NA"/>
    <s v="NA"/>
    <s v="NA"/>
    <s v="NA"/>
    <s v="NA"/>
    <s v="NA"/>
    <s v="NA"/>
    <s v="NA"/>
    <s v="NA"/>
    <s v="NA"/>
    <s v="NA"/>
    <s v="NA"/>
    <s v="NA"/>
    <s v="NA"/>
    <s v="NA"/>
    <s v="NA"/>
  </r>
  <r>
    <s v="A264G2H7KNNP3C"/>
    <s v="english"/>
    <n v="31"/>
    <s v="male"/>
    <s v="consent"/>
    <x v="0"/>
    <n v="31531"/>
    <s v="NA"/>
    <s v="NA"/>
    <s v="NA"/>
    <s v="NA"/>
    <s v="NA"/>
    <s v="NA"/>
    <s v="NA"/>
    <s v="NA"/>
    <s v="NA"/>
    <s v="NA"/>
    <s v="NA"/>
    <s v="NA"/>
    <s v="NA"/>
    <s v="NA"/>
    <s v="NA"/>
    <s v="NA"/>
    <s v="NA"/>
    <s v="NA"/>
    <s v="NA"/>
    <s v="NA"/>
    <s v="NA"/>
    <s v="NA"/>
    <s v="NA"/>
    <s v="NA"/>
  </r>
  <r>
    <s v="A264G2H7KNNP3C"/>
    <s v="english"/>
    <n v="31"/>
    <s v="male"/>
    <s v="train"/>
    <x v="2"/>
    <n v="59373"/>
    <n v="0"/>
    <n v="0"/>
    <n v="0"/>
    <n v="1"/>
    <s v="NA"/>
    <s v="NA"/>
    <s v="NA"/>
    <s v="NA"/>
    <s v="NA"/>
    <s v="NA"/>
    <s v="NA"/>
    <s v="NA"/>
    <s v="NA"/>
    <s v="NA"/>
    <s v="NA"/>
    <s v="NA"/>
    <s v="NA"/>
    <s v="NA"/>
    <s v="NA"/>
    <s v="NA"/>
    <s v="NA"/>
    <s v="NA"/>
    <s v="NA"/>
    <s v="NA"/>
  </r>
  <r>
    <s v="A264G2H7KNNP3C"/>
    <s v="english"/>
    <n v="31"/>
    <s v="male"/>
    <s v="train"/>
    <x v="1"/>
    <n v="58597"/>
    <n v="0"/>
    <n v="0"/>
    <n v="1"/>
    <n v="0"/>
    <s v="NA"/>
    <s v="NA"/>
    <s v="NA"/>
    <s v="NA"/>
    <s v="NA"/>
    <s v="NA"/>
    <s v="NA"/>
    <s v="NA"/>
    <s v="NA"/>
    <s v="NA"/>
    <s v="NA"/>
    <s v="NA"/>
    <s v="NA"/>
    <s v="NA"/>
    <s v="NA"/>
    <s v="NA"/>
    <s v="NA"/>
    <s v="NA"/>
    <s v="NA"/>
    <s v="NA"/>
  </r>
  <r>
    <s v="A264G2H7KNNP3C"/>
    <s v="english"/>
    <n v="31"/>
    <s v="male"/>
    <s v="test"/>
    <x v="3"/>
    <n v="39805"/>
    <n v="0"/>
    <n v="1"/>
    <n v="0"/>
    <n v="0"/>
    <s v="Bookstore E."/>
    <s v="Bookstore A."/>
    <s v="Bookstore F."/>
    <s v="mo-l"/>
    <s v="mo-h"/>
    <s v="fa"/>
    <n v="0"/>
    <n v="1"/>
    <n v="1"/>
    <n v="0"/>
    <n v="0"/>
    <n v="0"/>
    <n v="1"/>
    <n v="0"/>
    <n v="1"/>
    <n v="0"/>
    <n v="0"/>
    <n v="0"/>
    <n v="0"/>
    <n v="0"/>
  </r>
  <r>
    <s v="A264G2H7KNNP3C"/>
    <s v="english"/>
    <n v="31"/>
    <s v="male"/>
    <s v="test"/>
    <x v="11"/>
    <n v="73008"/>
    <n v="0"/>
    <n v="1"/>
    <n v="1"/>
    <n v="0"/>
    <s v="Store F."/>
    <s v="Store A."/>
    <s v="Stores A, B, C, D and E."/>
    <s v="fa"/>
    <s v="mo-h"/>
    <s v="exh"/>
    <n v="1"/>
    <n v="1"/>
    <n v="0"/>
    <n v="0"/>
    <n v="0"/>
    <n v="0"/>
    <n v="1"/>
    <n v="1"/>
    <n v="1"/>
    <n v="0"/>
    <n v="0"/>
    <n v="0"/>
    <n v="0"/>
    <n v="0"/>
  </r>
  <r>
    <s v="A264G2H7KNNP3C"/>
    <s v="english"/>
    <n v="31"/>
    <s v="male"/>
    <s v="control"/>
    <x v="12"/>
    <n v="37400"/>
    <n v="1"/>
    <n v="0"/>
    <n v="0"/>
    <n v="0"/>
    <s v="NA"/>
    <s v="NA"/>
    <s v="NA"/>
    <s v="NA"/>
    <s v="NA"/>
    <s v="NA"/>
    <s v="NA"/>
    <n v="1"/>
    <n v="0"/>
    <n v="0"/>
    <n v="0"/>
    <n v="0"/>
    <n v="1"/>
    <n v="1"/>
    <n v="1"/>
    <n v="0"/>
    <n v="0"/>
    <n v="0"/>
    <n v="0"/>
    <n v="0"/>
  </r>
  <r>
    <s v="A264G2H7KNNP3C"/>
    <s v="english"/>
    <n v="31"/>
    <s v="male"/>
    <s v="test"/>
    <x v="6"/>
    <n v="16805"/>
    <n v="0"/>
    <n v="1"/>
    <n v="1"/>
    <n v="0"/>
    <s v="Cafes D and E."/>
    <s v="Cafe A."/>
    <s v="Cafes A and B."/>
    <s v="ms-l"/>
    <s v="mo-h"/>
    <s v="ms-h"/>
    <n v="0"/>
    <n v="1"/>
    <n v="0"/>
    <n v="1"/>
    <n v="1"/>
    <n v="0"/>
    <n v="1"/>
    <n v="0"/>
    <n v="1"/>
    <n v="0"/>
    <n v="1"/>
    <n v="0"/>
    <n v="0"/>
    <n v="0"/>
  </r>
  <r>
    <s v="A264G2H7KNNP3C"/>
    <s v="english"/>
    <n v="31"/>
    <s v="male"/>
    <s v="control"/>
    <x v="7"/>
    <n v="33558"/>
    <n v="1"/>
    <n v="1"/>
    <n v="0"/>
    <n v="0"/>
    <s v="NA"/>
    <s v="NA"/>
    <s v="NA"/>
    <s v="NA"/>
    <s v="NA"/>
    <s v="NA"/>
    <s v="NA"/>
    <n v="1"/>
    <n v="0"/>
    <n v="1"/>
    <n v="1"/>
    <n v="0"/>
    <n v="1"/>
    <n v="0"/>
    <n v="1"/>
    <n v="0"/>
    <n v="1"/>
    <n v="0"/>
    <n v="0"/>
    <n v="0"/>
  </r>
  <r>
    <s v="A264G2H7KNNP3C"/>
    <s v="english"/>
    <n v="31"/>
    <s v="male"/>
    <s v="test"/>
    <x v="4"/>
    <n v="30877"/>
    <n v="0"/>
    <n v="0"/>
    <n v="0"/>
    <n v="1"/>
    <s v="Dentists A and B."/>
    <s v="Dentist A."/>
    <s v="Dentist E."/>
    <s v="ms-h"/>
    <s v="mo-h"/>
    <s v="mo-l"/>
    <n v="0"/>
    <n v="1"/>
    <n v="1"/>
    <n v="1"/>
    <n v="0"/>
    <n v="0"/>
    <n v="1"/>
    <n v="0"/>
    <n v="0"/>
    <n v="0"/>
    <n v="0"/>
    <n v="0"/>
    <n v="0"/>
    <n v="1"/>
  </r>
  <r>
    <s v="A264G2H7KNNP3C"/>
    <s v="english"/>
    <n v="31"/>
    <s v="male"/>
    <s v="test"/>
    <x v="8"/>
    <n v="119003"/>
    <n v="0"/>
    <n v="1"/>
    <n v="0"/>
    <n v="0"/>
    <s v="Stylist E."/>
    <s v="Stylists A and B."/>
    <s v="Stylist F."/>
    <s v="mo-l"/>
    <s v="ms-h"/>
    <s v="fa"/>
    <n v="0"/>
    <n v="0"/>
    <n v="1"/>
    <n v="1"/>
    <n v="0"/>
    <n v="0"/>
    <n v="1"/>
    <n v="0"/>
    <n v="0"/>
    <n v="0"/>
    <n v="1"/>
    <n v="0"/>
    <n v="0"/>
    <n v="0"/>
  </r>
  <r>
    <s v="A264G2H7KNNP3C"/>
    <s v="english"/>
    <n v="31"/>
    <s v="male"/>
    <s v="control"/>
    <x v="10"/>
    <n v="26788"/>
    <n v="0"/>
    <n v="1"/>
    <n v="0"/>
    <n v="0"/>
    <s v="NA"/>
    <s v="NA"/>
    <s v="NA"/>
    <s v="NA"/>
    <s v="NA"/>
    <s v="NA"/>
    <s v="NA"/>
    <n v="0"/>
    <n v="1"/>
    <n v="1"/>
    <n v="0"/>
    <n v="0"/>
    <n v="1"/>
    <n v="0"/>
    <n v="0"/>
    <n v="0"/>
    <n v="1"/>
    <n v="0"/>
    <n v="0"/>
    <n v="0"/>
  </r>
  <r>
    <s v="A264G2H7KNNP3C"/>
    <s v="english"/>
    <n v="31"/>
    <s v="male"/>
    <s v="test"/>
    <x v="9"/>
    <n v="61427"/>
    <n v="0"/>
    <n v="0"/>
    <n v="0"/>
    <n v="1"/>
    <s v="Stall E."/>
    <s v="Stalls A and B."/>
    <s v="Stall A."/>
    <s v="mo-l"/>
    <s v="ms-h"/>
    <s v="mo-h"/>
    <n v="0"/>
    <n v="1"/>
    <n v="1"/>
    <n v="1"/>
    <n v="0"/>
    <n v="0"/>
    <n v="1"/>
    <n v="0"/>
    <n v="0"/>
    <n v="0"/>
    <n v="0"/>
    <n v="0"/>
    <n v="0"/>
    <n v="1"/>
  </r>
  <r>
    <s v="A264G2H7KNNP3C"/>
    <s v="english"/>
    <n v="31"/>
    <s v="male"/>
    <s v="control"/>
    <x v="5"/>
    <n v="25295"/>
    <n v="0"/>
    <n v="0"/>
    <n v="0"/>
    <n v="1"/>
    <s v="NA"/>
    <s v="NA"/>
    <s v="NA"/>
    <s v="NA"/>
    <s v="NA"/>
    <s v="NA"/>
    <s v="NA"/>
    <n v="1"/>
    <n v="1"/>
    <n v="1"/>
    <n v="0"/>
    <n v="0"/>
    <n v="1"/>
    <n v="0"/>
    <n v="0"/>
    <n v="0"/>
    <n v="0"/>
    <n v="0"/>
    <n v="0"/>
    <n v="1"/>
  </r>
  <r>
    <s v="A264G2H7KNNP3C"/>
    <s v="english"/>
    <n v="31"/>
    <s v="male"/>
    <s v="exit_quest"/>
    <x v="0"/>
    <n v="351807"/>
    <s v="The difference is knowing what places serve brunch%2C -or- what place would I suggest someone go specifically."/>
    <s v="It was not difficult. It felt to be a very simple survey on understanding of language of speech. "/>
    <m/>
    <s v="NA"/>
    <s v="NA"/>
    <s v="NA"/>
    <s v="NA"/>
    <s v="NA"/>
    <s v="NA"/>
    <s v="NA"/>
    <s v="NA"/>
    <s v="NA"/>
    <s v="NA"/>
    <s v="NA"/>
    <s v="NA"/>
    <s v="NA"/>
    <s v="NA"/>
    <s v="NA"/>
    <s v="NA"/>
    <s v="NA"/>
    <s v="NA"/>
    <s v="NA"/>
    <s v="NA"/>
    <s v="NA"/>
  </r>
  <r>
    <s v="A2RC8VX4LS3WQW"/>
    <s v="english"/>
    <n v="29"/>
    <s v="female"/>
    <s v="consent"/>
    <x v="0"/>
    <n v="176206"/>
    <s v="NA"/>
    <s v="NA"/>
    <s v="NA"/>
    <s v="NA"/>
    <s v="NA"/>
    <s v="NA"/>
    <s v="NA"/>
    <s v="NA"/>
    <s v="NA"/>
    <s v="NA"/>
    <s v="NA"/>
    <s v="NA"/>
    <s v="NA"/>
    <s v="NA"/>
    <s v="NA"/>
    <s v="NA"/>
    <s v="NA"/>
    <s v="NA"/>
    <s v="NA"/>
    <s v="NA"/>
    <s v="NA"/>
    <s v="NA"/>
    <s v="NA"/>
    <s v="NA"/>
  </r>
  <r>
    <s v="A2RC8VX4LS3WQW"/>
    <s v="english"/>
    <n v="29"/>
    <s v="female"/>
    <s v="train"/>
    <x v="1"/>
    <n v="43383"/>
    <n v="0"/>
    <n v="0"/>
    <n v="1"/>
    <n v="0"/>
    <s v="NA"/>
    <s v="NA"/>
    <s v="NA"/>
    <s v="NA"/>
    <s v="NA"/>
    <s v="NA"/>
    <s v="NA"/>
    <s v="NA"/>
    <s v="NA"/>
    <s v="NA"/>
    <s v="NA"/>
    <s v="NA"/>
    <s v="NA"/>
    <s v="NA"/>
    <s v="NA"/>
    <s v="NA"/>
    <s v="NA"/>
    <s v="NA"/>
    <s v="NA"/>
    <s v="NA"/>
  </r>
  <r>
    <s v="A2RC8VX4LS3WQW"/>
    <s v="english"/>
    <n v="29"/>
    <s v="female"/>
    <s v="train"/>
    <x v="2"/>
    <n v="37896"/>
    <n v="0"/>
    <n v="0"/>
    <n v="0"/>
    <n v="1"/>
    <s v="NA"/>
    <s v="NA"/>
    <s v="NA"/>
    <s v="NA"/>
    <s v="NA"/>
    <s v="NA"/>
    <s v="NA"/>
    <s v="NA"/>
    <s v="NA"/>
    <s v="NA"/>
    <s v="NA"/>
    <s v="NA"/>
    <s v="NA"/>
    <s v="NA"/>
    <s v="NA"/>
    <s v="NA"/>
    <s v="NA"/>
    <s v="NA"/>
    <s v="NA"/>
    <s v="NA"/>
  </r>
  <r>
    <s v="A2RC8VX4LS3WQW"/>
    <s v="english"/>
    <n v="29"/>
    <s v="female"/>
    <s v="test"/>
    <x v="11"/>
    <n v="101767"/>
    <n v="0"/>
    <n v="0"/>
    <n v="0"/>
    <n v="1"/>
    <s v="Store E."/>
    <s v="Stores A and B."/>
    <s v="Stores D and E."/>
    <s v="mo-l"/>
    <s v="ms-h"/>
    <s v="ms-l"/>
    <n v="0"/>
    <n v="0"/>
    <n v="1"/>
    <n v="1"/>
    <n v="1"/>
    <n v="0"/>
    <n v="1"/>
    <n v="0"/>
    <n v="0"/>
    <n v="0"/>
    <n v="0"/>
    <n v="0"/>
    <n v="0"/>
    <n v="1"/>
  </r>
  <r>
    <s v="A2RC8VX4LS3WQW"/>
    <s v="english"/>
    <n v="29"/>
    <s v="female"/>
    <s v="test"/>
    <x v="8"/>
    <n v="46061"/>
    <n v="1"/>
    <n v="1"/>
    <n v="1"/>
    <n v="0"/>
    <s v="Stylist A."/>
    <s v="Stylists A and B."/>
    <s v="Stylists D and E."/>
    <s v="mo-h"/>
    <s v="ms-h"/>
    <s v="ms-l"/>
    <n v="0"/>
    <n v="1"/>
    <n v="0"/>
    <n v="1"/>
    <n v="1"/>
    <n v="0"/>
    <n v="1"/>
    <n v="0"/>
    <n v="1"/>
    <n v="0"/>
    <n v="1"/>
    <n v="1"/>
    <n v="0"/>
    <n v="0"/>
  </r>
  <r>
    <s v="A2RC8VX4LS3WQW"/>
    <s v="english"/>
    <n v="29"/>
    <s v="female"/>
    <s v="control"/>
    <x v="5"/>
    <n v="53968"/>
    <n v="0"/>
    <n v="0"/>
    <n v="1"/>
    <n v="0"/>
    <s v="NA"/>
    <s v="NA"/>
    <s v="NA"/>
    <s v="NA"/>
    <s v="NA"/>
    <s v="NA"/>
    <s v="NA"/>
    <n v="1"/>
    <n v="0"/>
    <n v="1"/>
    <n v="1"/>
    <n v="0"/>
    <n v="1"/>
    <n v="0"/>
    <n v="1"/>
    <n v="0"/>
    <n v="1"/>
    <n v="1"/>
    <n v="0"/>
    <n v="0"/>
  </r>
  <r>
    <s v="A2RC8VX4LS3WQW"/>
    <s v="english"/>
    <n v="29"/>
    <s v="female"/>
    <s v="test"/>
    <x v="9"/>
    <n v="46282"/>
    <n v="0"/>
    <n v="0"/>
    <n v="0"/>
    <n v="1"/>
    <s v="Stalls A and B."/>
    <s v="Stall F."/>
    <s v="Stall E."/>
    <s v="ms-h"/>
    <s v="fa"/>
    <s v="mo-l"/>
    <n v="0"/>
    <n v="0"/>
    <n v="1"/>
    <n v="1"/>
    <n v="0"/>
    <n v="0"/>
    <n v="1"/>
    <n v="0"/>
    <n v="0"/>
    <n v="0"/>
    <n v="0"/>
    <n v="0"/>
    <n v="0"/>
    <n v="1"/>
  </r>
  <r>
    <s v="A2RC8VX4LS3WQW"/>
    <s v="english"/>
    <n v="29"/>
    <s v="female"/>
    <s v="control"/>
    <x v="10"/>
    <n v="37714"/>
    <n v="0"/>
    <n v="0"/>
    <n v="1"/>
    <n v="0"/>
    <s v="NA"/>
    <s v="NA"/>
    <s v="NA"/>
    <s v="NA"/>
    <s v="NA"/>
    <s v="NA"/>
    <s v="NA"/>
    <n v="0"/>
    <n v="1"/>
    <n v="1"/>
    <n v="0"/>
    <n v="0"/>
    <n v="1"/>
    <n v="0"/>
    <n v="0"/>
    <n v="0"/>
    <n v="0"/>
    <n v="0"/>
    <n v="0"/>
    <n v="1"/>
  </r>
  <r>
    <s v="A2RC8VX4LS3WQW"/>
    <s v="english"/>
    <n v="29"/>
    <s v="female"/>
    <s v="test"/>
    <x v="4"/>
    <n v="51582"/>
    <n v="0"/>
    <n v="0"/>
    <n v="0"/>
    <n v="1"/>
    <s v="Dentist E."/>
    <s v="Dentist A."/>
    <s v="Dentists D and E."/>
    <s v="mo-l"/>
    <s v="mo-h"/>
    <s v="ms-l"/>
    <n v="0"/>
    <n v="1"/>
    <n v="1"/>
    <n v="0"/>
    <n v="1"/>
    <n v="0"/>
    <n v="1"/>
    <n v="0"/>
    <n v="0"/>
    <n v="0"/>
    <n v="0"/>
    <n v="0"/>
    <n v="0"/>
    <n v="1"/>
  </r>
  <r>
    <s v="A2RC8VX4LS3WQW"/>
    <s v="english"/>
    <n v="29"/>
    <s v="female"/>
    <s v="test"/>
    <x v="6"/>
    <n v="35810"/>
    <n v="0"/>
    <n v="0"/>
    <n v="0"/>
    <n v="1"/>
    <s v="Cafe F."/>
    <s v="Cafes A and B."/>
    <s v="Cafe E."/>
    <s v="fa"/>
    <s v="ms-h"/>
    <s v="mo-l"/>
    <n v="0"/>
    <n v="0"/>
    <n v="1"/>
    <n v="1"/>
    <n v="0"/>
    <n v="0"/>
    <n v="1"/>
    <n v="0"/>
    <n v="0"/>
    <n v="0"/>
    <n v="0"/>
    <n v="0"/>
    <n v="0"/>
    <n v="1"/>
  </r>
  <r>
    <s v="A2RC8VX4LS3WQW"/>
    <s v="english"/>
    <n v="29"/>
    <s v="female"/>
    <s v="control"/>
    <x v="7"/>
    <n v="27847"/>
    <n v="1"/>
    <n v="0"/>
    <n v="0"/>
    <n v="0"/>
    <s v="NA"/>
    <s v="NA"/>
    <s v="NA"/>
    <s v="NA"/>
    <s v="NA"/>
    <s v="NA"/>
    <s v="NA"/>
    <n v="0"/>
    <n v="1"/>
    <n v="1"/>
    <n v="0"/>
    <n v="0"/>
    <n v="1"/>
    <n v="0"/>
    <n v="0"/>
    <n v="0"/>
    <n v="0"/>
    <n v="0"/>
    <n v="0"/>
    <n v="1"/>
  </r>
  <r>
    <s v="A2RC8VX4LS3WQW"/>
    <s v="english"/>
    <n v="29"/>
    <s v="female"/>
    <s v="test"/>
    <x v="3"/>
    <n v="14307"/>
    <n v="0"/>
    <n v="0"/>
    <n v="0"/>
    <n v="1"/>
    <s v="Bookstore F."/>
    <s v="Bookstores D and E."/>
    <s v="Bookstores A and B."/>
    <s v="fa"/>
    <s v="ms-l"/>
    <s v="ms-h"/>
    <n v="0"/>
    <n v="0"/>
    <n v="0"/>
    <n v="1"/>
    <n v="1"/>
    <n v="0"/>
    <n v="1"/>
    <n v="0"/>
    <n v="0"/>
    <n v="0"/>
    <n v="0"/>
    <n v="0"/>
    <n v="0"/>
    <n v="1"/>
  </r>
  <r>
    <s v="A2RC8VX4LS3WQW"/>
    <s v="english"/>
    <n v="29"/>
    <s v="female"/>
    <s v="control"/>
    <x v="12"/>
    <n v="28998"/>
    <n v="1"/>
    <n v="0"/>
    <n v="0"/>
    <n v="0"/>
    <s v="NA"/>
    <s v="NA"/>
    <s v="NA"/>
    <s v="NA"/>
    <s v="NA"/>
    <s v="NA"/>
    <s v="NA"/>
    <n v="0"/>
    <n v="0"/>
    <n v="1"/>
    <n v="1"/>
    <n v="0"/>
    <n v="1"/>
    <n v="0"/>
    <n v="0"/>
    <n v="0"/>
    <n v="0"/>
    <n v="0"/>
    <n v="0"/>
    <n v="1"/>
  </r>
  <r>
    <s v="A2RC8VX4LS3WQW"/>
    <s v="english"/>
    <n v="29"/>
    <s v="female"/>
    <s v="exit_quest"/>
    <x v="0"/>
    <n v="77872"/>
    <s v="Yes%2C one question is asking for a list of places. While the other one is seeking a recommendation.¬†"/>
    <s v="No%2C tad bit confusing."/>
    <s v="no"/>
    <s v="NA"/>
    <s v="NA"/>
    <s v="NA"/>
    <s v="NA"/>
    <s v="NA"/>
    <s v="NA"/>
    <s v="NA"/>
    <s v="NA"/>
    <s v="NA"/>
    <s v="NA"/>
    <s v="NA"/>
    <s v="NA"/>
    <s v="NA"/>
    <s v="NA"/>
    <s v="NA"/>
    <s v="NA"/>
    <s v="NA"/>
    <s v="NA"/>
    <s v="NA"/>
    <s v="NA"/>
    <s v="NA"/>
  </r>
  <r>
    <s v="A12569NJ7KY1KX"/>
    <s v="english"/>
    <n v="35"/>
    <s v="female"/>
    <s v="consent"/>
    <x v="0"/>
    <n v="41964"/>
    <s v="NA"/>
    <s v="NA"/>
    <s v="NA"/>
    <s v="NA"/>
    <s v="NA"/>
    <s v="NA"/>
    <s v="NA"/>
    <s v="NA"/>
    <s v="NA"/>
    <s v="NA"/>
    <s v="NA"/>
    <s v="NA"/>
    <s v="NA"/>
    <s v="NA"/>
    <s v="NA"/>
    <s v="NA"/>
    <s v="NA"/>
    <s v="NA"/>
    <s v="NA"/>
    <s v="NA"/>
    <s v="NA"/>
    <s v="NA"/>
    <s v="NA"/>
    <s v="NA"/>
  </r>
  <r>
    <s v="A12569NJ7KY1KX"/>
    <s v="english"/>
    <n v="35"/>
    <s v="female"/>
    <s v="train"/>
    <x v="1"/>
    <n v="52040"/>
    <n v="0"/>
    <n v="0"/>
    <n v="1"/>
    <n v="0"/>
    <s v="NA"/>
    <s v="NA"/>
    <s v="NA"/>
    <s v="NA"/>
    <s v="NA"/>
    <s v="NA"/>
    <s v="NA"/>
    <s v="NA"/>
    <s v="NA"/>
    <s v="NA"/>
    <s v="NA"/>
    <s v="NA"/>
    <s v="NA"/>
    <s v="NA"/>
    <s v="NA"/>
    <s v="NA"/>
    <s v="NA"/>
    <s v="NA"/>
    <s v="NA"/>
    <s v="NA"/>
  </r>
  <r>
    <s v="A12569NJ7KY1KX"/>
    <s v="english"/>
    <n v="35"/>
    <s v="female"/>
    <s v="train"/>
    <x v="2"/>
    <n v="53865"/>
    <n v="0"/>
    <n v="0"/>
    <n v="1"/>
    <n v="0"/>
    <s v="NA"/>
    <s v="NA"/>
    <s v="NA"/>
    <s v="NA"/>
    <s v="NA"/>
    <s v="NA"/>
    <s v="NA"/>
    <s v="NA"/>
    <s v="NA"/>
    <s v="NA"/>
    <s v="NA"/>
    <s v="NA"/>
    <s v="NA"/>
    <s v="NA"/>
    <s v="NA"/>
    <s v="NA"/>
    <s v="NA"/>
    <s v="NA"/>
    <s v="NA"/>
    <s v="NA"/>
  </r>
  <r>
    <s v="A12569NJ7KY1KX"/>
    <s v="english"/>
    <n v="35"/>
    <s v="female"/>
    <s v="test"/>
    <x v="4"/>
    <n v="34303"/>
    <n v="1"/>
    <n v="0"/>
    <n v="0"/>
    <n v="0"/>
    <s v="Dentist E."/>
    <s v="Dentists D and E."/>
    <s v="Dentist A."/>
    <s v="mo-l"/>
    <s v="ms-l"/>
    <s v="mo-h"/>
    <n v="0"/>
    <n v="1"/>
    <n v="1"/>
    <n v="0"/>
    <n v="1"/>
    <n v="0"/>
    <n v="1"/>
    <n v="0"/>
    <n v="0"/>
    <n v="1"/>
    <n v="0"/>
    <n v="0"/>
    <n v="0"/>
    <n v="0"/>
  </r>
  <r>
    <s v="A12569NJ7KY1KX"/>
    <s v="english"/>
    <n v="35"/>
    <s v="female"/>
    <s v="test"/>
    <x v="9"/>
    <n v="49713"/>
    <n v="0"/>
    <n v="1"/>
    <n v="0"/>
    <n v="0"/>
    <s v="Stalls D and E."/>
    <s v="Stalls A and B."/>
    <s v="Stall A."/>
    <s v="ms-l"/>
    <s v="ms-h"/>
    <s v="mo-h"/>
    <n v="0"/>
    <n v="1"/>
    <n v="0"/>
    <n v="1"/>
    <n v="1"/>
    <n v="0"/>
    <n v="1"/>
    <n v="0"/>
    <n v="0"/>
    <n v="0"/>
    <n v="1"/>
    <n v="0"/>
    <n v="0"/>
    <n v="0"/>
  </r>
  <r>
    <s v="A12569NJ7KY1KX"/>
    <s v="english"/>
    <n v="35"/>
    <s v="female"/>
    <s v="control"/>
    <x v="12"/>
    <n v="28213"/>
    <n v="1"/>
    <n v="0"/>
    <n v="0"/>
    <n v="0"/>
    <s v="NA"/>
    <s v="NA"/>
    <s v="NA"/>
    <s v="NA"/>
    <s v="NA"/>
    <s v="NA"/>
    <s v="NA"/>
    <n v="1"/>
    <n v="0"/>
    <n v="1"/>
    <n v="1"/>
    <n v="0"/>
    <n v="1"/>
    <n v="0"/>
    <n v="0"/>
    <n v="0"/>
    <n v="1"/>
    <n v="0"/>
    <n v="0"/>
    <n v="0"/>
  </r>
  <r>
    <s v="A12569NJ7KY1KX"/>
    <s v="english"/>
    <n v="35"/>
    <s v="female"/>
    <s v="test"/>
    <x v="6"/>
    <n v="36757"/>
    <n v="0"/>
    <n v="0"/>
    <n v="1"/>
    <n v="0"/>
    <s v="Cafes D and E."/>
    <s v="Cafe E."/>
    <s v="Cafes A and B."/>
    <s v="ms-l"/>
    <s v="mo-l"/>
    <s v="ms-h"/>
    <n v="0"/>
    <n v="0"/>
    <n v="1"/>
    <n v="1"/>
    <n v="1"/>
    <n v="0"/>
    <n v="1"/>
    <n v="0"/>
    <n v="0"/>
    <n v="0"/>
    <n v="1"/>
    <n v="0"/>
    <n v="0"/>
    <n v="0"/>
  </r>
  <r>
    <s v="A12569NJ7KY1KX"/>
    <s v="english"/>
    <n v="35"/>
    <s v="female"/>
    <s v="control"/>
    <x v="7"/>
    <n v="36610"/>
    <n v="1"/>
    <n v="0"/>
    <n v="0"/>
    <n v="0"/>
    <s v="NA"/>
    <s v="NA"/>
    <s v="NA"/>
    <s v="NA"/>
    <s v="NA"/>
    <s v="NA"/>
    <s v="NA"/>
    <n v="0"/>
    <n v="1"/>
    <n v="1"/>
    <n v="1"/>
    <n v="0"/>
    <n v="1"/>
    <n v="0"/>
    <n v="0"/>
    <n v="0"/>
    <n v="1"/>
    <n v="0"/>
    <n v="0"/>
    <n v="0"/>
  </r>
  <r>
    <s v="A12569NJ7KY1KX"/>
    <s v="english"/>
    <n v="35"/>
    <s v="female"/>
    <s v="test"/>
    <x v="11"/>
    <n v="50767"/>
    <n v="0"/>
    <n v="1"/>
    <n v="0"/>
    <n v="0"/>
    <s v="Store A."/>
    <s v="Stores A, B, C, D and E."/>
    <s v="Stores D and E."/>
    <s v="mo-h"/>
    <s v="exh"/>
    <s v="ms-l"/>
    <n v="1"/>
    <n v="1"/>
    <n v="0"/>
    <n v="0"/>
    <n v="1"/>
    <n v="0"/>
    <n v="1"/>
    <n v="1"/>
    <n v="0"/>
    <n v="0"/>
    <n v="0"/>
    <n v="0"/>
    <n v="0"/>
    <n v="0"/>
  </r>
  <r>
    <s v="A12569NJ7KY1KX"/>
    <s v="english"/>
    <n v="35"/>
    <s v="female"/>
    <s v="test"/>
    <x v="3"/>
    <n v="9098"/>
    <n v="1"/>
    <n v="0"/>
    <n v="0"/>
    <n v="0"/>
    <s v="Bookstores A and B."/>
    <s v="Bookstore F."/>
    <s v="Bookstore E."/>
    <s v="ms-h"/>
    <s v="fa"/>
    <s v="mo-l"/>
    <n v="0"/>
    <n v="0"/>
    <n v="1"/>
    <n v="1"/>
    <n v="0"/>
    <n v="0"/>
    <n v="1"/>
    <n v="0"/>
    <n v="0"/>
    <n v="0"/>
    <n v="1"/>
    <n v="0"/>
    <n v="0"/>
    <n v="0"/>
  </r>
  <r>
    <s v="A12569NJ7KY1KX"/>
    <s v="english"/>
    <n v="35"/>
    <s v="female"/>
    <s v="control"/>
    <x v="5"/>
    <n v="23243"/>
    <n v="0"/>
    <n v="0"/>
    <n v="1"/>
    <n v="0"/>
    <s v="NA"/>
    <s v="NA"/>
    <s v="NA"/>
    <s v="NA"/>
    <s v="NA"/>
    <s v="NA"/>
    <s v="NA"/>
    <n v="0"/>
    <n v="1"/>
    <n v="1"/>
    <n v="0"/>
    <n v="0"/>
    <n v="1"/>
    <n v="0"/>
    <n v="0"/>
    <n v="0"/>
    <n v="1"/>
    <n v="0"/>
    <n v="0"/>
    <n v="0"/>
  </r>
  <r>
    <s v="A12569NJ7KY1KX"/>
    <s v="english"/>
    <n v="35"/>
    <s v="female"/>
    <s v="test"/>
    <x v="8"/>
    <n v="4840"/>
    <n v="0"/>
    <n v="1"/>
    <n v="0"/>
    <n v="0"/>
    <s v="Stylists A, B, C, D and E."/>
    <s v="Stylist A."/>
    <s v="Stylist E."/>
    <s v="exh"/>
    <s v="mo-h"/>
    <s v="mo-l"/>
    <n v="1"/>
    <n v="1"/>
    <n v="1"/>
    <n v="0"/>
    <n v="0"/>
    <n v="0"/>
    <n v="1"/>
    <n v="0"/>
    <n v="1"/>
    <n v="0"/>
    <n v="0"/>
    <n v="0"/>
    <n v="0"/>
    <n v="0"/>
  </r>
  <r>
    <s v="A12569NJ7KY1KX"/>
    <s v="english"/>
    <n v="35"/>
    <s v="female"/>
    <s v="control"/>
    <x v="10"/>
    <n v="25275"/>
    <n v="0"/>
    <n v="1"/>
    <n v="0"/>
    <n v="0"/>
    <s v="NA"/>
    <s v="NA"/>
    <s v="NA"/>
    <s v="NA"/>
    <s v="NA"/>
    <s v="NA"/>
    <s v="NA"/>
    <n v="1"/>
    <n v="1"/>
    <n v="0"/>
    <n v="0"/>
    <n v="0"/>
    <n v="1"/>
    <n v="0"/>
    <n v="1"/>
    <n v="0"/>
    <n v="0"/>
    <n v="0"/>
    <n v="0"/>
    <n v="0"/>
  </r>
  <r>
    <s v="A12569NJ7KY1KX"/>
    <s v="english"/>
    <n v="35"/>
    <s v="female"/>
    <s v="exit_quest"/>
    <x v="0"/>
    <n v="95765"/>
    <s v="GRT %0ACOFFE DAY%0ARELIANCE%0A%0A"/>
    <s v="NO"/>
    <s v="NO ELSE"/>
    <s v="NA"/>
    <s v="NA"/>
    <s v="NA"/>
    <s v="NA"/>
    <s v="NA"/>
    <s v="NA"/>
    <s v="NA"/>
    <s v="NA"/>
    <s v="NA"/>
    <s v="NA"/>
    <s v="NA"/>
    <s v="NA"/>
    <s v="NA"/>
    <s v="NA"/>
    <s v="NA"/>
    <s v="NA"/>
    <s v="NA"/>
    <s v="NA"/>
    <s v="NA"/>
    <s v="NA"/>
    <s v="NA"/>
  </r>
  <r>
    <s v="A30FCN88F8DZOT"/>
    <s v="english"/>
    <n v="28"/>
    <s v="male"/>
    <s v="consent"/>
    <x v="0"/>
    <n v="17529"/>
    <s v="NA"/>
    <s v="NA"/>
    <s v="NA"/>
    <s v="NA"/>
    <s v="NA"/>
    <s v="NA"/>
    <s v="NA"/>
    <s v="NA"/>
    <s v="NA"/>
    <s v="NA"/>
    <s v="NA"/>
    <s v="NA"/>
    <s v="NA"/>
    <s v="NA"/>
    <s v="NA"/>
    <s v="NA"/>
    <s v="NA"/>
    <s v="NA"/>
    <s v="NA"/>
    <s v="NA"/>
    <s v="NA"/>
    <s v="NA"/>
    <s v="NA"/>
    <s v="NA"/>
  </r>
  <r>
    <s v="A30FCN88F8DZOT"/>
    <s v="english"/>
    <n v="28"/>
    <s v="male"/>
    <s v="train"/>
    <x v="2"/>
    <n v="45221"/>
    <n v="0"/>
    <n v="1"/>
    <n v="0"/>
    <n v="0"/>
    <s v="NA"/>
    <s v="NA"/>
    <s v="NA"/>
    <s v="NA"/>
    <s v="NA"/>
    <s v="NA"/>
    <s v="NA"/>
    <s v="NA"/>
    <s v="NA"/>
    <s v="NA"/>
    <s v="NA"/>
    <s v="NA"/>
    <s v="NA"/>
    <s v="NA"/>
    <s v="NA"/>
    <s v="NA"/>
    <s v="NA"/>
    <s v="NA"/>
    <s v="NA"/>
    <s v="NA"/>
  </r>
  <r>
    <s v="A30FCN88F8DZOT"/>
    <s v="english"/>
    <n v="28"/>
    <s v="male"/>
    <s v="train"/>
    <x v="1"/>
    <n v="85098"/>
    <n v="0"/>
    <n v="0"/>
    <n v="1"/>
    <n v="0"/>
    <s v="NA"/>
    <s v="NA"/>
    <s v="NA"/>
    <s v="NA"/>
    <s v="NA"/>
    <s v="NA"/>
    <s v="NA"/>
    <s v="NA"/>
    <s v="NA"/>
    <s v="NA"/>
    <s v="NA"/>
    <s v="NA"/>
    <s v="NA"/>
    <s v="NA"/>
    <s v="NA"/>
    <s v="NA"/>
    <s v="NA"/>
    <s v="NA"/>
    <s v="NA"/>
    <s v="NA"/>
  </r>
  <r>
    <s v="A30FCN88F8DZOT"/>
    <s v="english"/>
    <n v="28"/>
    <s v="male"/>
    <s v="test"/>
    <x v="8"/>
    <n v="129047"/>
    <n v="1"/>
    <n v="1"/>
    <n v="0"/>
    <n v="0"/>
    <s v="Stylists A and B."/>
    <s v="Stylist A."/>
    <s v="Stylist E."/>
    <s v="ms-h"/>
    <s v="mo-h"/>
    <s v="mo-l"/>
    <n v="0"/>
    <n v="1"/>
    <n v="1"/>
    <n v="1"/>
    <n v="0"/>
    <n v="0"/>
    <n v="1"/>
    <n v="0"/>
    <n v="1"/>
    <n v="0"/>
    <n v="1"/>
    <n v="0"/>
    <n v="0"/>
    <n v="0"/>
  </r>
  <r>
    <s v="A30FCN88F8DZOT"/>
    <s v="english"/>
    <n v="28"/>
    <s v="male"/>
    <s v="test"/>
    <x v="3"/>
    <n v="15740"/>
    <n v="1"/>
    <n v="0"/>
    <n v="0"/>
    <n v="0"/>
    <s v="Bookstore A."/>
    <s v="Bookstore E."/>
    <s v="Bookstore F."/>
    <s v="mo-h"/>
    <s v="mo-l"/>
    <s v="fa"/>
    <n v="0"/>
    <n v="1"/>
    <n v="1"/>
    <n v="0"/>
    <n v="0"/>
    <n v="0"/>
    <n v="1"/>
    <n v="0"/>
    <n v="1"/>
    <n v="0"/>
    <n v="0"/>
    <n v="0"/>
    <n v="0"/>
    <n v="0"/>
  </r>
  <r>
    <s v="A30FCN88F8DZOT"/>
    <s v="english"/>
    <n v="28"/>
    <s v="male"/>
    <s v="control"/>
    <x v="5"/>
    <n v="75763"/>
    <n v="0"/>
    <n v="1"/>
    <n v="0"/>
    <n v="0"/>
    <s v="NA"/>
    <s v="NA"/>
    <s v="NA"/>
    <s v="NA"/>
    <s v="NA"/>
    <s v="NA"/>
    <s v="NA"/>
    <n v="1"/>
    <n v="1"/>
    <n v="0"/>
    <n v="0"/>
    <n v="0"/>
    <n v="1"/>
    <n v="0"/>
    <n v="1"/>
    <n v="0"/>
    <n v="0"/>
    <n v="0"/>
    <n v="0"/>
    <n v="0"/>
  </r>
  <r>
    <s v="A30FCN88F8DZOT"/>
    <s v="english"/>
    <n v="28"/>
    <s v="male"/>
    <s v="test"/>
    <x v="6"/>
    <n v="103515"/>
    <n v="0"/>
    <n v="0"/>
    <n v="1"/>
    <n v="0"/>
    <s v="Cafes D and E."/>
    <s v="Cafes A, B, C, D and E."/>
    <s v="Cafes A and B."/>
    <s v="ms-l"/>
    <s v="exh"/>
    <s v="ms-h"/>
    <n v="1"/>
    <n v="0"/>
    <n v="0"/>
    <n v="1"/>
    <n v="1"/>
    <n v="0"/>
    <n v="1"/>
    <n v="0"/>
    <n v="0"/>
    <n v="0"/>
    <n v="1"/>
    <n v="0"/>
    <n v="0"/>
    <n v="0"/>
  </r>
  <r>
    <s v="A30FCN88F8DZOT"/>
    <s v="english"/>
    <n v="28"/>
    <s v="male"/>
    <s v="test"/>
    <x v="9"/>
    <n v="69108"/>
    <n v="0"/>
    <n v="0"/>
    <n v="0"/>
    <n v="1"/>
    <s v="Stalls D and E."/>
    <s v="Stalls A, B, C, D and E."/>
    <s v="Stall E."/>
    <s v="ms-l"/>
    <s v="exh"/>
    <s v="mo-l"/>
    <n v="1"/>
    <n v="0"/>
    <n v="1"/>
    <n v="0"/>
    <n v="1"/>
    <n v="0"/>
    <n v="1"/>
    <n v="0"/>
    <n v="0"/>
    <n v="0"/>
    <n v="0"/>
    <n v="0"/>
    <n v="0"/>
    <n v="1"/>
  </r>
  <r>
    <s v="A30FCN88F8DZOT"/>
    <s v="english"/>
    <n v="28"/>
    <s v="male"/>
    <s v="control"/>
    <x v="12"/>
    <n v="59245"/>
    <n v="0"/>
    <n v="0"/>
    <n v="1"/>
    <n v="0"/>
    <s v="NA"/>
    <s v="NA"/>
    <s v="NA"/>
    <s v="NA"/>
    <s v="NA"/>
    <s v="NA"/>
    <s v="NA"/>
    <n v="0"/>
    <n v="1"/>
    <n v="0"/>
    <n v="1"/>
    <n v="0"/>
    <n v="1"/>
    <n v="0"/>
    <n v="0"/>
    <n v="0"/>
    <n v="0"/>
    <n v="0"/>
    <n v="0"/>
    <n v="1"/>
  </r>
  <r>
    <s v="A30FCN88F8DZOT"/>
    <s v="english"/>
    <n v="28"/>
    <s v="male"/>
    <s v="test"/>
    <x v="4"/>
    <n v="40115"/>
    <n v="0"/>
    <n v="0"/>
    <n v="0"/>
    <n v="1"/>
    <s v="Dentist E."/>
    <s v="Dentists D and E."/>
    <s v="Dentists A, B, C, D and E."/>
    <s v="mo-l"/>
    <s v="ms-l"/>
    <s v="exh"/>
    <n v="1"/>
    <n v="0"/>
    <n v="1"/>
    <n v="0"/>
    <n v="1"/>
    <n v="0"/>
    <n v="1"/>
    <n v="0"/>
    <n v="0"/>
    <n v="0"/>
    <n v="0"/>
    <n v="0"/>
    <n v="0"/>
    <n v="1"/>
  </r>
  <r>
    <s v="A30FCN88F8DZOT"/>
    <s v="english"/>
    <n v="28"/>
    <s v="male"/>
    <s v="control"/>
    <x v="7"/>
    <n v="81711"/>
    <n v="0"/>
    <n v="0"/>
    <n v="0"/>
    <n v="1"/>
    <s v="NA"/>
    <s v="NA"/>
    <s v="NA"/>
    <s v="NA"/>
    <s v="NA"/>
    <s v="NA"/>
    <s v="NA"/>
    <n v="0"/>
    <n v="1"/>
    <n v="0"/>
    <n v="1"/>
    <n v="0"/>
    <n v="1"/>
    <n v="0"/>
    <n v="0"/>
    <n v="0"/>
    <n v="0"/>
    <n v="0"/>
    <n v="0"/>
    <n v="1"/>
  </r>
  <r>
    <s v="A30FCN88F8DZOT"/>
    <s v="english"/>
    <n v="28"/>
    <s v="male"/>
    <s v="test"/>
    <x v="11"/>
    <n v="19076"/>
    <n v="1"/>
    <n v="0"/>
    <n v="0"/>
    <n v="0"/>
    <s v="Stores A and B."/>
    <s v="Store F."/>
    <s v="Stores D and E."/>
    <s v="ms-h"/>
    <s v="fa"/>
    <s v="ms-l"/>
    <n v="0"/>
    <n v="0"/>
    <n v="0"/>
    <n v="1"/>
    <n v="1"/>
    <n v="0"/>
    <n v="1"/>
    <n v="0"/>
    <n v="0"/>
    <n v="0"/>
    <n v="1"/>
    <n v="0"/>
    <n v="0"/>
    <n v="0"/>
  </r>
  <r>
    <s v="A30FCN88F8DZOT"/>
    <s v="english"/>
    <n v="28"/>
    <s v="male"/>
    <s v="control"/>
    <x v="10"/>
    <n v="108551"/>
    <n v="0"/>
    <n v="0"/>
    <n v="1"/>
    <n v="0"/>
    <s v="NA"/>
    <s v="NA"/>
    <s v="NA"/>
    <s v="NA"/>
    <s v="NA"/>
    <s v="NA"/>
    <s v="NA"/>
    <n v="0"/>
    <n v="0"/>
    <n v="1"/>
    <n v="1"/>
    <n v="0"/>
    <n v="1"/>
    <n v="0"/>
    <n v="0"/>
    <n v="0"/>
    <n v="1"/>
    <n v="0"/>
    <n v="0"/>
    <n v="0"/>
  </r>
  <r>
    <s v="A30FCN88F8DZOT"/>
    <s v="english"/>
    <n v="28"/>
    <s v="male"/>
    <s v="exit_quest"/>
    <x v="0"/>
    <n v="124887"/>
    <s v="IS THERE IS ANY OTHER RESTAURANTS WHO SERVE BRUNCH IN TOWN ..?"/>
    <s v="NO .. ITS A BIT EASY TO DO IF WE READ THE STATEMENTS CAREFULLY"/>
    <s v="NOTHING"/>
    <s v="NA"/>
    <s v="NA"/>
    <s v="NA"/>
    <s v="NA"/>
    <s v="NA"/>
    <s v="NA"/>
    <s v="NA"/>
    <s v="NA"/>
    <s v="NA"/>
    <s v="NA"/>
    <s v="NA"/>
    <s v="NA"/>
    <s v="NA"/>
    <s v="NA"/>
    <s v="NA"/>
    <s v="NA"/>
    <s v="NA"/>
    <s v="NA"/>
    <s v="NA"/>
    <s v="NA"/>
    <s v="NA"/>
  </r>
  <r>
    <s v="A2W1QLIYADUJU3"/>
    <s v="english"/>
    <n v="37"/>
    <s v="male"/>
    <s v="consent"/>
    <x v="0"/>
    <n v="50749"/>
    <s v="NA"/>
    <s v="NA"/>
    <s v="NA"/>
    <s v="NA"/>
    <s v="NA"/>
    <s v="NA"/>
    <s v="NA"/>
    <s v="NA"/>
    <s v="NA"/>
    <s v="NA"/>
    <s v="NA"/>
    <s v="NA"/>
    <s v="NA"/>
    <s v="NA"/>
    <s v="NA"/>
    <s v="NA"/>
    <s v="NA"/>
    <s v="NA"/>
    <s v="NA"/>
    <s v="NA"/>
    <s v="NA"/>
    <s v="NA"/>
    <s v="NA"/>
    <s v="NA"/>
  </r>
  <r>
    <s v="A2W1QLIYADUJU3"/>
    <s v="english"/>
    <n v="37"/>
    <s v="male"/>
    <s v="train"/>
    <x v="1"/>
    <n v="30838"/>
    <n v="1"/>
    <n v="1"/>
    <n v="1"/>
    <n v="0"/>
    <s v="NA"/>
    <s v="NA"/>
    <s v="NA"/>
    <s v="NA"/>
    <s v="NA"/>
    <s v="NA"/>
    <s v="NA"/>
    <s v="NA"/>
    <s v="NA"/>
    <s v="NA"/>
    <s v="NA"/>
    <s v="NA"/>
    <s v="NA"/>
    <s v="NA"/>
    <s v="NA"/>
    <s v="NA"/>
    <s v="NA"/>
    <s v="NA"/>
    <s v="NA"/>
    <s v="NA"/>
  </r>
  <r>
    <s v="A2W1QLIYADUJU3"/>
    <s v="english"/>
    <n v="37"/>
    <s v="male"/>
    <s v="train"/>
    <x v="2"/>
    <n v="11941"/>
    <n v="1"/>
    <n v="1"/>
    <n v="1"/>
    <n v="0"/>
    <s v="NA"/>
    <s v="NA"/>
    <s v="NA"/>
    <s v="NA"/>
    <s v="NA"/>
    <s v="NA"/>
    <s v="NA"/>
    <s v="NA"/>
    <s v="NA"/>
    <s v="NA"/>
    <s v="NA"/>
    <s v="NA"/>
    <s v="NA"/>
    <s v="NA"/>
    <s v="NA"/>
    <s v="NA"/>
    <s v="NA"/>
    <s v="NA"/>
    <s v="NA"/>
    <s v="NA"/>
  </r>
  <r>
    <s v="A2W1QLIYADUJU3"/>
    <s v="english"/>
    <n v="37"/>
    <s v="male"/>
    <s v="test"/>
    <x v="8"/>
    <n v="138682"/>
    <n v="1"/>
    <n v="1"/>
    <n v="0"/>
    <n v="0"/>
    <s v="Stylist A."/>
    <s v="Stylists D and E."/>
    <s v="Stylists A and B."/>
    <s v="mo-h"/>
    <s v="ms-l"/>
    <s v="ms-h"/>
    <n v="0"/>
    <n v="1"/>
    <n v="0"/>
    <n v="1"/>
    <n v="1"/>
    <n v="0"/>
    <n v="1"/>
    <n v="0"/>
    <n v="1"/>
    <n v="0"/>
    <n v="0"/>
    <n v="1"/>
    <n v="0"/>
    <n v="0"/>
  </r>
  <r>
    <s v="A2W1QLIYADUJU3"/>
    <s v="english"/>
    <n v="37"/>
    <s v="male"/>
    <s v="test"/>
    <x v="4"/>
    <n v="6211"/>
    <n v="1"/>
    <n v="1"/>
    <n v="1"/>
    <n v="0"/>
    <s v="Dentists D and E."/>
    <s v="Dentist E."/>
    <s v="Dentists A and B."/>
    <s v="ms-l"/>
    <s v="mo-l"/>
    <s v="ms-h"/>
    <n v="0"/>
    <n v="0"/>
    <n v="1"/>
    <n v="1"/>
    <n v="1"/>
    <n v="0"/>
    <n v="1"/>
    <n v="0"/>
    <n v="0"/>
    <n v="1"/>
    <n v="1"/>
    <n v="1"/>
    <n v="0"/>
    <n v="0"/>
  </r>
  <r>
    <s v="A2W1QLIYADUJU3"/>
    <s v="english"/>
    <n v="37"/>
    <s v="male"/>
    <s v="control"/>
    <x v="5"/>
    <n v="20630"/>
    <n v="1"/>
    <n v="0"/>
    <n v="0"/>
    <n v="0"/>
    <s v="NA"/>
    <s v="NA"/>
    <s v="NA"/>
    <s v="NA"/>
    <s v="NA"/>
    <s v="NA"/>
    <s v="NA"/>
    <n v="0"/>
    <n v="1"/>
    <n v="1"/>
    <n v="1"/>
    <n v="0"/>
    <n v="1"/>
    <n v="0"/>
    <n v="0"/>
    <n v="1"/>
    <n v="1"/>
    <n v="1"/>
    <n v="0"/>
    <n v="0"/>
  </r>
  <r>
    <s v="A2W1QLIYADUJU3"/>
    <s v="english"/>
    <n v="37"/>
    <s v="male"/>
    <s v="test"/>
    <x v="3"/>
    <n v="10359"/>
    <n v="1"/>
    <n v="1"/>
    <n v="0"/>
    <n v="0"/>
    <s v="Bookstores D and E."/>
    <s v="Bookstores A and B."/>
    <s v="Bookstore F."/>
    <s v="ms-l"/>
    <s v="ms-h"/>
    <s v="fa"/>
    <n v="0"/>
    <n v="0"/>
    <n v="0"/>
    <n v="1"/>
    <n v="1"/>
    <n v="0"/>
    <n v="1"/>
    <n v="0"/>
    <n v="0"/>
    <n v="0"/>
    <n v="1"/>
    <n v="1"/>
    <n v="0"/>
    <n v="0"/>
  </r>
  <r>
    <s v="A2W1QLIYADUJU3"/>
    <s v="english"/>
    <n v="37"/>
    <s v="male"/>
    <s v="control"/>
    <x v="12"/>
    <n v="48525"/>
    <n v="1"/>
    <n v="0"/>
    <n v="0"/>
    <n v="0"/>
    <s v="NA"/>
    <s v="NA"/>
    <s v="NA"/>
    <s v="NA"/>
    <s v="NA"/>
    <s v="NA"/>
    <s v="NA"/>
    <n v="0"/>
    <n v="0"/>
    <n v="1"/>
    <n v="1"/>
    <n v="0"/>
    <n v="1"/>
    <n v="0"/>
    <n v="0"/>
    <n v="0"/>
    <n v="1"/>
    <n v="1"/>
    <n v="0"/>
    <n v="0"/>
  </r>
  <r>
    <s v="A2W1QLIYADUJU3"/>
    <s v="english"/>
    <n v="37"/>
    <s v="male"/>
    <s v="test"/>
    <x v="9"/>
    <n v="92971"/>
    <n v="0"/>
    <n v="1"/>
    <n v="0"/>
    <n v="0"/>
    <s v="Stall F."/>
    <s v="Stalls D and E."/>
    <s v="Stall E."/>
    <s v="fa"/>
    <s v="ms-l"/>
    <s v="mo-l"/>
    <n v="0"/>
    <n v="0"/>
    <n v="1"/>
    <n v="0"/>
    <n v="1"/>
    <n v="0"/>
    <n v="1"/>
    <n v="0"/>
    <n v="0"/>
    <n v="0"/>
    <n v="0"/>
    <n v="1"/>
    <n v="0"/>
    <n v="0"/>
  </r>
  <r>
    <s v="A2W1QLIYADUJU3"/>
    <s v="english"/>
    <n v="37"/>
    <s v="male"/>
    <s v="test"/>
    <x v="6"/>
    <n v="48913"/>
    <n v="1"/>
    <n v="0"/>
    <n v="0"/>
    <n v="0"/>
    <s v="Cafes D and E."/>
    <s v="Cafe F."/>
    <s v="Cafe A."/>
    <s v="ms-l"/>
    <s v="fa"/>
    <s v="mo-h"/>
    <n v="0"/>
    <n v="1"/>
    <n v="0"/>
    <n v="0"/>
    <n v="1"/>
    <n v="0"/>
    <n v="1"/>
    <n v="0"/>
    <n v="0"/>
    <n v="0"/>
    <n v="0"/>
    <n v="1"/>
    <n v="0"/>
    <n v="0"/>
  </r>
  <r>
    <s v="A2W1QLIYADUJU3"/>
    <s v="english"/>
    <n v="37"/>
    <s v="male"/>
    <s v="control"/>
    <x v="7"/>
    <n v="46863"/>
    <n v="1"/>
    <n v="0"/>
    <n v="0"/>
    <n v="0"/>
    <s v="NA"/>
    <s v="NA"/>
    <s v="NA"/>
    <s v="NA"/>
    <s v="NA"/>
    <s v="NA"/>
    <s v="NA"/>
    <n v="1"/>
    <n v="0"/>
    <n v="0"/>
    <n v="1"/>
    <n v="0"/>
    <n v="1"/>
    <n v="0"/>
    <n v="0"/>
    <n v="0"/>
    <n v="0"/>
    <n v="1"/>
    <n v="0"/>
    <n v="0"/>
  </r>
  <r>
    <s v="A2W1QLIYADUJU3"/>
    <s v="english"/>
    <n v="37"/>
    <s v="male"/>
    <s v="test"/>
    <x v="11"/>
    <n v="45741"/>
    <n v="0"/>
    <n v="0"/>
    <n v="1"/>
    <n v="0"/>
    <s v="Store E."/>
    <s v="Store A."/>
    <s v="Stores A and B."/>
    <s v="mo-l"/>
    <s v="mo-h"/>
    <s v="ms-h"/>
    <n v="0"/>
    <n v="1"/>
    <n v="1"/>
    <n v="1"/>
    <n v="0"/>
    <n v="0"/>
    <n v="1"/>
    <n v="0"/>
    <n v="0"/>
    <n v="0"/>
    <n v="1"/>
    <n v="0"/>
    <n v="0"/>
    <n v="0"/>
  </r>
  <r>
    <s v="A2W1QLIYADUJU3"/>
    <s v="english"/>
    <n v="37"/>
    <s v="male"/>
    <s v="control"/>
    <x v="10"/>
    <n v="17725"/>
    <n v="1"/>
    <n v="0"/>
    <n v="0"/>
    <n v="0"/>
    <s v="NA"/>
    <s v="NA"/>
    <s v="NA"/>
    <s v="NA"/>
    <s v="NA"/>
    <s v="NA"/>
    <s v="NA"/>
    <n v="1"/>
    <n v="1"/>
    <n v="1"/>
    <n v="0"/>
    <n v="0"/>
    <n v="1"/>
    <n v="0"/>
    <n v="0"/>
    <n v="0"/>
    <n v="1"/>
    <n v="0"/>
    <n v="0"/>
    <n v="0"/>
  </r>
  <r>
    <s v="A2W1QLIYADUJU3"/>
    <s v="english"/>
    <n v="37"/>
    <s v="male"/>
    <s v="exit_quest"/>
    <x v="0"/>
    <n v="676334"/>
    <s v="brunch that long and lazy latter morning mean witch stretches into early afternoon."/>
    <s v="Nothing because easily understanding"/>
    <s v="nice and this study very useful."/>
    <s v="NA"/>
    <s v="NA"/>
    <s v="NA"/>
    <s v="NA"/>
    <s v="NA"/>
    <s v="NA"/>
    <s v="NA"/>
    <s v="NA"/>
    <s v="NA"/>
    <s v="NA"/>
    <s v="NA"/>
    <s v="NA"/>
    <s v="NA"/>
    <s v="NA"/>
    <s v="NA"/>
    <s v="NA"/>
    <s v="NA"/>
    <s v="NA"/>
    <s v="NA"/>
    <s v="NA"/>
    <s v="NA"/>
  </r>
  <r>
    <s v="A1TSQCY9QR6RM7"/>
    <s v="english"/>
    <n v="55"/>
    <s v="female"/>
    <s v="consent"/>
    <x v="0"/>
    <n v="32474"/>
    <s v="NA"/>
    <s v="NA"/>
    <s v="NA"/>
    <s v="NA"/>
    <s v="NA"/>
    <s v="NA"/>
    <s v="NA"/>
    <s v="NA"/>
    <s v="NA"/>
    <s v="NA"/>
    <s v="NA"/>
    <s v="NA"/>
    <s v="NA"/>
    <s v="NA"/>
    <s v="NA"/>
    <s v="NA"/>
    <s v="NA"/>
    <s v="NA"/>
    <s v="NA"/>
    <s v="NA"/>
    <s v="NA"/>
    <s v="NA"/>
    <s v="NA"/>
    <s v="NA"/>
  </r>
  <r>
    <s v="A1TSQCY9QR6RM7"/>
    <s v="english"/>
    <n v="55"/>
    <s v="female"/>
    <s v="train"/>
    <x v="1"/>
    <n v="65642"/>
    <n v="0"/>
    <n v="1"/>
    <n v="1"/>
    <n v="0"/>
    <s v="NA"/>
    <s v="NA"/>
    <s v="NA"/>
    <s v="NA"/>
    <s v="NA"/>
    <s v="NA"/>
    <s v="NA"/>
    <s v="NA"/>
    <s v="NA"/>
    <s v="NA"/>
    <s v="NA"/>
    <s v="NA"/>
    <s v="NA"/>
    <s v="NA"/>
    <s v="NA"/>
    <s v="NA"/>
    <s v="NA"/>
    <s v="NA"/>
    <s v="NA"/>
    <s v="NA"/>
  </r>
  <r>
    <s v="A1TSQCY9QR6RM7"/>
    <s v="english"/>
    <n v="55"/>
    <s v="female"/>
    <s v="train"/>
    <x v="2"/>
    <n v="55182"/>
    <n v="0"/>
    <n v="0"/>
    <n v="0"/>
    <n v="1"/>
    <s v="NA"/>
    <s v="NA"/>
    <s v="NA"/>
    <s v="NA"/>
    <s v="NA"/>
    <s v="NA"/>
    <s v="NA"/>
    <s v="NA"/>
    <s v="NA"/>
    <s v="NA"/>
    <s v="NA"/>
    <s v="NA"/>
    <s v="NA"/>
    <s v="NA"/>
    <s v="NA"/>
    <s v="NA"/>
    <s v="NA"/>
    <s v="NA"/>
    <s v="NA"/>
    <s v="NA"/>
  </r>
  <r>
    <s v="A1TSQCY9QR6RM7"/>
    <s v="english"/>
    <n v="55"/>
    <s v="female"/>
    <s v="test"/>
    <x v="11"/>
    <n v="113948"/>
    <n v="1"/>
    <n v="0"/>
    <n v="0"/>
    <n v="0"/>
    <s v="Stores A and B."/>
    <s v="Stores A, B, C, D and E."/>
    <s v="Store E."/>
    <s v="ms-h"/>
    <s v="exh"/>
    <s v="mo-l"/>
    <n v="1"/>
    <n v="0"/>
    <n v="1"/>
    <n v="1"/>
    <n v="0"/>
    <n v="0"/>
    <n v="1"/>
    <n v="0"/>
    <n v="0"/>
    <n v="0"/>
    <n v="1"/>
    <n v="0"/>
    <n v="0"/>
    <n v="0"/>
  </r>
  <r>
    <s v="A1TSQCY9QR6RM7"/>
    <s v="english"/>
    <n v="55"/>
    <s v="female"/>
    <s v="test"/>
    <x v="3"/>
    <n v="48188"/>
    <n v="0"/>
    <n v="0"/>
    <n v="0"/>
    <n v="1"/>
    <s v="Bookstores A and B."/>
    <s v="Bookstore E."/>
    <s v="Bookstores D and E."/>
    <s v="ms-h"/>
    <s v="mo-l"/>
    <s v="ms-l"/>
    <n v="0"/>
    <n v="0"/>
    <n v="1"/>
    <n v="1"/>
    <n v="1"/>
    <n v="0"/>
    <n v="1"/>
    <n v="0"/>
    <n v="0"/>
    <n v="0"/>
    <n v="0"/>
    <n v="0"/>
    <n v="0"/>
    <n v="1"/>
  </r>
  <r>
    <s v="A1TSQCY9QR6RM7"/>
    <s v="english"/>
    <n v="55"/>
    <s v="female"/>
    <s v="control"/>
    <x v="12"/>
    <n v="28492"/>
    <n v="1"/>
    <n v="0"/>
    <n v="0"/>
    <n v="0"/>
    <s v="NA"/>
    <s v="NA"/>
    <s v="NA"/>
    <s v="NA"/>
    <s v="NA"/>
    <s v="NA"/>
    <s v="NA"/>
    <n v="0"/>
    <n v="1"/>
    <n v="1"/>
    <n v="1"/>
    <n v="0"/>
    <n v="1"/>
    <n v="0"/>
    <n v="0"/>
    <n v="0"/>
    <n v="0"/>
    <n v="0"/>
    <n v="0"/>
    <n v="1"/>
  </r>
  <r>
    <s v="A1TSQCY9QR6RM7"/>
    <s v="english"/>
    <n v="55"/>
    <s v="female"/>
    <s v="test"/>
    <x v="4"/>
    <n v="50700"/>
    <n v="0"/>
    <n v="0"/>
    <n v="0"/>
    <n v="1"/>
    <s v="Dentist A."/>
    <s v="Dentists A and B."/>
    <s v="Dentists A, B, C, D and E."/>
    <s v="mo-h"/>
    <s v="ms-h"/>
    <s v="exh"/>
    <n v="1"/>
    <n v="1"/>
    <n v="0"/>
    <n v="1"/>
    <n v="0"/>
    <n v="0"/>
    <n v="1"/>
    <n v="0"/>
    <n v="0"/>
    <n v="0"/>
    <n v="0"/>
    <n v="0"/>
    <n v="0"/>
    <n v="1"/>
  </r>
  <r>
    <s v="A1TSQCY9QR6RM7"/>
    <s v="english"/>
    <n v="55"/>
    <s v="female"/>
    <s v="control"/>
    <x v="5"/>
    <n v="51515"/>
    <n v="0"/>
    <n v="0"/>
    <n v="0"/>
    <n v="1"/>
    <s v="NA"/>
    <s v="NA"/>
    <s v="NA"/>
    <s v="NA"/>
    <s v="NA"/>
    <s v="NA"/>
    <s v="NA"/>
    <n v="1"/>
    <n v="0"/>
    <n v="1"/>
    <n v="0"/>
    <n v="0"/>
    <n v="1"/>
    <n v="0"/>
    <n v="0"/>
    <n v="0"/>
    <n v="0"/>
    <n v="0"/>
    <n v="0"/>
    <n v="1"/>
  </r>
  <r>
    <s v="A1TSQCY9QR6RM7"/>
    <s v="english"/>
    <n v="55"/>
    <s v="female"/>
    <s v="test"/>
    <x v="6"/>
    <n v="38667"/>
    <n v="0"/>
    <n v="0"/>
    <n v="0"/>
    <n v="1"/>
    <s v="Cafes D and E."/>
    <s v="Cafe A."/>
    <s v="Cafe E."/>
    <s v="ms-l"/>
    <s v="mo-h"/>
    <s v="mo-l"/>
    <n v="0"/>
    <n v="1"/>
    <n v="1"/>
    <n v="0"/>
    <n v="1"/>
    <n v="0"/>
    <n v="1"/>
    <n v="0"/>
    <n v="0"/>
    <n v="0"/>
    <n v="0"/>
    <n v="0"/>
    <n v="0"/>
    <n v="1"/>
  </r>
  <r>
    <s v="A1TSQCY9QR6RM7"/>
    <s v="english"/>
    <n v="55"/>
    <s v="female"/>
    <s v="test"/>
    <x v="9"/>
    <n v="27476"/>
    <n v="0"/>
    <n v="1"/>
    <n v="0"/>
    <n v="0"/>
    <s v="Stalls D and E."/>
    <s v="Stalls A and B."/>
    <s v="Stall E."/>
    <s v="ms-l"/>
    <s v="ms-h"/>
    <s v="mo-l"/>
    <n v="0"/>
    <n v="0"/>
    <n v="1"/>
    <n v="1"/>
    <n v="1"/>
    <n v="0"/>
    <n v="1"/>
    <n v="0"/>
    <n v="0"/>
    <n v="0"/>
    <n v="1"/>
    <n v="0"/>
    <n v="0"/>
    <n v="0"/>
  </r>
  <r>
    <s v="A1TSQCY9QR6RM7"/>
    <s v="english"/>
    <n v="55"/>
    <s v="female"/>
    <s v="control"/>
    <x v="10"/>
    <n v="59136"/>
    <n v="0"/>
    <n v="0"/>
    <n v="1"/>
    <n v="0"/>
    <s v="NA"/>
    <s v="NA"/>
    <s v="NA"/>
    <s v="NA"/>
    <s v="NA"/>
    <s v="NA"/>
    <s v="NA"/>
    <n v="0"/>
    <n v="1"/>
    <n v="1"/>
    <n v="1"/>
    <n v="0"/>
    <n v="1"/>
    <n v="0"/>
    <n v="0"/>
    <n v="0"/>
    <n v="1"/>
    <n v="0"/>
    <n v="0"/>
    <n v="0"/>
  </r>
  <r>
    <s v="A1TSQCY9QR6RM7"/>
    <s v="english"/>
    <n v="55"/>
    <s v="female"/>
    <s v="test"/>
    <x v="8"/>
    <n v="75412"/>
    <n v="1"/>
    <n v="0"/>
    <n v="0"/>
    <n v="0"/>
    <s v="Stylist E."/>
    <s v="Stylist A."/>
    <s v="Stylists D and E."/>
    <s v="mo-l"/>
    <s v="mo-h"/>
    <s v="ms-l"/>
    <n v="0"/>
    <n v="1"/>
    <n v="1"/>
    <n v="0"/>
    <n v="1"/>
    <n v="0"/>
    <n v="1"/>
    <n v="0"/>
    <n v="0"/>
    <n v="1"/>
    <n v="0"/>
    <n v="0"/>
    <n v="0"/>
    <n v="0"/>
  </r>
  <r>
    <s v="A1TSQCY9QR6RM7"/>
    <s v="english"/>
    <n v="55"/>
    <s v="female"/>
    <s v="control"/>
    <x v="7"/>
    <n v="27264"/>
    <n v="1"/>
    <n v="0"/>
    <n v="0"/>
    <n v="0"/>
    <s v="NA"/>
    <s v="NA"/>
    <s v="NA"/>
    <s v="NA"/>
    <s v="NA"/>
    <s v="NA"/>
    <s v="NA"/>
    <n v="1"/>
    <n v="1"/>
    <n v="0"/>
    <n v="1"/>
    <n v="0"/>
    <n v="1"/>
    <n v="0"/>
    <n v="0"/>
    <n v="1"/>
    <n v="0"/>
    <n v="0"/>
    <n v="0"/>
    <n v="0"/>
  </r>
  <r>
    <s v="A1TSQCY9QR6RM7"/>
    <s v="english"/>
    <n v="55"/>
    <s v="female"/>
    <s v="exit_quest"/>
    <x v="0"/>
    <n v="312056"/>
    <s v="No%2C the answer would remain the same however I might ask for further clarification as to what kind of restaurant she prefers."/>
    <s v="Somewhat%2C yes. %0AI found myself inferring when I shouldn't and not sure if that was the acceptable answer."/>
    <s v="Yes. %0AThere was an inconsistency in one of the questions. In one of the stories%2C the question asks about coworker opinions and the answers refer to relatives. %0ANot sure if that was intentional but I wanted to point it out.%0A Dee asks%2C &quot;Where does Joe go for his dental work?%0ACoworker 1 says%2C &quot;Dentist A.&quot;%0A%0ACoworker 2 says%2C &quot;Dentists A and B.&quot;%0A%0ACoworker 3 says%2C &quot;Dentists A%2C B%2C C%2C D and E.&quot;%0A%0A%0AWho knows where Joe goes for his dental work? (Choose all that apply)%0ARelative 1  Relative 2  Relative 3  No one"/>
    <s v="NA"/>
    <s v="NA"/>
    <s v="NA"/>
    <s v="NA"/>
    <s v="NA"/>
    <s v="NA"/>
    <s v="NA"/>
    <s v="NA"/>
    <s v="NA"/>
    <s v="NA"/>
    <s v="NA"/>
    <s v="NA"/>
    <s v="NA"/>
    <s v="NA"/>
    <s v="NA"/>
    <s v="NA"/>
    <s v="NA"/>
    <s v="NA"/>
    <s v="NA"/>
    <s v="NA"/>
    <s v="NA"/>
  </r>
  <r>
    <s v="A1CJZOKUD5J0H1"/>
    <s v="english"/>
    <n v="27"/>
    <s v="female"/>
    <s v="consent"/>
    <x v="0"/>
    <n v="488227"/>
    <s v="NA"/>
    <s v="NA"/>
    <s v="NA"/>
    <s v="NA"/>
    <s v="NA"/>
    <s v="NA"/>
    <s v="NA"/>
    <s v="NA"/>
    <s v="NA"/>
    <s v="NA"/>
    <s v="NA"/>
    <s v="NA"/>
    <s v="NA"/>
    <s v="NA"/>
    <s v="NA"/>
    <s v="NA"/>
    <s v="NA"/>
    <s v="NA"/>
    <s v="NA"/>
    <s v="NA"/>
    <s v="NA"/>
    <s v="NA"/>
    <s v="NA"/>
    <s v="NA"/>
  </r>
  <r>
    <s v="A1CJZOKUD5J0H1"/>
    <s v="english"/>
    <n v="27"/>
    <s v="female"/>
    <s v="train"/>
    <x v="2"/>
    <n v="73833"/>
    <n v="0"/>
    <n v="0"/>
    <n v="0"/>
    <n v="1"/>
    <s v="NA"/>
    <s v="NA"/>
    <s v="NA"/>
    <s v="NA"/>
    <s v="NA"/>
    <s v="NA"/>
    <s v="NA"/>
    <s v="NA"/>
    <s v="NA"/>
    <s v="NA"/>
    <s v="NA"/>
    <s v="NA"/>
    <s v="NA"/>
    <s v="NA"/>
    <s v="NA"/>
    <s v="NA"/>
    <s v="NA"/>
    <s v="NA"/>
    <s v="NA"/>
    <s v="NA"/>
  </r>
  <r>
    <s v="A1CJZOKUD5J0H1"/>
    <s v="english"/>
    <n v="27"/>
    <s v="female"/>
    <s v="train"/>
    <x v="1"/>
    <n v="7830"/>
    <n v="0"/>
    <n v="0"/>
    <n v="1"/>
    <n v="0"/>
    <s v="NA"/>
    <s v="NA"/>
    <s v="NA"/>
    <s v="NA"/>
    <s v="NA"/>
    <s v="NA"/>
    <s v="NA"/>
    <s v="NA"/>
    <s v="NA"/>
    <s v="NA"/>
    <s v="NA"/>
    <s v="NA"/>
    <s v="NA"/>
    <s v="NA"/>
    <s v="NA"/>
    <s v="NA"/>
    <s v="NA"/>
    <s v="NA"/>
    <s v="NA"/>
    <s v="NA"/>
  </r>
  <r>
    <s v="A1CJZOKUD5J0H1"/>
    <s v="english"/>
    <n v="27"/>
    <s v="female"/>
    <s v="test"/>
    <x v="8"/>
    <n v="281691"/>
    <n v="1"/>
    <n v="1"/>
    <n v="0"/>
    <n v="0"/>
    <s v="Stylist E."/>
    <s v="Stylist F."/>
    <s v="Stylist A."/>
    <s v="mo-l"/>
    <s v="fa"/>
    <s v="mo-h"/>
    <n v="0"/>
    <n v="1"/>
    <n v="1"/>
    <n v="0"/>
    <n v="0"/>
    <n v="0"/>
    <n v="1"/>
    <n v="0"/>
    <n v="0"/>
    <n v="1"/>
    <n v="0"/>
    <n v="0"/>
    <n v="0"/>
    <n v="0"/>
  </r>
  <r>
    <s v="A1CJZOKUD5J0H1"/>
    <s v="english"/>
    <n v="27"/>
    <s v="female"/>
    <s v="test"/>
    <x v="3"/>
    <n v="32654"/>
    <n v="0"/>
    <n v="1"/>
    <n v="1"/>
    <n v="0"/>
    <s v="Bookstore A."/>
    <s v="Bookstores A and B."/>
    <s v="Bookstore F."/>
    <s v="mo-h"/>
    <s v="ms-h"/>
    <s v="fa"/>
    <n v="0"/>
    <n v="1"/>
    <n v="0"/>
    <n v="1"/>
    <n v="0"/>
    <n v="0"/>
    <n v="1"/>
    <n v="0"/>
    <n v="0"/>
    <n v="0"/>
    <n v="1"/>
    <n v="0"/>
    <n v="0"/>
    <n v="0"/>
  </r>
  <r>
    <s v="A1CJZOKUD5J0H1"/>
    <s v="english"/>
    <n v="27"/>
    <s v="female"/>
    <s v="control"/>
    <x v="12"/>
    <n v="3805"/>
    <n v="1"/>
    <n v="1"/>
    <n v="0"/>
    <n v="0"/>
    <s v="NA"/>
    <s v="NA"/>
    <s v="NA"/>
    <s v="NA"/>
    <s v="NA"/>
    <s v="NA"/>
    <s v="NA"/>
    <n v="1"/>
    <n v="0"/>
    <n v="1"/>
    <n v="0"/>
    <n v="0"/>
    <n v="1"/>
    <n v="0"/>
    <n v="0"/>
    <n v="0"/>
    <n v="1"/>
    <n v="0"/>
    <n v="0"/>
    <n v="0"/>
  </r>
  <r>
    <s v="A1CJZOKUD5J0H1"/>
    <s v="english"/>
    <n v="27"/>
    <s v="female"/>
    <s v="test"/>
    <x v="6"/>
    <n v="3640"/>
    <n v="0"/>
    <n v="1"/>
    <n v="1"/>
    <n v="0"/>
    <s v="Cafe E."/>
    <s v="Cafe A."/>
    <s v="Cafes D and E."/>
    <s v="mo-l"/>
    <s v="mo-h"/>
    <s v="ms-l"/>
    <n v="0"/>
    <n v="1"/>
    <n v="1"/>
    <n v="0"/>
    <n v="1"/>
    <n v="0"/>
    <n v="1"/>
    <n v="0"/>
    <n v="1"/>
    <n v="0"/>
    <n v="0"/>
    <n v="1"/>
    <n v="0"/>
    <n v="0"/>
  </r>
  <r>
    <s v="A1CJZOKUD5J0H1"/>
    <s v="english"/>
    <n v="27"/>
    <s v="female"/>
    <s v="test"/>
    <x v="4"/>
    <n v="3316"/>
    <n v="1"/>
    <n v="1"/>
    <n v="1"/>
    <n v="0"/>
    <s v="Dentist A."/>
    <s v="Dentists A and B."/>
    <s v="Dentist F."/>
    <s v="mo-h"/>
    <s v="ms-h"/>
    <s v="fa"/>
    <n v="0"/>
    <n v="1"/>
    <n v="0"/>
    <n v="1"/>
    <n v="0"/>
    <n v="0"/>
    <n v="1"/>
    <n v="0"/>
    <n v="1"/>
    <n v="0"/>
    <n v="1"/>
    <n v="0"/>
    <n v="0"/>
    <n v="0"/>
  </r>
  <r>
    <s v="A1CJZOKUD5J0H1"/>
    <s v="english"/>
    <n v="27"/>
    <s v="female"/>
    <s v="control"/>
    <x v="5"/>
    <n v="2371"/>
    <n v="0"/>
    <n v="1"/>
    <n v="1"/>
    <n v="0"/>
    <s v="NA"/>
    <s v="NA"/>
    <s v="NA"/>
    <s v="NA"/>
    <s v="NA"/>
    <s v="NA"/>
    <s v="NA"/>
    <n v="1"/>
    <n v="0"/>
    <n v="1"/>
    <n v="0"/>
    <n v="0"/>
    <n v="1"/>
    <n v="0"/>
    <n v="1"/>
    <n v="0"/>
    <n v="1"/>
    <n v="0"/>
    <n v="0"/>
    <n v="0"/>
  </r>
  <r>
    <s v="A1CJZOKUD5J0H1"/>
    <s v="english"/>
    <n v="27"/>
    <s v="female"/>
    <s v="test"/>
    <x v="9"/>
    <n v="3504"/>
    <n v="0"/>
    <n v="1"/>
    <n v="1"/>
    <n v="0"/>
    <s v="Stall A."/>
    <s v="Stall E."/>
    <s v="Stalls D and E."/>
    <s v="mo-h"/>
    <s v="mo-l"/>
    <s v="ms-l"/>
    <n v="0"/>
    <n v="1"/>
    <n v="1"/>
    <n v="0"/>
    <n v="1"/>
    <n v="0"/>
    <n v="1"/>
    <n v="0"/>
    <n v="0"/>
    <n v="1"/>
    <n v="0"/>
    <n v="1"/>
    <n v="0"/>
    <n v="0"/>
  </r>
  <r>
    <s v="A1CJZOKUD5J0H1"/>
    <s v="english"/>
    <n v="27"/>
    <s v="female"/>
    <s v="control"/>
    <x v="10"/>
    <n v="2714"/>
    <n v="1"/>
    <n v="1"/>
    <n v="0"/>
    <n v="0"/>
    <s v="NA"/>
    <s v="NA"/>
    <s v="NA"/>
    <s v="NA"/>
    <s v="NA"/>
    <s v="NA"/>
    <s v="NA"/>
    <n v="1"/>
    <n v="1"/>
    <n v="0"/>
    <n v="1"/>
    <n v="0"/>
    <n v="1"/>
    <n v="0"/>
    <n v="0"/>
    <n v="1"/>
    <n v="0"/>
    <n v="1"/>
    <n v="0"/>
    <n v="0"/>
  </r>
  <r>
    <s v="A1CJZOKUD5J0H1"/>
    <s v="english"/>
    <n v="27"/>
    <s v="female"/>
    <s v="test"/>
    <x v="11"/>
    <n v="2407"/>
    <n v="0"/>
    <n v="1"/>
    <n v="1"/>
    <n v="0"/>
    <s v="Store F."/>
    <s v="Store A."/>
    <s v="Stores D and E."/>
    <s v="fa"/>
    <s v="mo-h"/>
    <s v="ms-l"/>
    <n v="0"/>
    <n v="1"/>
    <n v="0"/>
    <n v="0"/>
    <n v="1"/>
    <n v="0"/>
    <n v="1"/>
    <n v="0"/>
    <n v="1"/>
    <n v="0"/>
    <n v="0"/>
    <n v="1"/>
    <n v="0"/>
    <n v="0"/>
  </r>
  <r>
    <s v="A1CJZOKUD5J0H1"/>
    <s v="english"/>
    <n v="27"/>
    <s v="female"/>
    <s v="control"/>
    <x v="7"/>
    <n v="3755"/>
    <n v="0"/>
    <n v="1"/>
    <n v="1"/>
    <n v="0"/>
    <s v="NA"/>
    <s v="NA"/>
    <s v="NA"/>
    <s v="NA"/>
    <s v="NA"/>
    <s v="NA"/>
    <s v="NA"/>
    <n v="1"/>
    <n v="0"/>
    <n v="0"/>
    <n v="1"/>
    <n v="0"/>
    <n v="1"/>
    <n v="0"/>
    <n v="1"/>
    <n v="0"/>
    <n v="0"/>
    <n v="1"/>
    <n v="0"/>
    <n v="0"/>
  </r>
  <r>
    <s v="A1CJZOKUD5J0H1"/>
    <s v="english"/>
    <n v="27"/>
    <s v="female"/>
    <s v="exit_quest"/>
    <x v="0"/>
    <n v="277347"/>
    <s v="If you‚Äôre looking for a classic French brunch%2C head to Bastille in North Old Town. Choose from cocktails like the Kir Royal or the Parisian Morning with orange juice%2C aperol and sparkling wine%2C paired perfectly with hors d‚Äôoeuvres%2C soups%2C salads and sandwiches. Brunch specialties include the steak and eggs%2C the Galette au Saumon Fum√© and more. Bonus: their brunch desserts will win over any sweets-lover%2C with options like cookies and cream with house-baked cookies and ice cream%2C a rotating menu of bread puddings and more."/>
    <s v="NO DIFFICULT"/>
    <s v="NO"/>
    <s v="NA"/>
    <s v="NA"/>
    <s v="NA"/>
    <s v="NA"/>
    <s v="NA"/>
    <s v="NA"/>
    <s v="NA"/>
    <s v="NA"/>
    <s v="NA"/>
    <s v="NA"/>
    <s v="NA"/>
    <s v="NA"/>
    <s v="NA"/>
    <s v="NA"/>
    <s v="NA"/>
    <s v="NA"/>
    <s v="NA"/>
    <s v="NA"/>
    <s v="NA"/>
    <s v="NA"/>
    <s v="NA"/>
  </r>
  <r>
    <s v="A2W046PDRTCZW7"/>
    <s v="english"/>
    <n v="36"/>
    <s v="male"/>
    <s v="consent"/>
    <x v="0"/>
    <n v="37718"/>
    <s v="NA"/>
    <s v="NA"/>
    <s v="NA"/>
    <s v="NA"/>
    <s v="NA"/>
    <s v="NA"/>
    <s v="NA"/>
    <s v="NA"/>
    <s v="NA"/>
    <s v="NA"/>
    <s v="NA"/>
    <s v="NA"/>
    <s v="NA"/>
    <s v="NA"/>
    <s v="NA"/>
    <s v="NA"/>
    <s v="NA"/>
    <s v="NA"/>
    <s v="NA"/>
    <s v="NA"/>
    <s v="NA"/>
    <s v="NA"/>
    <s v="NA"/>
    <s v="NA"/>
  </r>
  <r>
    <s v="A2W046PDRTCZW7"/>
    <s v="english"/>
    <n v="36"/>
    <s v="male"/>
    <s v="train"/>
    <x v="1"/>
    <n v="113593"/>
    <n v="0"/>
    <n v="0"/>
    <n v="1"/>
    <n v="0"/>
    <s v="NA"/>
    <s v="NA"/>
    <s v="NA"/>
    <s v="NA"/>
    <s v="NA"/>
    <s v="NA"/>
    <s v="NA"/>
    <s v="NA"/>
    <s v="NA"/>
    <s v="NA"/>
    <s v="NA"/>
    <s v="NA"/>
    <s v="NA"/>
    <s v="NA"/>
    <s v="NA"/>
    <s v="NA"/>
    <s v="NA"/>
    <s v="NA"/>
    <s v="NA"/>
    <s v="NA"/>
  </r>
  <r>
    <s v="A2W046PDRTCZW7"/>
    <s v="english"/>
    <n v="36"/>
    <s v="male"/>
    <s v="train"/>
    <x v="2"/>
    <n v="62748"/>
    <n v="0"/>
    <n v="0"/>
    <n v="0"/>
    <n v="1"/>
    <s v="NA"/>
    <s v="NA"/>
    <s v="NA"/>
    <s v="NA"/>
    <s v="NA"/>
    <s v="NA"/>
    <s v="NA"/>
    <s v="NA"/>
    <s v="NA"/>
    <s v="NA"/>
    <s v="NA"/>
    <s v="NA"/>
    <s v="NA"/>
    <s v="NA"/>
    <s v="NA"/>
    <s v="NA"/>
    <s v="NA"/>
    <s v="NA"/>
    <s v="NA"/>
    <s v="NA"/>
  </r>
  <r>
    <s v="A2W046PDRTCZW7"/>
    <s v="english"/>
    <n v="36"/>
    <s v="male"/>
    <s v="test"/>
    <x v="4"/>
    <n v="57578"/>
    <n v="0"/>
    <n v="0"/>
    <n v="0"/>
    <n v="1"/>
    <s v="Dentist E."/>
    <s v="Dentists D and E."/>
    <s v="Dentists A, B, C, D and E."/>
    <s v="mo-l"/>
    <s v="ms-l"/>
    <s v="exh"/>
    <n v="1"/>
    <n v="0"/>
    <n v="1"/>
    <n v="0"/>
    <n v="1"/>
    <n v="0"/>
    <n v="1"/>
    <n v="0"/>
    <n v="0"/>
    <n v="0"/>
    <n v="0"/>
    <n v="0"/>
    <n v="0"/>
    <n v="1"/>
  </r>
  <r>
    <s v="A2W046PDRTCZW7"/>
    <s v="english"/>
    <n v="36"/>
    <s v="male"/>
    <s v="test"/>
    <x v="6"/>
    <n v="80968"/>
    <n v="0"/>
    <n v="1"/>
    <n v="0"/>
    <n v="0"/>
    <s v="Cafes A and B."/>
    <s v="Cafes A, B, C, D and E."/>
    <s v="Cafe E."/>
    <s v="ms-h"/>
    <s v="exh"/>
    <s v="mo-l"/>
    <n v="1"/>
    <n v="0"/>
    <n v="1"/>
    <n v="1"/>
    <n v="0"/>
    <n v="0"/>
    <n v="1"/>
    <n v="1"/>
    <n v="0"/>
    <n v="0"/>
    <n v="0"/>
    <n v="0"/>
    <n v="0"/>
    <n v="0"/>
  </r>
  <r>
    <s v="A2W046PDRTCZW7"/>
    <s v="english"/>
    <n v="36"/>
    <s v="male"/>
    <s v="control"/>
    <x v="5"/>
    <n v="68012"/>
    <n v="0"/>
    <n v="1"/>
    <n v="0"/>
    <n v="0"/>
    <s v="NA"/>
    <s v="NA"/>
    <s v="NA"/>
    <s v="NA"/>
    <s v="NA"/>
    <s v="NA"/>
    <s v="NA"/>
    <n v="0"/>
    <n v="1"/>
    <n v="1"/>
    <n v="0"/>
    <n v="0"/>
    <n v="1"/>
    <n v="1"/>
    <n v="0"/>
    <n v="0"/>
    <n v="0"/>
    <n v="0"/>
    <n v="0"/>
    <n v="0"/>
  </r>
  <r>
    <s v="A2W046PDRTCZW7"/>
    <s v="english"/>
    <n v="36"/>
    <s v="male"/>
    <s v="test"/>
    <x v="11"/>
    <n v="48391"/>
    <n v="0"/>
    <n v="1"/>
    <n v="0"/>
    <n v="0"/>
    <s v="Stores A and B."/>
    <s v="Stores A, B, C, D and E."/>
    <s v="Store E."/>
    <s v="ms-h"/>
    <s v="exh"/>
    <s v="mo-l"/>
    <n v="1"/>
    <n v="0"/>
    <n v="1"/>
    <n v="1"/>
    <n v="0"/>
    <n v="0"/>
    <n v="1"/>
    <n v="1"/>
    <n v="0"/>
    <n v="0"/>
    <n v="0"/>
    <n v="0"/>
    <n v="0"/>
    <n v="0"/>
  </r>
  <r>
    <s v="A2W046PDRTCZW7"/>
    <s v="english"/>
    <n v="36"/>
    <s v="male"/>
    <s v="control"/>
    <x v="12"/>
    <n v="30474"/>
    <n v="1"/>
    <n v="0"/>
    <n v="0"/>
    <n v="0"/>
    <s v="NA"/>
    <s v="NA"/>
    <s v="NA"/>
    <s v="NA"/>
    <s v="NA"/>
    <s v="NA"/>
    <s v="NA"/>
    <n v="0"/>
    <n v="1"/>
    <n v="1"/>
    <n v="0"/>
    <n v="0"/>
    <n v="1"/>
    <n v="1"/>
    <n v="0"/>
    <n v="0"/>
    <n v="0"/>
    <n v="0"/>
    <n v="0"/>
    <n v="0"/>
  </r>
  <r>
    <s v="A2W046PDRTCZW7"/>
    <s v="english"/>
    <n v="36"/>
    <s v="male"/>
    <s v="test"/>
    <x v="9"/>
    <n v="58494"/>
    <n v="0"/>
    <n v="0"/>
    <n v="1"/>
    <n v="0"/>
    <s v="Stalls A and B."/>
    <s v="Stall E."/>
    <s v="Stalls A, B, C, D and E."/>
    <s v="ms-h"/>
    <s v="mo-l"/>
    <s v="exh"/>
    <n v="1"/>
    <n v="0"/>
    <n v="1"/>
    <n v="1"/>
    <n v="0"/>
    <n v="0"/>
    <n v="1"/>
    <n v="1"/>
    <n v="0"/>
    <n v="0"/>
    <n v="0"/>
    <n v="0"/>
    <n v="0"/>
    <n v="0"/>
  </r>
  <r>
    <s v="A2W046PDRTCZW7"/>
    <s v="english"/>
    <n v="36"/>
    <s v="male"/>
    <s v="test"/>
    <x v="8"/>
    <n v="96028"/>
    <n v="0"/>
    <n v="0"/>
    <n v="0"/>
    <n v="1"/>
    <s v="Stylist F."/>
    <s v="Stylist A."/>
    <s v="Stylists A and B."/>
    <s v="fa"/>
    <s v="mo-h"/>
    <s v="ms-h"/>
    <n v="0"/>
    <n v="1"/>
    <n v="0"/>
    <n v="1"/>
    <n v="0"/>
    <n v="0"/>
    <n v="1"/>
    <n v="0"/>
    <n v="0"/>
    <n v="0"/>
    <n v="0"/>
    <n v="0"/>
    <n v="0"/>
    <n v="1"/>
  </r>
  <r>
    <s v="A2W046PDRTCZW7"/>
    <s v="english"/>
    <n v="36"/>
    <s v="male"/>
    <s v="control"/>
    <x v="7"/>
    <n v="47605"/>
    <n v="1"/>
    <n v="0"/>
    <n v="0"/>
    <n v="0"/>
    <s v="NA"/>
    <s v="NA"/>
    <s v="NA"/>
    <s v="NA"/>
    <s v="NA"/>
    <s v="NA"/>
    <s v="NA"/>
    <n v="1"/>
    <n v="0"/>
    <n v="1"/>
    <n v="0"/>
    <n v="0"/>
    <n v="1"/>
    <n v="0"/>
    <n v="0"/>
    <n v="0"/>
    <n v="0"/>
    <n v="0"/>
    <n v="0"/>
    <n v="1"/>
  </r>
  <r>
    <s v="A2W046PDRTCZW7"/>
    <s v="english"/>
    <n v="36"/>
    <s v="male"/>
    <s v="test"/>
    <x v="3"/>
    <n v="40392"/>
    <n v="0"/>
    <n v="0"/>
    <n v="0"/>
    <n v="1"/>
    <s v="Bookstore F."/>
    <s v="Bookstores A and B."/>
    <s v="Bookstore A."/>
    <s v="fa"/>
    <s v="ms-h"/>
    <s v="mo-h"/>
    <n v="0"/>
    <n v="1"/>
    <n v="0"/>
    <n v="1"/>
    <n v="0"/>
    <n v="0"/>
    <n v="1"/>
    <n v="0"/>
    <n v="0"/>
    <n v="0"/>
    <n v="0"/>
    <n v="0"/>
    <n v="0"/>
    <n v="1"/>
  </r>
  <r>
    <s v="A2W046PDRTCZW7"/>
    <s v="english"/>
    <n v="36"/>
    <s v="male"/>
    <s v="control"/>
    <x v="10"/>
    <n v="73907"/>
    <n v="0"/>
    <n v="0"/>
    <n v="1"/>
    <n v="0"/>
    <s v="NA"/>
    <s v="NA"/>
    <s v="NA"/>
    <s v="NA"/>
    <s v="NA"/>
    <s v="NA"/>
    <s v="NA"/>
    <n v="1"/>
    <n v="0"/>
    <n v="1"/>
    <n v="0"/>
    <n v="0"/>
    <n v="1"/>
    <n v="0"/>
    <n v="0"/>
    <n v="0"/>
    <n v="0"/>
    <n v="0"/>
    <n v="0"/>
    <n v="1"/>
  </r>
  <r>
    <s v="A2W046PDRTCZW7"/>
    <s v="english"/>
    <n v="36"/>
    <s v="male"/>
    <s v="exit_quest"/>
    <x v="0"/>
    <n v="248691"/>
    <s v="Both will have similar answers but not the same. For the first question%2C I can give restaurant names while for the second question I can give some brief information about the restaurants."/>
    <s v="Little bit difficult as few options were confusing and most them were similar to each other."/>
    <s v="No"/>
    <s v="NA"/>
    <s v="NA"/>
    <s v="NA"/>
    <s v="NA"/>
    <s v="NA"/>
    <s v="NA"/>
    <s v="NA"/>
    <s v="NA"/>
    <s v="NA"/>
    <s v="NA"/>
    <s v="NA"/>
    <s v="NA"/>
    <s v="NA"/>
    <s v="NA"/>
    <s v="NA"/>
    <s v="NA"/>
    <s v="NA"/>
    <s v="NA"/>
    <s v="NA"/>
    <s v="NA"/>
    <s v="NA"/>
  </r>
  <r>
    <s v="A2SZRPGIEYRCG6"/>
    <s v="english"/>
    <n v="35"/>
    <s v="male"/>
    <s v="consent"/>
    <x v="0"/>
    <n v="90535"/>
    <s v="NA"/>
    <s v="NA"/>
    <s v="NA"/>
    <s v="NA"/>
    <s v="NA"/>
    <s v="NA"/>
    <s v="NA"/>
    <s v="NA"/>
    <s v="NA"/>
    <s v="NA"/>
    <s v="NA"/>
    <s v="NA"/>
    <s v="NA"/>
    <s v="NA"/>
    <s v="NA"/>
    <s v="NA"/>
    <s v="NA"/>
    <s v="NA"/>
    <s v="NA"/>
    <s v="NA"/>
    <s v="NA"/>
    <s v="NA"/>
    <s v="NA"/>
    <s v="NA"/>
  </r>
  <r>
    <s v="A2SZRPGIEYRCG6"/>
    <s v="english"/>
    <n v="35"/>
    <s v="male"/>
    <s v="train"/>
    <x v="1"/>
    <n v="104763"/>
    <n v="0"/>
    <n v="1"/>
    <n v="0"/>
    <n v="0"/>
    <s v="NA"/>
    <s v="NA"/>
    <s v="NA"/>
    <s v="NA"/>
    <s v="NA"/>
    <s v="NA"/>
    <s v="NA"/>
    <s v="NA"/>
    <s v="NA"/>
    <s v="NA"/>
    <s v="NA"/>
    <s v="NA"/>
    <s v="NA"/>
    <s v="NA"/>
    <s v="NA"/>
    <s v="NA"/>
    <s v="NA"/>
    <s v="NA"/>
    <s v="NA"/>
    <s v="NA"/>
  </r>
  <r>
    <s v="A2SZRPGIEYRCG6"/>
    <s v="english"/>
    <n v="35"/>
    <s v="male"/>
    <s v="train"/>
    <x v="2"/>
    <n v="128014"/>
    <n v="0"/>
    <n v="0"/>
    <n v="0"/>
    <n v="1"/>
    <s v="NA"/>
    <s v="NA"/>
    <s v="NA"/>
    <s v="NA"/>
    <s v="NA"/>
    <s v="NA"/>
    <s v="NA"/>
    <s v="NA"/>
    <s v="NA"/>
    <s v="NA"/>
    <s v="NA"/>
    <s v="NA"/>
    <s v="NA"/>
    <s v="NA"/>
    <s v="NA"/>
    <s v="NA"/>
    <s v="NA"/>
    <s v="NA"/>
    <s v="NA"/>
    <s v="NA"/>
  </r>
  <r>
    <s v="A2SZRPGIEYRCG6"/>
    <s v="english"/>
    <n v="35"/>
    <s v="male"/>
    <s v="test"/>
    <x v="6"/>
    <n v="105885"/>
    <n v="0"/>
    <n v="1"/>
    <n v="0"/>
    <n v="0"/>
    <s v="Cafe E."/>
    <s v="Cafes A, B, C, D and E."/>
    <s v="Cafe A."/>
    <s v="mo-l"/>
    <s v="exh"/>
    <s v="mo-h"/>
    <n v="1"/>
    <n v="1"/>
    <n v="1"/>
    <n v="0"/>
    <n v="0"/>
    <n v="0"/>
    <n v="1"/>
    <n v="1"/>
    <n v="0"/>
    <n v="0"/>
    <n v="0"/>
    <n v="0"/>
    <n v="0"/>
    <n v="0"/>
  </r>
  <r>
    <s v="A2SZRPGIEYRCG6"/>
    <s v="english"/>
    <n v="35"/>
    <s v="male"/>
    <s v="test"/>
    <x v="9"/>
    <n v="46576"/>
    <n v="1"/>
    <n v="0"/>
    <n v="0"/>
    <n v="0"/>
    <s v="Stall A."/>
    <s v="Stalls D and E."/>
    <s v="Stall E."/>
    <s v="mo-h"/>
    <s v="ms-l"/>
    <s v="mo-l"/>
    <n v="0"/>
    <n v="1"/>
    <n v="1"/>
    <n v="0"/>
    <n v="1"/>
    <n v="0"/>
    <n v="1"/>
    <n v="0"/>
    <n v="1"/>
    <n v="0"/>
    <n v="0"/>
    <n v="0"/>
    <n v="0"/>
    <n v="0"/>
  </r>
  <r>
    <s v="A2SZRPGIEYRCG6"/>
    <s v="english"/>
    <n v="35"/>
    <s v="male"/>
    <s v="control"/>
    <x v="7"/>
    <n v="40683"/>
    <n v="1"/>
    <n v="0"/>
    <n v="0"/>
    <n v="0"/>
    <s v="NA"/>
    <s v="NA"/>
    <s v="NA"/>
    <s v="NA"/>
    <s v="NA"/>
    <s v="NA"/>
    <s v="NA"/>
    <n v="1"/>
    <n v="1"/>
    <n v="0"/>
    <n v="1"/>
    <n v="0"/>
    <n v="1"/>
    <n v="0"/>
    <n v="1"/>
    <n v="0"/>
    <n v="0"/>
    <n v="0"/>
    <n v="0"/>
    <n v="0"/>
  </r>
  <r>
    <s v="A2SZRPGIEYRCG6"/>
    <s v="english"/>
    <n v="35"/>
    <s v="male"/>
    <s v="test"/>
    <x v="3"/>
    <n v="58433"/>
    <n v="1"/>
    <n v="1"/>
    <n v="1"/>
    <n v="0"/>
    <s v="Bookstores A, B, C, D and E."/>
    <s v="Bookstore E."/>
    <s v="Bookstores A and B."/>
    <s v="exh"/>
    <s v="mo-l"/>
    <s v="ms-h"/>
    <n v="1"/>
    <n v="0"/>
    <n v="1"/>
    <n v="1"/>
    <n v="0"/>
    <n v="0"/>
    <n v="1"/>
    <n v="1"/>
    <n v="0"/>
    <n v="1"/>
    <n v="1"/>
    <n v="0"/>
    <n v="0"/>
    <n v="0"/>
  </r>
  <r>
    <s v="A2SZRPGIEYRCG6"/>
    <s v="english"/>
    <n v="35"/>
    <s v="male"/>
    <s v="test"/>
    <x v="8"/>
    <n v="57217"/>
    <n v="1"/>
    <n v="1"/>
    <n v="1"/>
    <n v="0"/>
    <s v="Stylist A."/>
    <s v="Stylists A, B, C, D and E."/>
    <s v="Stylists A and B."/>
    <s v="mo-h"/>
    <s v="exh"/>
    <s v="ms-h"/>
    <n v="1"/>
    <n v="1"/>
    <n v="0"/>
    <n v="1"/>
    <n v="0"/>
    <n v="0"/>
    <n v="1"/>
    <n v="1"/>
    <n v="1"/>
    <n v="0"/>
    <n v="1"/>
    <n v="0"/>
    <n v="0"/>
    <n v="0"/>
  </r>
  <r>
    <s v="A2SZRPGIEYRCG6"/>
    <s v="english"/>
    <n v="35"/>
    <s v="male"/>
    <s v="control"/>
    <x v="10"/>
    <n v="57039"/>
    <n v="0"/>
    <n v="0"/>
    <n v="1"/>
    <n v="0"/>
    <s v="NA"/>
    <s v="NA"/>
    <s v="NA"/>
    <s v="NA"/>
    <s v="NA"/>
    <s v="NA"/>
    <s v="NA"/>
    <n v="1"/>
    <n v="0"/>
    <n v="1"/>
    <n v="0"/>
    <n v="0"/>
    <n v="1"/>
    <n v="1"/>
    <n v="1"/>
    <n v="0"/>
    <n v="1"/>
    <n v="0"/>
    <n v="0"/>
    <n v="0"/>
  </r>
  <r>
    <s v="A2SZRPGIEYRCG6"/>
    <s v="english"/>
    <n v="35"/>
    <s v="male"/>
    <s v="test"/>
    <x v="4"/>
    <n v="42952"/>
    <n v="0"/>
    <n v="1"/>
    <n v="0"/>
    <n v="0"/>
    <s v="Dentist F."/>
    <s v="Dentist A."/>
    <s v="Dentists D and E."/>
    <s v="fa"/>
    <s v="mo-h"/>
    <s v="ms-l"/>
    <n v="0"/>
    <n v="1"/>
    <n v="0"/>
    <n v="0"/>
    <n v="1"/>
    <n v="0"/>
    <n v="1"/>
    <n v="0"/>
    <n v="1"/>
    <n v="0"/>
    <n v="0"/>
    <n v="0"/>
    <n v="0"/>
    <n v="0"/>
  </r>
  <r>
    <s v="A2SZRPGIEYRCG6"/>
    <s v="english"/>
    <n v="35"/>
    <s v="male"/>
    <s v="control"/>
    <x v="12"/>
    <n v="108191"/>
    <n v="0"/>
    <n v="0"/>
    <n v="0"/>
    <n v="1"/>
    <s v="NA"/>
    <s v="NA"/>
    <s v="NA"/>
    <s v="NA"/>
    <s v="NA"/>
    <s v="NA"/>
    <s v="NA"/>
    <n v="1"/>
    <n v="0"/>
    <n v="0"/>
    <n v="1"/>
    <n v="0"/>
    <n v="1"/>
    <n v="0"/>
    <n v="1"/>
    <n v="0"/>
    <n v="0"/>
    <n v="0"/>
    <n v="0"/>
    <n v="0"/>
  </r>
  <r>
    <s v="A2SZRPGIEYRCG6"/>
    <s v="english"/>
    <n v="35"/>
    <s v="male"/>
    <s v="test"/>
    <x v="11"/>
    <n v="101450"/>
    <n v="1"/>
    <n v="1"/>
    <n v="1"/>
    <n v="0"/>
    <s v="Store A."/>
    <s v="Store F."/>
    <s v="Stores D and E."/>
    <s v="mo-h"/>
    <s v="fa"/>
    <s v="ms-l"/>
    <n v="0"/>
    <n v="1"/>
    <n v="0"/>
    <n v="0"/>
    <n v="1"/>
    <n v="0"/>
    <n v="1"/>
    <n v="0"/>
    <n v="1"/>
    <n v="0"/>
    <n v="0"/>
    <n v="1"/>
    <n v="0"/>
    <n v="0"/>
  </r>
  <r>
    <s v="A2SZRPGIEYRCG6"/>
    <s v="english"/>
    <n v="35"/>
    <s v="male"/>
    <s v="control"/>
    <x v="5"/>
    <n v="112006"/>
    <n v="0"/>
    <n v="0"/>
    <n v="1"/>
    <n v="1"/>
    <s v="NA"/>
    <s v="NA"/>
    <s v="NA"/>
    <s v="NA"/>
    <s v="NA"/>
    <s v="NA"/>
    <s v="NA"/>
    <n v="1"/>
    <n v="0"/>
    <n v="0"/>
    <n v="1"/>
    <n v="0"/>
    <n v="1"/>
    <n v="0"/>
    <n v="1"/>
    <n v="0"/>
    <n v="0"/>
    <n v="1"/>
    <n v="0"/>
    <n v="0"/>
  </r>
  <r>
    <s v="A2SZRPGIEYRCG6"/>
    <s v="english"/>
    <n v="35"/>
    <s v="male"/>
    <s v="exit_quest"/>
    <x v="0"/>
    <n v="83250"/>
    <s v="NO IDEA"/>
    <s v="NO"/>
    <s v="NOTHING"/>
    <s v="NA"/>
    <s v="NA"/>
    <s v="NA"/>
    <s v="NA"/>
    <s v="NA"/>
    <s v="NA"/>
    <s v="NA"/>
    <s v="NA"/>
    <s v="NA"/>
    <s v="NA"/>
    <s v="NA"/>
    <s v="NA"/>
    <s v="NA"/>
    <s v="NA"/>
    <s v="NA"/>
    <s v="NA"/>
    <s v="NA"/>
    <s v="NA"/>
    <s v="NA"/>
    <s v="NA"/>
    <s v="NA"/>
  </r>
  <r>
    <s v="A2LV5432PV1S39"/>
    <s v="english"/>
    <n v="31"/>
    <s v="male"/>
    <s v="consent"/>
    <x v="0"/>
    <n v="306920"/>
    <s v="NA"/>
    <s v="NA"/>
    <s v="NA"/>
    <s v="NA"/>
    <s v="NA"/>
    <s v="NA"/>
    <s v="NA"/>
    <s v="NA"/>
    <s v="NA"/>
    <s v="NA"/>
    <s v="NA"/>
    <s v="NA"/>
    <s v="NA"/>
    <s v="NA"/>
    <s v="NA"/>
    <s v="NA"/>
    <s v="NA"/>
    <s v="NA"/>
    <s v="NA"/>
    <s v="NA"/>
    <s v="NA"/>
    <s v="NA"/>
    <s v="NA"/>
    <s v="NA"/>
  </r>
  <r>
    <s v="A2LV5432PV1S39"/>
    <s v="english"/>
    <n v="31"/>
    <s v="male"/>
    <s v="train"/>
    <x v="2"/>
    <n v="29288"/>
    <n v="0"/>
    <n v="0"/>
    <n v="0"/>
    <n v="1"/>
    <s v="NA"/>
    <s v="NA"/>
    <s v="NA"/>
    <s v="NA"/>
    <s v="NA"/>
    <s v="NA"/>
    <s v="NA"/>
    <s v="NA"/>
    <s v="NA"/>
    <s v="NA"/>
    <s v="NA"/>
    <s v="NA"/>
    <s v="NA"/>
    <s v="NA"/>
    <s v="NA"/>
    <s v="NA"/>
    <s v="NA"/>
    <s v="NA"/>
    <s v="NA"/>
    <s v="NA"/>
  </r>
  <r>
    <s v="A2LV5432PV1S39"/>
    <s v="english"/>
    <n v="31"/>
    <s v="male"/>
    <s v="train"/>
    <x v="1"/>
    <n v="39004"/>
    <n v="0"/>
    <n v="0"/>
    <n v="1"/>
    <n v="0"/>
    <s v="NA"/>
    <s v="NA"/>
    <s v="NA"/>
    <s v="NA"/>
    <s v="NA"/>
    <s v="NA"/>
    <s v="NA"/>
    <s v="NA"/>
    <s v="NA"/>
    <s v="NA"/>
    <s v="NA"/>
    <s v="NA"/>
    <s v="NA"/>
    <s v="NA"/>
    <s v="NA"/>
    <s v="NA"/>
    <s v="NA"/>
    <s v="NA"/>
    <s v="NA"/>
    <s v="NA"/>
  </r>
  <r>
    <s v="A2LV5432PV1S39"/>
    <s v="english"/>
    <n v="31"/>
    <s v="male"/>
    <s v="test"/>
    <x v="8"/>
    <n v="83351"/>
    <n v="1"/>
    <n v="1"/>
    <n v="1"/>
    <n v="0"/>
    <s v="Stylists D and E."/>
    <s v="Stylist F."/>
    <s v="Stylist A."/>
    <s v="ms-l"/>
    <s v="fa"/>
    <s v="mo-h"/>
    <n v="0"/>
    <n v="1"/>
    <n v="0"/>
    <n v="0"/>
    <n v="1"/>
    <n v="0"/>
    <n v="1"/>
    <n v="0"/>
    <n v="1"/>
    <n v="0"/>
    <n v="0"/>
    <n v="1"/>
    <n v="0"/>
    <n v="0"/>
  </r>
  <r>
    <s v="A2LV5432PV1S39"/>
    <s v="english"/>
    <n v="31"/>
    <s v="male"/>
    <s v="test"/>
    <x v="4"/>
    <n v="33074"/>
    <n v="1"/>
    <n v="1"/>
    <n v="1"/>
    <n v="0"/>
    <s v="Dentist E."/>
    <s v="Dentists D and E."/>
    <s v="Dentist A."/>
    <s v="mo-l"/>
    <s v="ms-l"/>
    <s v="mo-h"/>
    <n v="0"/>
    <n v="1"/>
    <n v="1"/>
    <n v="0"/>
    <n v="1"/>
    <n v="0"/>
    <n v="1"/>
    <n v="0"/>
    <n v="1"/>
    <n v="1"/>
    <n v="0"/>
    <n v="1"/>
    <n v="0"/>
    <n v="0"/>
  </r>
  <r>
    <s v="A2LV5432PV1S39"/>
    <s v="english"/>
    <n v="31"/>
    <s v="male"/>
    <s v="control"/>
    <x v="7"/>
    <n v="53831"/>
    <n v="0"/>
    <n v="0"/>
    <n v="0"/>
    <n v="1"/>
    <s v="NA"/>
    <s v="NA"/>
    <s v="NA"/>
    <s v="NA"/>
    <s v="NA"/>
    <s v="NA"/>
    <s v="NA"/>
    <n v="1"/>
    <n v="1"/>
    <n v="0"/>
    <n v="1"/>
    <n v="0"/>
    <n v="1"/>
    <n v="0"/>
    <n v="1"/>
    <n v="1"/>
    <n v="0"/>
    <n v="1"/>
    <n v="0"/>
    <n v="0"/>
  </r>
  <r>
    <s v="A2LV5432PV1S39"/>
    <s v="english"/>
    <n v="31"/>
    <s v="male"/>
    <s v="test"/>
    <x v="11"/>
    <n v="94707"/>
    <n v="1"/>
    <n v="1"/>
    <n v="1"/>
    <n v="0"/>
    <s v="Store A."/>
    <s v="Stores A and B."/>
    <s v="Stores D and E."/>
    <s v="mo-h"/>
    <s v="ms-h"/>
    <s v="ms-l"/>
    <n v="0"/>
    <n v="1"/>
    <n v="0"/>
    <n v="1"/>
    <n v="1"/>
    <n v="0"/>
    <n v="1"/>
    <n v="0"/>
    <n v="1"/>
    <n v="0"/>
    <n v="1"/>
    <n v="1"/>
    <n v="0"/>
    <n v="0"/>
  </r>
  <r>
    <s v="A2LV5432PV1S39"/>
    <s v="english"/>
    <n v="31"/>
    <s v="male"/>
    <s v="control"/>
    <x v="10"/>
    <n v="57685"/>
    <n v="1"/>
    <n v="1"/>
    <n v="1"/>
    <n v="0"/>
    <s v="NA"/>
    <s v="NA"/>
    <s v="NA"/>
    <s v="NA"/>
    <s v="NA"/>
    <s v="NA"/>
    <s v="NA"/>
    <n v="1"/>
    <n v="0"/>
    <n v="1"/>
    <n v="1"/>
    <n v="0"/>
    <n v="1"/>
    <n v="0"/>
    <n v="1"/>
    <n v="0"/>
    <n v="1"/>
    <n v="1"/>
    <n v="0"/>
    <n v="0"/>
  </r>
  <r>
    <s v="A2LV5432PV1S39"/>
    <s v="english"/>
    <n v="31"/>
    <s v="male"/>
    <s v="test"/>
    <x v="9"/>
    <n v="88782"/>
    <n v="1"/>
    <n v="1"/>
    <n v="1"/>
    <n v="0"/>
    <s v="Stall A."/>
    <s v="Stalls A and B."/>
    <s v="Stall E."/>
    <s v="mo-h"/>
    <s v="ms-h"/>
    <s v="mo-l"/>
    <n v="0"/>
    <n v="1"/>
    <n v="1"/>
    <n v="1"/>
    <n v="0"/>
    <n v="0"/>
    <n v="1"/>
    <n v="0"/>
    <n v="1"/>
    <n v="1"/>
    <n v="1"/>
    <n v="0"/>
    <n v="0"/>
    <n v="0"/>
  </r>
  <r>
    <s v="A2LV5432PV1S39"/>
    <s v="english"/>
    <n v="31"/>
    <s v="male"/>
    <s v="test"/>
    <x v="6"/>
    <n v="169000"/>
    <n v="1"/>
    <n v="1"/>
    <n v="1"/>
    <n v="0"/>
    <s v="Cafes A and B."/>
    <s v="Cafe F."/>
    <s v="Cafe A."/>
    <s v="ms-h"/>
    <s v="fa"/>
    <s v="mo-h"/>
    <n v="0"/>
    <n v="1"/>
    <n v="0"/>
    <n v="1"/>
    <n v="0"/>
    <n v="0"/>
    <n v="1"/>
    <n v="0"/>
    <n v="1"/>
    <n v="0"/>
    <n v="1"/>
    <n v="0"/>
    <n v="0"/>
    <n v="0"/>
  </r>
  <r>
    <s v="A2LV5432PV1S39"/>
    <s v="english"/>
    <n v="31"/>
    <s v="male"/>
    <s v="control"/>
    <x v="5"/>
    <n v="83675"/>
    <n v="0"/>
    <n v="1"/>
    <n v="1"/>
    <n v="0"/>
    <s v="NA"/>
    <s v="NA"/>
    <s v="NA"/>
    <s v="NA"/>
    <s v="NA"/>
    <s v="NA"/>
    <s v="NA"/>
    <n v="1"/>
    <n v="0"/>
    <n v="1"/>
    <n v="0"/>
    <n v="0"/>
    <n v="1"/>
    <n v="0"/>
    <n v="1"/>
    <n v="0"/>
    <n v="1"/>
    <n v="0"/>
    <n v="0"/>
    <n v="0"/>
  </r>
  <r>
    <s v="A2LV5432PV1S39"/>
    <s v="english"/>
    <n v="31"/>
    <s v="male"/>
    <s v="test"/>
    <x v="3"/>
    <n v="125707"/>
    <n v="1"/>
    <n v="1"/>
    <n v="1"/>
    <n v="0"/>
    <s v="Bookstore A."/>
    <s v="Bookstores D and E."/>
    <s v="Bookstores A, B, C, D and E."/>
    <s v="mo-h"/>
    <s v="ms-l"/>
    <s v="exh"/>
    <n v="1"/>
    <n v="1"/>
    <n v="0"/>
    <n v="0"/>
    <n v="1"/>
    <n v="0"/>
    <n v="1"/>
    <n v="1"/>
    <n v="1"/>
    <n v="0"/>
    <n v="0"/>
    <n v="1"/>
    <n v="0"/>
    <n v="0"/>
  </r>
  <r>
    <s v="A2LV5432PV1S39"/>
    <s v="english"/>
    <n v="31"/>
    <s v="male"/>
    <s v="control"/>
    <x v="12"/>
    <n v="99700"/>
    <n v="1"/>
    <n v="1"/>
    <n v="0"/>
    <n v="0"/>
    <s v="NA"/>
    <s v="NA"/>
    <s v="NA"/>
    <s v="NA"/>
    <s v="NA"/>
    <s v="NA"/>
    <s v="NA"/>
    <n v="1"/>
    <n v="0"/>
    <n v="0"/>
    <n v="1"/>
    <n v="0"/>
    <n v="1"/>
    <n v="1"/>
    <n v="1"/>
    <n v="0"/>
    <n v="0"/>
    <n v="1"/>
    <n v="0"/>
    <n v="0"/>
  </r>
  <r>
    <s v="A2LV5432PV1S39"/>
    <s v="english"/>
    <n v="31"/>
    <s v="male"/>
    <s v="exit_quest"/>
    <x v="0"/>
    <n v="17672"/>
    <s v="No they're both the same question."/>
    <s v="No it was simple to read and understand."/>
    <s v="No"/>
    <s v="NA"/>
    <s v="NA"/>
    <s v="NA"/>
    <s v="NA"/>
    <s v="NA"/>
    <s v="NA"/>
    <s v="NA"/>
    <s v="NA"/>
    <s v="NA"/>
    <s v="NA"/>
    <s v="NA"/>
    <s v="NA"/>
    <s v="NA"/>
    <s v="NA"/>
    <s v="NA"/>
    <s v="NA"/>
    <s v="NA"/>
    <s v="NA"/>
    <s v="NA"/>
    <s v="NA"/>
    <s v="NA"/>
  </r>
  <r>
    <s v="A1BZNPQ0H7ZSER"/>
    <s v="english"/>
    <n v="36"/>
    <s v="male"/>
    <s v="consent"/>
    <x v="0"/>
    <n v="219366"/>
    <s v="NA"/>
    <s v="NA"/>
    <s v="NA"/>
    <s v="NA"/>
    <s v="NA"/>
    <s v="NA"/>
    <s v="NA"/>
    <s v="NA"/>
    <s v="NA"/>
    <s v="NA"/>
    <s v="NA"/>
    <s v="NA"/>
    <s v="NA"/>
    <s v="NA"/>
    <s v="NA"/>
    <s v="NA"/>
    <s v="NA"/>
    <s v="NA"/>
    <s v="NA"/>
    <s v="NA"/>
    <s v="NA"/>
    <s v="NA"/>
    <s v="NA"/>
    <s v="NA"/>
  </r>
  <r>
    <s v="A1BZNPQ0H7ZSER"/>
    <s v="english"/>
    <n v="36"/>
    <s v="male"/>
    <s v="train"/>
    <x v="1"/>
    <n v="326499"/>
    <n v="0"/>
    <n v="0"/>
    <n v="1"/>
    <n v="0"/>
    <s v="NA"/>
    <s v="NA"/>
    <s v="NA"/>
    <s v="NA"/>
    <s v="NA"/>
    <s v="NA"/>
    <s v="NA"/>
    <s v="NA"/>
    <s v="NA"/>
    <s v="NA"/>
    <s v="NA"/>
    <s v="NA"/>
    <s v="NA"/>
    <s v="NA"/>
    <s v="NA"/>
    <s v="NA"/>
    <s v="NA"/>
    <s v="NA"/>
    <s v="NA"/>
    <s v="NA"/>
  </r>
  <r>
    <s v="A1BZNPQ0H7ZSER"/>
    <s v="english"/>
    <n v="36"/>
    <s v="male"/>
    <s v="train"/>
    <x v="2"/>
    <n v="148107"/>
    <n v="0"/>
    <n v="0"/>
    <n v="0"/>
    <n v="1"/>
    <s v="NA"/>
    <s v="NA"/>
    <s v="NA"/>
    <s v="NA"/>
    <s v="NA"/>
    <s v="NA"/>
    <s v="NA"/>
    <s v="NA"/>
    <s v="NA"/>
    <s v="NA"/>
    <s v="NA"/>
    <s v="NA"/>
    <s v="NA"/>
    <s v="NA"/>
    <s v="NA"/>
    <s v="NA"/>
    <s v="NA"/>
    <s v="NA"/>
    <s v="NA"/>
    <s v="NA"/>
  </r>
  <r>
    <s v="A1BZNPQ0H7ZSER"/>
    <s v="english"/>
    <n v="36"/>
    <s v="male"/>
    <s v="test"/>
    <x v="11"/>
    <n v="80575"/>
    <n v="1"/>
    <n v="1"/>
    <n v="1"/>
    <n v="0"/>
    <s v="Store A."/>
    <s v="Stores A, B, C, D and E."/>
    <s v="Stores A and B."/>
    <s v="mo-h"/>
    <s v="exh"/>
    <s v="ms-h"/>
    <n v="1"/>
    <n v="1"/>
    <n v="0"/>
    <n v="1"/>
    <n v="0"/>
    <n v="0"/>
    <n v="1"/>
    <n v="1"/>
    <n v="1"/>
    <n v="0"/>
    <n v="1"/>
    <n v="0"/>
    <n v="0"/>
    <n v="0"/>
  </r>
  <r>
    <s v="A1BZNPQ0H7ZSER"/>
    <s v="english"/>
    <n v="36"/>
    <s v="male"/>
    <s v="test"/>
    <x v="3"/>
    <n v="42268"/>
    <n v="1"/>
    <n v="1"/>
    <n v="1"/>
    <n v="0"/>
    <s v="Bookstores A and B."/>
    <s v="Bookstores D and E."/>
    <s v="Bookstore A."/>
    <s v="ms-h"/>
    <s v="ms-l"/>
    <s v="mo-h"/>
    <n v="0"/>
    <n v="1"/>
    <n v="0"/>
    <n v="1"/>
    <n v="1"/>
    <n v="0"/>
    <n v="1"/>
    <n v="0"/>
    <n v="1"/>
    <n v="0"/>
    <n v="1"/>
    <n v="1"/>
    <n v="0"/>
    <n v="0"/>
  </r>
  <r>
    <s v="A1BZNPQ0H7ZSER"/>
    <s v="english"/>
    <n v="36"/>
    <s v="male"/>
    <s v="control"/>
    <x v="10"/>
    <n v="97940"/>
    <n v="0"/>
    <n v="1"/>
    <n v="1"/>
    <n v="0"/>
    <s v="NA"/>
    <s v="NA"/>
    <s v="NA"/>
    <s v="NA"/>
    <s v="NA"/>
    <s v="NA"/>
    <s v="NA"/>
    <n v="1"/>
    <n v="0"/>
    <n v="1"/>
    <n v="1"/>
    <n v="0"/>
    <n v="1"/>
    <n v="0"/>
    <n v="1"/>
    <n v="0"/>
    <n v="1"/>
    <n v="1"/>
    <n v="0"/>
    <n v="0"/>
  </r>
  <r>
    <s v="A1BZNPQ0H7ZSER"/>
    <s v="english"/>
    <n v="36"/>
    <s v="male"/>
    <s v="test"/>
    <x v="9"/>
    <n v="83376"/>
    <n v="1"/>
    <n v="1"/>
    <n v="1"/>
    <n v="0"/>
    <s v="Stall E."/>
    <s v="Stalls A and B."/>
    <s v="Stalls A, B, C, D and E."/>
    <s v="mo-l"/>
    <s v="ms-h"/>
    <s v="exh"/>
    <n v="1"/>
    <n v="0"/>
    <n v="1"/>
    <n v="1"/>
    <n v="0"/>
    <n v="0"/>
    <n v="1"/>
    <n v="1"/>
    <n v="0"/>
    <n v="1"/>
    <n v="1"/>
    <n v="0"/>
    <n v="0"/>
    <n v="0"/>
  </r>
  <r>
    <s v="A1BZNPQ0H7ZSER"/>
    <s v="english"/>
    <n v="36"/>
    <s v="male"/>
    <s v="test"/>
    <x v="6"/>
    <n v="82325"/>
    <n v="1"/>
    <n v="1"/>
    <n v="1"/>
    <n v="0"/>
    <s v="Cafe A."/>
    <s v="Cafes A, B, C, D and E."/>
    <s v="Cafe E."/>
    <s v="mo-h"/>
    <s v="exh"/>
    <s v="mo-l"/>
    <n v="1"/>
    <n v="1"/>
    <n v="1"/>
    <n v="0"/>
    <n v="0"/>
    <n v="0"/>
    <n v="1"/>
    <n v="1"/>
    <n v="1"/>
    <n v="1"/>
    <n v="0"/>
    <n v="0"/>
    <n v="0"/>
    <n v="0"/>
  </r>
  <r>
    <s v="A1BZNPQ0H7ZSER"/>
    <s v="english"/>
    <n v="36"/>
    <s v="male"/>
    <s v="control"/>
    <x v="7"/>
    <n v="14833"/>
    <n v="1"/>
    <n v="0"/>
    <n v="0"/>
    <n v="0"/>
    <s v="NA"/>
    <s v="NA"/>
    <s v="NA"/>
    <s v="NA"/>
    <s v="NA"/>
    <s v="NA"/>
    <s v="NA"/>
    <n v="1"/>
    <n v="1"/>
    <n v="0"/>
    <n v="0"/>
    <n v="0"/>
    <n v="1"/>
    <n v="1"/>
    <n v="1"/>
    <n v="1"/>
    <n v="0"/>
    <n v="0"/>
    <n v="0"/>
    <n v="0"/>
  </r>
  <r>
    <s v="A1BZNPQ0H7ZSER"/>
    <s v="english"/>
    <n v="36"/>
    <s v="male"/>
    <s v="test"/>
    <x v="4"/>
    <n v="12779"/>
    <n v="1"/>
    <n v="1"/>
    <n v="1"/>
    <n v="0"/>
    <s v="Dentists D and E."/>
    <s v="Dentists A and B."/>
    <s v="Dentist E."/>
    <s v="ms-l"/>
    <s v="ms-h"/>
    <s v="mo-l"/>
    <n v="0"/>
    <n v="0"/>
    <n v="1"/>
    <n v="1"/>
    <n v="1"/>
    <n v="0"/>
    <n v="1"/>
    <n v="0"/>
    <n v="0"/>
    <n v="1"/>
    <n v="1"/>
    <n v="1"/>
    <n v="0"/>
    <n v="0"/>
  </r>
  <r>
    <s v="A1BZNPQ0H7ZSER"/>
    <s v="english"/>
    <n v="36"/>
    <s v="male"/>
    <s v="control"/>
    <x v="12"/>
    <n v="22744"/>
    <n v="1"/>
    <n v="0"/>
    <n v="0"/>
    <n v="0"/>
    <s v="NA"/>
    <s v="NA"/>
    <s v="NA"/>
    <s v="NA"/>
    <s v="NA"/>
    <s v="NA"/>
    <s v="NA"/>
    <n v="0"/>
    <n v="1"/>
    <n v="1"/>
    <n v="1"/>
    <n v="0"/>
    <n v="1"/>
    <n v="0"/>
    <n v="0"/>
    <n v="1"/>
    <n v="1"/>
    <n v="1"/>
    <n v="0"/>
    <n v="0"/>
  </r>
  <r>
    <s v="A1BZNPQ0H7ZSER"/>
    <s v="english"/>
    <n v="36"/>
    <s v="male"/>
    <s v="test"/>
    <x v="8"/>
    <n v="7258"/>
    <n v="1"/>
    <n v="1"/>
    <n v="1"/>
    <n v="0"/>
    <s v="Stylists A and B."/>
    <s v="Stylists A, B, C, D and E."/>
    <s v="Stylists D and E."/>
    <s v="ms-h"/>
    <s v="exh"/>
    <s v="ms-l"/>
    <n v="1"/>
    <n v="0"/>
    <n v="0"/>
    <n v="1"/>
    <n v="1"/>
    <n v="0"/>
    <n v="1"/>
    <n v="1"/>
    <n v="0"/>
    <n v="0"/>
    <n v="1"/>
    <n v="1"/>
    <n v="0"/>
    <n v="0"/>
  </r>
  <r>
    <s v="A1BZNPQ0H7ZSER"/>
    <s v="english"/>
    <n v="36"/>
    <s v="male"/>
    <s v="control"/>
    <x v="5"/>
    <n v="31807"/>
    <n v="1"/>
    <n v="1"/>
    <n v="1"/>
    <n v="0"/>
    <s v="NA"/>
    <s v="NA"/>
    <s v="NA"/>
    <s v="NA"/>
    <s v="NA"/>
    <s v="NA"/>
    <s v="NA"/>
    <n v="0"/>
    <n v="0"/>
    <n v="1"/>
    <n v="1"/>
    <n v="0"/>
    <n v="1"/>
    <n v="1"/>
    <n v="0"/>
    <n v="0"/>
    <n v="1"/>
    <n v="1"/>
    <n v="0"/>
    <n v="0"/>
  </r>
  <r>
    <s v="A1BZNPQ0H7ZSER"/>
    <s v="english"/>
    <n v="36"/>
    <s v="male"/>
    <s v="exit_quest"/>
    <x v="0"/>
    <n v="92931"/>
    <s v="No%2C they are both asking which restaurants serve brunch%2C and it should be safe to assume that they have access to any of them."/>
    <s v="no%2C it seemed straightforward if you stuck with grammar rules"/>
    <s v="no"/>
    <s v="NA"/>
    <s v="NA"/>
    <s v="NA"/>
    <s v="NA"/>
    <s v="NA"/>
    <s v="NA"/>
    <s v="NA"/>
    <s v="NA"/>
    <s v="NA"/>
    <s v="NA"/>
    <s v="NA"/>
    <s v="NA"/>
    <s v="NA"/>
    <s v="NA"/>
    <s v="NA"/>
    <s v="NA"/>
    <s v="NA"/>
    <s v="NA"/>
    <s v="NA"/>
    <s v="NA"/>
    <s v="NA"/>
  </r>
  <r>
    <s v="AC7Z8O1RETQC4"/>
    <s v="english"/>
    <n v="27"/>
    <s v="female"/>
    <s v="consent"/>
    <x v="0"/>
    <n v="13817"/>
    <s v="NA"/>
    <s v="NA"/>
    <s v="NA"/>
    <s v="NA"/>
    <s v="NA"/>
    <s v="NA"/>
    <s v="NA"/>
    <s v="NA"/>
    <s v="NA"/>
    <s v="NA"/>
    <s v="NA"/>
    <s v="NA"/>
    <s v="NA"/>
    <s v="NA"/>
    <s v="NA"/>
    <s v="NA"/>
    <s v="NA"/>
    <s v="NA"/>
    <s v="NA"/>
    <s v="NA"/>
    <s v="NA"/>
    <s v="NA"/>
    <s v="NA"/>
    <s v="NA"/>
  </r>
  <r>
    <s v="AC7Z8O1RETQC4"/>
    <s v="english"/>
    <n v="27"/>
    <s v="female"/>
    <s v="train"/>
    <x v="1"/>
    <n v="20526"/>
    <n v="0"/>
    <n v="0"/>
    <n v="1"/>
    <n v="0"/>
    <s v="NA"/>
    <s v="NA"/>
    <s v="NA"/>
    <s v="NA"/>
    <s v="NA"/>
    <s v="NA"/>
    <s v="NA"/>
    <s v="NA"/>
    <s v="NA"/>
    <s v="NA"/>
    <s v="NA"/>
    <s v="NA"/>
    <s v="NA"/>
    <s v="NA"/>
    <s v="NA"/>
    <s v="NA"/>
    <s v="NA"/>
    <s v="NA"/>
    <s v="NA"/>
    <s v="NA"/>
  </r>
  <r>
    <s v="AC7Z8O1RETQC4"/>
    <s v="english"/>
    <n v="27"/>
    <s v="female"/>
    <s v="train"/>
    <x v="2"/>
    <n v="11661"/>
    <n v="0"/>
    <n v="0"/>
    <n v="0"/>
    <n v="1"/>
    <s v="NA"/>
    <s v="NA"/>
    <s v="NA"/>
    <s v="NA"/>
    <s v="NA"/>
    <s v="NA"/>
    <s v="NA"/>
    <s v="NA"/>
    <s v="NA"/>
    <s v="NA"/>
    <s v="NA"/>
    <s v="NA"/>
    <s v="NA"/>
    <s v="NA"/>
    <s v="NA"/>
    <s v="NA"/>
    <s v="NA"/>
    <s v="NA"/>
    <s v="NA"/>
    <s v="NA"/>
  </r>
  <r>
    <s v="AC7Z8O1RETQC4"/>
    <s v="english"/>
    <n v="27"/>
    <s v="female"/>
    <s v="test"/>
    <x v="6"/>
    <n v="64929"/>
    <n v="1"/>
    <n v="1"/>
    <n v="1"/>
    <n v="0"/>
    <s v="Cafe E."/>
    <s v="Cafe A."/>
    <s v="Cafes A and B."/>
    <s v="mo-l"/>
    <s v="mo-h"/>
    <s v="ms-h"/>
    <n v="0"/>
    <n v="1"/>
    <n v="1"/>
    <n v="1"/>
    <n v="0"/>
    <n v="0"/>
    <n v="1"/>
    <n v="0"/>
    <n v="1"/>
    <n v="1"/>
    <n v="1"/>
    <n v="0"/>
    <n v="0"/>
    <n v="0"/>
  </r>
  <r>
    <s v="AC7Z8O1RETQC4"/>
    <s v="english"/>
    <n v="27"/>
    <s v="female"/>
    <s v="test"/>
    <x v="11"/>
    <n v="4806"/>
    <n v="1"/>
    <n v="1"/>
    <n v="1"/>
    <n v="0"/>
    <s v="Stores D and E."/>
    <s v="Stores A and B."/>
    <s v="Store A."/>
    <s v="ms-l"/>
    <s v="ms-h"/>
    <s v="mo-h"/>
    <n v="0"/>
    <n v="1"/>
    <n v="0"/>
    <n v="1"/>
    <n v="1"/>
    <n v="0"/>
    <n v="1"/>
    <n v="0"/>
    <n v="1"/>
    <n v="0"/>
    <n v="1"/>
    <n v="1"/>
    <n v="0"/>
    <n v="0"/>
  </r>
  <r>
    <s v="AC7Z8O1RETQC4"/>
    <s v="english"/>
    <n v="27"/>
    <s v="female"/>
    <s v="control"/>
    <x v="5"/>
    <n v="24299"/>
    <n v="1"/>
    <n v="1"/>
    <n v="0"/>
    <n v="0"/>
    <s v="NA"/>
    <s v="NA"/>
    <s v="NA"/>
    <s v="NA"/>
    <s v="NA"/>
    <s v="NA"/>
    <s v="NA"/>
    <n v="1"/>
    <n v="0"/>
    <n v="1"/>
    <n v="1"/>
    <n v="0"/>
    <n v="1"/>
    <n v="0"/>
    <n v="1"/>
    <n v="0"/>
    <n v="1"/>
    <n v="1"/>
    <n v="0"/>
    <n v="0"/>
  </r>
  <r>
    <s v="AC7Z8O1RETQC4"/>
    <s v="english"/>
    <n v="27"/>
    <s v="female"/>
    <s v="test"/>
    <x v="9"/>
    <n v="5220"/>
    <n v="1"/>
    <n v="1"/>
    <n v="1"/>
    <n v="0"/>
    <s v="Stall E."/>
    <s v="Stall F."/>
    <s v="Stalls D and E."/>
    <s v="mo-l"/>
    <s v="fa"/>
    <s v="ms-l"/>
    <n v="0"/>
    <n v="0"/>
    <n v="1"/>
    <n v="0"/>
    <n v="1"/>
    <n v="0"/>
    <n v="1"/>
    <n v="0"/>
    <n v="0"/>
    <n v="1"/>
    <n v="0"/>
    <n v="1"/>
    <n v="0"/>
    <n v="0"/>
  </r>
  <r>
    <s v="AC7Z8O1RETQC4"/>
    <s v="english"/>
    <n v="27"/>
    <s v="female"/>
    <s v="control"/>
    <x v="12"/>
    <n v="7478"/>
    <n v="1"/>
    <n v="1"/>
    <n v="1"/>
    <n v="0"/>
    <s v="NA"/>
    <s v="NA"/>
    <s v="NA"/>
    <s v="NA"/>
    <s v="NA"/>
    <s v="NA"/>
    <s v="NA"/>
    <n v="0"/>
    <n v="1"/>
    <n v="0"/>
    <n v="1"/>
    <n v="0"/>
    <n v="1"/>
    <n v="0"/>
    <n v="0"/>
    <n v="1"/>
    <n v="0"/>
    <n v="1"/>
    <n v="0"/>
    <n v="0"/>
  </r>
  <r>
    <s v="AC7Z8O1RETQC4"/>
    <s v="english"/>
    <n v="27"/>
    <s v="female"/>
    <s v="test"/>
    <x v="3"/>
    <n v="4701"/>
    <n v="1"/>
    <n v="1"/>
    <n v="1"/>
    <n v="0"/>
    <s v="Bookstore F."/>
    <s v="Bookstore E."/>
    <s v="Bookstores A, B, C, D and E."/>
    <s v="fa"/>
    <s v="mo-l"/>
    <s v="exh"/>
    <n v="1"/>
    <n v="0"/>
    <n v="1"/>
    <n v="0"/>
    <n v="0"/>
    <n v="0"/>
    <n v="1"/>
    <n v="1"/>
    <n v="0"/>
    <n v="1"/>
    <n v="0"/>
    <n v="0"/>
    <n v="0"/>
    <n v="0"/>
  </r>
  <r>
    <s v="AC7Z8O1RETQC4"/>
    <s v="english"/>
    <n v="27"/>
    <s v="female"/>
    <s v="test"/>
    <x v="4"/>
    <n v="7644"/>
    <n v="1"/>
    <n v="1"/>
    <n v="1"/>
    <n v="0"/>
    <s v="Dentists A and B."/>
    <s v="Dentists D and E."/>
    <s v="Dentist A."/>
    <s v="ms-h"/>
    <s v="ms-l"/>
    <s v="mo-h"/>
    <n v="0"/>
    <n v="1"/>
    <n v="0"/>
    <n v="1"/>
    <n v="1"/>
    <n v="0"/>
    <n v="1"/>
    <n v="0"/>
    <n v="1"/>
    <n v="0"/>
    <n v="1"/>
    <n v="1"/>
    <n v="0"/>
    <n v="0"/>
  </r>
  <r>
    <s v="AC7Z8O1RETQC4"/>
    <s v="english"/>
    <n v="27"/>
    <s v="female"/>
    <s v="control"/>
    <x v="7"/>
    <n v="50115"/>
    <n v="0"/>
    <n v="0"/>
    <n v="1"/>
    <n v="0"/>
    <s v="NA"/>
    <s v="NA"/>
    <s v="NA"/>
    <s v="NA"/>
    <s v="NA"/>
    <s v="NA"/>
    <s v="NA"/>
    <n v="1"/>
    <n v="0"/>
    <n v="1"/>
    <n v="1"/>
    <n v="0"/>
    <n v="1"/>
    <n v="0"/>
    <n v="1"/>
    <n v="0"/>
    <n v="1"/>
    <n v="1"/>
    <n v="0"/>
    <n v="0"/>
  </r>
  <r>
    <s v="AC7Z8O1RETQC4"/>
    <s v="english"/>
    <n v="27"/>
    <s v="female"/>
    <s v="test"/>
    <x v="8"/>
    <n v="10003"/>
    <n v="1"/>
    <n v="1"/>
    <n v="1"/>
    <n v="0"/>
    <s v="Stylist A."/>
    <s v="Stylists A and B."/>
    <s v="Stylist F."/>
    <s v="mo-h"/>
    <s v="ms-h"/>
    <s v="fa"/>
    <n v="0"/>
    <n v="1"/>
    <n v="0"/>
    <n v="1"/>
    <n v="0"/>
    <n v="0"/>
    <n v="1"/>
    <n v="0"/>
    <n v="1"/>
    <n v="0"/>
    <n v="1"/>
    <n v="0"/>
    <n v="0"/>
    <n v="0"/>
  </r>
  <r>
    <s v="AC7Z8O1RETQC4"/>
    <s v="english"/>
    <n v="27"/>
    <s v="female"/>
    <s v="control"/>
    <x v="10"/>
    <n v="14861"/>
    <n v="1"/>
    <n v="1"/>
    <n v="1"/>
    <n v="0"/>
    <s v="NA"/>
    <s v="NA"/>
    <s v="NA"/>
    <s v="NA"/>
    <s v="NA"/>
    <s v="NA"/>
    <s v="NA"/>
    <n v="1"/>
    <n v="0"/>
    <n v="1"/>
    <n v="0"/>
    <n v="0"/>
    <n v="1"/>
    <n v="0"/>
    <n v="1"/>
    <n v="0"/>
    <n v="1"/>
    <n v="0"/>
    <n v="0"/>
    <n v="0"/>
  </r>
  <r>
    <s v="AC7Z8O1RETQC4"/>
    <s v="english"/>
    <n v="27"/>
    <s v="female"/>
    <s v="exit_quest"/>
    <x v="0"/>
    <n v="718260"/>
    <s v="I CHOOSE NEARABLE HOTEL. I WILL EAT TASTY FOOD AND VARIETIES OF FOOD. SO I GO TO BEST HOTEL IN MY TRIP."/>
    <s v="LITTLE DIFFICULT"/>
    <s v="NO"/>
    <s v="NA"/>
    <s v="NA"/>
    <s v="NA"/>
    <s v="NA"/>
    <s v="NA"/>
    <s v="NA"/>
    <s v="NA"/>
    <s v="NA"/>
    <s v="NA"/>
    <s v="NA"/>
    <s v="NA"/>
    <s v="NA"/>
    <s v="NA"/>
    <s v="NA"/>
    <s v="NA"/>
    <s v="NA"/>
    <s v="NA"/>
    <s v="NA"/>
    <s v="NA"/>
    <s v="NA"/>
    <s v="NA"/>
  </r>
  <r>
    <s v="A15SJZQBR8I3B3"/>
    <s v="english"/>
    <n v="44"/>
    <s v="female"/>
    <s v="consent"/>
    <x v="0"/>
    <n v="374020"/>
    <s v="NA"/>
    <s v="NA"/>
    <s v="NA"/>
    <s v="NA"/>
    <s v="NA"/>
    <s v="NA"/>
    <s v="NA"/>
    <s v="NA"/>
    <s v="NA"/>
    <s v="NA"/>
    <s v="NA"/>
    <s v="NA"/>
    <s v="NA"/>
    <s v="NA"/>
    <s v="NA"/>
    <s v="NA"/>
    <s v="NA"/>
    <s v="NA"/>
    <s v="NA"/>
    <s v="NA"/>
    <s v="NA"/>
    <s v="NA"/>
    <s v="NA"/>
    <s v="NA"/>
  </r>
  <r>
    <s v="A15SJZQBR8I3B3"/>
    <s v="english"/>
    <n v="44"/>
    <s v="female"/>
    <s v="train"/>
    <x v="1"/>
    <n v="75695"/>
    <n v="0"/>
    <n v="0"/>
    <n v="1"/>
    <n v="0"/>
    <s v="NA"/>
    <s v="NA"/>
    <s v="NA"/>
    <s v="NA"/>
    <s v="NA"/>
    <s v="NA"/>
    <s v="NA"/>
    <s v="NA"/>
    <s v="NA"/>
    <s v="NA"/>
    <s v="NA"/>
    <s v="NA"/>
    <s v="NA"/>
    <s v="NA"/>
    <s v="NA"/>
    <s v="NA"/>
    <s v="NA"/>
    <s v="NA"/>
    <s v="NA"/>
    <s v="NA"/>
  </r>
  <r>
    <s v="A15SJZQBR8I3B3"/>
    <s v="english"/>
    <n v="44"/>
    <s v="female"/>
    <s v="train"/>
    <x v="2"/>
    <n v="77304"/>
    <n v="0"/>
    <n v="0"/>
    <n v="0"/>
    <n v="1"/>
    <s v="NA"/>
    <s v="NA"/>
    <s v="NA"/>
    <s v="NA"/>
    <s v="NA"/>
    <s v="NA"/>
    <s v="NA"/>
    <s v="NA"/>
    <s v="NA"/>
    <s v="NA"/>
    <s v="NA"/>
    <s v="NA"/>
    <s v="NA"/>
    <s v="NA"/>
    <s v="NA"/>
    <s v="NA"/>
    <s v="NA"/>
    <s v="NA"/>
    <s v="NA"/>
    <s v="NA"/>
  </r>
  <r>
    <s v="A15SJZQBR8I3B3"/>
    <s v="english"/>
    <n v="44"/>
    <s v="female"/>
    <s v="test"/>
    <x v="6"/>
    <n v="76268"/>
    <n v="0"/>
    <n v="0"/>
    <n v="0"/>
    <n v="1"/>
    <s v="Cafe A."/>
    <s v="Cafes A, B, C, D and E."/>
    <s v="Cafes D and E."/>
    <s v="mo-h"/>
    <s v="exh"/>
    <s v="ms-l"/>
    <n v="1"/>
    <n v="1"/>
    <n v="0"/>
    <n v="0"/>
    <n v="1"/>
    <n v="0"/>
    <n v="1"/>
    <n v="0"/>
    <n v="0"/>
    <n v="0"/>
    <n v="0"/>
    <n v="0"/>
    <n v="0"/>
    <n v="1"/>
  </r>
  <r>
    <s v="A15SJZQBR8I3B3"/>
    <s v="english"/>
    <n v="44"/>
    <s v="female"/>
    <s v="test"/>
    <x v="9"/>
    <n v="102929"/>
    <n v="1"/>
    <n v="1"/>
    <n v="1"/>
    <n v="0"/>
    <s v="Stalls D and E."/>
    <s v="Stall A."/>
    <s v="Stall E."/>
    <s v="ms-l"/>
    <s v="mo-h"/>
    <s v="mo-l"/>
    <n v="0"/>
    <n v="1"/>
    <n v="1"/>
    <n v="0"/>
    <n v="1"/>
    <n v="0"/>
    <n v="1"/>
    <n v="0"/>
    <n v="1"/>
    <n v="1"/>
    <n v="0"/>
    <n v="1"/>
    <n v="0"/>
    <n v="0"/>
  </r>
  <r>
    <s v="A15SJZQBR8I3B3"/>
    <s v="english"/>
    <n v="44"/>
    <s v="female"/>
    <s v="control"/>
    <x v="7"/>
    <n v="63094"/>
    <n v="1"/>
    <n v="1"/>
    <n v="0"/>
    <n v="0"/>
    <s v="NA"/>
    <s v="NA"/>
    <s v="NA"/>
    <s v="NA"/>
    <s v="NA"/>
    <s v="NA"/>
    <s v="NA"/>
    <n v="1"/>
    <n v="1"/>
    <n v="0"/>
    <n v="1"/>
    <n v="0"/>
    <n v="1"/>
    <n v="0"/>
    <n v="1"/>
    <n v="1"/>
    <n v="0"/>
    <n v="1"/>
    <n v="0"/>
    <n v="0"/>
  </r>
  <r>
    <s v="A15SJZQBR8I3B3"/>
    <s v="english"/>
    <n v="44"/>
    <s v="female"/>
    <s v="test"/>
    <x v="3"/>
    <n v="50070"/>
    <n v="1"/>
    <n v="1"/>
    <n v="1"/>
    <n v="0"/>
    <s v="Bookstore A."/>
    <s v="Bookstores A and B."/>
    <s v="Bookstores D and E."/>
    <s v="mo-h"/>
    <s v="ms-h"/>
    <s v="ms-l"/>
    <n v="0"/>
    <n v="1"/>
    <n v="0"/>
    <n v="1"/>
    <n v="1"/>
    <n v="0"/>
    <n v="1"/>
    <n v="0"/>
    <n v="1"/>
    <n v="0"/>
    <n v="1"/>
    <n v="1"/>
    <n v="0"/>
    <n v="0"/>
  </r>
  <r>
    <s v="A15SJZQBR8I3B3"/>
    <s v="english"/>
    <n v="44"/>
    <s v="female"/>
    <s v="test"/>
    <x v="8"/>
    <n v="78915"/>
    <n v="0"/>
    <n v="1"/>
    <n v="0"/>
    <n v="0"/>
    <s v="Stylist E."/>
    <s v="Stylists A and B."/>
    <s v="Stylists D and E."/>
    <s v="mo-l"/>
    <s v="ms-h"/>
    <s v="ms-l"/>
    <n v="0"/>
    <n v="0"/>
    <n v="1"/>
    <n v="1"/>
    <n v="1"/>
    <n v="0"/>
    <n v="1"/>
    <n v="0"/>
    <n v="0"/>
    <n v="0"/>
    <n v="1"/>
    <n v="0"/>
    <n v="0"/>
    <n v="0"/>
  </r>
  <r>
    <s v="A15SJZQBR8I3B3"/>
    <s v="english"/>
    <n v="44"/>
    <s v="female"/>
    <s v="control"/>
    <x v="12"/>
    <n v="54215"/>
    <n v="1"/>
    <n v="1"/>
    <n v="0"/>
    <n v="0"/>
    <s v="NA"/>
    <s v="NA"/>
    <s v="NA"/>
    <s v="NA"/>
    <s v="NA"/>
    <s v="NA"/>
    <s v="NA"/>
    <n v="0"/>
    <n v="1"/>
    <n v="1"/>
    <n v="1"/>
    <n v="0"/>
    <n v="1"/>
    <n v="0"/>
    <n v="0"/>
    <n v="0"/>
    <n v="1"/>
    <n v="0"/>
    <n v="0"/>
    <n v="0"/>
  </r>
  <r>
    <s v="A15SJZQBR8I3B3"/>
    <s v="english"/>
    <n v="44"/>
    <s v="female"/>
    <s v="test"/>
    <x v="11"/>
    <n v="63412"/>
    <n v="1"/>
    <n v="0"/>
    <n v="0"/>
    <n v="0"/>
    <s v="Store F."/>
    <s v="Store E."/>
    <s v="Store A."/>
    <s v="fa"/>
    <s v="mo-l"/>
    <s v="mo-h"/>
    <n v="0"/>
    <n v="1"/>
    <n v="1"/>
    <n v="0"/>
    <n v="0"/>
    <n v="0"/>
    <n v="1"/>
    <n v="0"/>
    <n v="0"/>
    <n v="0"/>
    <n v="0"/>
    <n v="0"/>
    <n v="0"/>
    <n v="0"/>
  </r>
  <r>
    <s v="A15SJZQBR8I3B3"/>
    <s v="english"/>
    <n v="44"/>
    <s v="female"/>
    <s v="control"/>
    <x v="5"/>
    <n v="80472"/>
    <n v="1"/>
    <n v="1"/>
    <n v="1"/>
    <n v="0"/>
    <s v="NA"/>
    <s v="NA"/>
    <s v="NA"/>
    <s v="NA"/>
    <s v="NA"/>
    <s v="NA"/>
    <s v="NA"/>
    <n v="1"/>
    <n v="1"/>
    <n v="0"/>
    <n v="0"/>
    <n v="0"/>
    <n v="1"/>
    <n v="0"/>
    <n v="0"/>
    <n v="0"/>
    <n v="0"/>
    <n v="0"/>
    <n v="0"/>
    <n v="0"/>
  </r>
  <r>
    <s v="A15SJZQBR8I3B3"/>
    <s v="english"/>
    <n v="44"/>
    <s v="female"/>
    <s v="test"/>
    <x v="4"/>
    <n v="41082"/>
    <n v="1"/>
    <n v="1"/>
    <n v="1"/>
    <n v="0"/>
    <s v="Dentists D and E."/>
    <s v="Dentist A."/>
    <s v="Dentists A and B."/>
    <s v="ms-l"/>
    <s v="mo-h"/>
    <s v="ms-h"/>
    <n v="0"/>
    <n v="1"/>
    <n v="0"/>
    <n v="1"/>
    <n v="1"/>
    <n v="0"/>
    <n v="1"/>
    <n v="0"/>
    <n v="1"/>
    <n v="0"/>
    <n v="1"/>
    <n v="1"/>
    <n v="0"/>
    <n v="0"/>
  </r>
  <r>
    <s v="A15SJZQBR8I3B3"/>
    <s v="english"/>
    <n v="44"/>
    <s v="female"/>
    <s v="control"/>
    <x v="10"/>
    <n v="54147"/>
    <n v="0"/>
    <n v="0"/>
    <n v="1"/>
    <n v="0"/>
    <s v="NA"/>
    <s v="NA"/>
    <s v="NA"/>
    <s v="NA"/>
    <s v="NA"/>
    <s v="NA"/>
    <s v="NA"/>
    <n v="1"/>
    <n v="0"/>
    <n v="1"/>
    <n v="1"/>
    <n v="0"/>
    <n v="1"/>
    <n v="0"/>
    <n v="1"/>
    <n v="0"/>
    <n v="1"/>
    <n v="1"/>
    <n v="0"/>
    <n v="0"/>
  </r>
  <r>
    <s v="A15SJZQBR8I3B3"/>
    <s v="english"/>
    <n v="44"/>
    <s v="female"/>
    <s v="exit_quest"/>
    <x v="0"/>
    <n v="207734"/>
    <s v="No I would not have responded differently. It's the same question."/>
    <s v="At times it was difficult. The reason is because I was second guessing myself. "/>
    <s v="No."/>
    <s v="NA"/>
    <s v="NA"/>
    <s v="NA"/>
    <s v="NA"/>
    <s v="NA"/>
    <s v="NA"/>
    <s v="NA"/>
    <s v="NA"/>
    <s v="NA"/>
    <s v="NA"/>
    <s v="NA"/>
    <s v="NA"/>
    <s v="NA"/>
    <s v="NA"/>
    <s v="NA"/>
    <s v="NA"/>
    <s v="NA"/>
    <s v="NA"/>
    <s v="NA"/>
    <s v="NA"/>
    <s v="NA"/>
  </r>
  <r>
    <s v="A12IHTKQFQIPD1"/>
    <s v="english"/>
    <n v="34"/>
    <s v="male"/>
    <s v="consent"/>
    <x v="0"/>
    <n v="45323"/>
    <s v="NA"/>
    <s v="NA"/>
    <s v="NA"/>
    <s v="NA"/>
    <s v="NA"/>
    <s v="NA"/>
    <s v="NA"/>
    <s v="NA"/>
    <s v="NA"/>
    <s v="NA"/>
    <s v="NA"/>
    <s v="NA"/>
    <s v="NA"/>
    <s v="NA"/>
    <s v="NA"/>
    <s v="NA"/>
    <s v="NA"/>
    <s v="NA"/>
    <s v="NA"/>
    <s v="NA"/>
    <s v="NA"/>
    <s v="NA"/>
    <s v="NA"/>
    <s v="NA"/>
  </r>
  <r>
    <s v="A12IHTKQFQIPD1"/>
    <s v="english"/>
    <n v="34"/>
    <s v="male"/>
    <s v="train"/>
    <x v="1"/>
    <n v="113563"/>
    <n v="0"/>
    <n v="0"/>
    <n v="1"/>
    <n v="0"/>
    <s v="NA"/>
    <s v="NA"/>
    <s v="NA"/>
    <s v="NA"/>
    <s v="NA"/>
    <s v="NA"/>
    <s v="NA"/>
    <s v="NA"/>
    <s v="NA"/>
    <s v="NA"/>
    <s v="NA"/>
    <s v="NA"/>
    <s v="NA"/>
    <s v="NA"/>
    <s v="NA"/>
    <s v="NA"/>
    <s v="NA"/>
    <s v="NA"/>
    <s v="NA"/>
    <s v="NA"/>
  </r>
  <r>
    <s v="A12IHTKQFQIPD1"/>
    <s v="english"/>
    <n v="34"/>
    <s v="male"/>
    <s v="train"/>
    <x v="2"/>
    <n v="43679"/>
    <n v="0"/>
    <n v="0"/>
    <n v="0"/>
    <n v="1"/>
    <s v="NA"/>
    <s v="NA"/>
    <s v="NA"/>
    <s v="NA"/>
    <s v="NA"/>
    <s v="NA"/>
    <s v="NA"/>
    <s v="NA"/>
    <s v="NA"/>
    <s v="NA"/>
    <s v="NA"/>
    <s v="NA"/>
    <s v="NA"/>
    <s v="NA"/>
    <s v="NA"/>
    <s v="NA"/>
    <s v="NA"/>
    <s v="NA"/>
    <s v="NA"/>
    <s v="NA"/>
  </r>
  <r>
    <s v="A12IHTKQFQIPD1"/>
    <s v="english"/>
    <n v="34"/>
    <s v="male"/>
    <s v="test"/>
    <x v="11"/>
    <n v="76122"/>
    <n v="0"/>
    <n v="1"/>
    <n v="0"/>
    <n v="0"/>
    <s v="Stores A and B."/>
    <s v="Stores A, B, C, D and E."/>
    <s v="Store E."/>
    <s v="ms-h"/>
    <s v="exh"/>
    <s v="mo-l"/>
    <n v="1"/>
    <n v="0"/>
    <n v="1"/>
    <n v="1"/>
    <n v="0"/>
    <n v="0"/>
    <n v="1"/>
    <n v="1"/>
    <n v="0"/>
    <n v="0"/>
    <n v="0"/>
    <n v="0"/>
    <n v="0"/>
    <n v="0"/>
  </r>
  <r>
    <s v="A12IHTKQFQIPD1"/>
    <s v="english"/>
    <n v="34"/>
    <s v="male"/>
    <s v="control"/>
    <x v="10"/>
    <n v="54322"/>
    <n v="0"/>
    <n v="0"/>
    <n v="1"/>
    <n v="0"/>
    <s v="NA"/>
    <s v="NA"/>
    <s v="NA"/>
    <s v="NA"/>
    <s v="NA"/>
    <s v="NA"/>
    <s v="NA"/>
    <n v="0"/>
    <n v="1"/>
    <n v="1"/>
    <n v="0"/>
    <n v="0"/>
    <n v="1"/>
    <n v="1"/>
    <n v="0"/>
    <n v="0"/>
    <n v="0"/>
    <n v="0"/>
    <n v="0"/>
    <n v="0"/>
  </r>
  <r>
    <s v="A12IHTKQFQIPD1"/>
    <s v="english"/>
    <n v="34"/>
    <s v="male"/>
    <s v="test"/>
    <x v="9"/>
    <n v="350330"/>
    <n v="0"/>
    <n v="1"/>
    <n v="0"/>
    <n v="0"/>
    <s v="Stall A."/>
    <s v="Stalls A, B, C, D and E."/>
    <s v="Stall E."/>
    <s v="mo-h"/>
    <s v="exh"/>
    <s v="mo-l"/>
    <n v="1"/>
    <n v="1"/>
    <n v="1"/>
    <n v="0"/>
    <n v="0"/>
    <n v="0"/>
    <n v="1"/>
    <n v="1"/>
    <n v="0"/>
    <n v="0"/>
    <n v="0"/>
    <n v="0"/>
    <n v="0"/>
    <n v="0"/>
  </r>
  <r>
    <s v="A12IHTKQFQIPD1"/>
    <s v="english"/>
    <n v="34"/>
    <s v="male"/>
    <s v="test"/>
    <x v="8"/>
    <n v="353230"/>
    <n v="1"/>
    <n v="0"/>
    <n v="0"/>
    <n v="0"/>
    <s v="Stylists A, B, C, D and E."/>
    <s v="Stylists A and B."/>
    <s v="Stylists D and E."/>
    <s v="exh"/>
    <s v="ms-h"/>
    <s v="ms-l"/>
    <n v="1"/>
    <n v="0"/>
    <n v="0"/>
    <n v="1"/>
    <n v="1"/>
    <n v="0"/>
    <n v="1"/>
    <n v="1"/>
    <n v="0"/>
    <n v="0"/>
    <n v="0"/>
    <n v="0"/>
    <n v="0"/>
    <n v="0"/>
  </r>
  <r>
    <s v="A12IHTKQFQIPD1"/>
    <s v="english"/>
    <n v="34"/>
    <s v="male"/>
    <s v="control"/>
    <x v="7"/>
    <n v="21996"/>
    <n v="1"/>
    <n v="0"/>
    <n v="0"/>
    <n v="0"/>
    <s v="NA"/>
    <s v="NA"/>
    <s v="NA"/>
    <s v="NA"/>
    <s v="NA"/>
    <s v="NA"/>
    <s v="NA"/>
    <n v="0"/>
    <n v="0"/>
    <n v="1"/>
    <n v="1"/>
    <n v="0"/>
    <n v="1"/>
    <n v="1"/>
    <n v="0"/>
    <n v="0"/>
    <n v="0"/>
    <n v="0"/>
    <n v="0"/>
    <n v="0"/>
  </r>
  <r>
    <s v="A12IHTKQFQIPD1"/>
    <s v="english"/>
    <n v="34"/>
    <s v="male"/>
    <s v="test"/>
    <x v="4"/>
    <n v="26988"/>
    <n v="0"/>
    <n v="0"/>
    <n v="0"/>
    <n v="1"/>
    <s v="Dentist A."/>
    <s v="Dentists A, B, C, D and E."/>
    <s v="Dentist F."/>
    <s v="mo-h"/>
    <s v="exh"/>
    <s v="fa"/>
    <n v="1"/>
    <n v="1"/>
    <n v="0"/>
    <n v="0"/>
    <n v="0"/>
    <n v="0"/>
    <n v="1"/>
    <n v="0"/>
    <n v="0"/>
    <n v="0"/>
    <n v="0"/>
    <n v="0"/>
    <n v="0"/>
    <n v="1"/>
  </r>
  <r>
    <s v="A12IHTKQFQIPD1"/>
    <s v="english"/>
    <n v="34"/>
    <s v="male"/>
    <s v="control"/>
    <x v="12"/>
    <n v="24214"/>
    <n v="0"/>
    <n v="1"/>
    <n v="0"/>
    <n v="0"/>
    <s v="NA"/>
    <s v="NA"/>
    <s v="NA"/>
    <s v="NA"/>
    <s v="NA"/>
    <s v="NA"/>
    <s v="NA"/>
    <n v="1"/>
    <n v="0"/>
    <n v="0"/>
    <n v="0"/>
    <n v="0"/>
    <n v="1"/>
    <n v="0"/>
    <n v="0"/>
    <n v="0"/>
    <n v="0"/>
    <n v="0"/>
    <n v="0"/>
    <n v="1"/>
  </r>
  <r>
    <s v="A12IHTKQFQIPD1"/>
    <s v="english"/>
    <n v="34"/>
    <s v="male"/>
    <s v="test"/>
    <x v="3"/>
    <n v="9415"/>
    <n v="0"/>
    <n v="1"/>
    <n v="0"/>
    <n v="0"/>
    <s v="Bookstores D and E."/>
    <s v="Bookstore A."/>
    <s v="Bookstore E."/>
    <s v="ms-l"/>
    <s v="mo-h"/>
    <s v="mo-l"/>
    <n v="0"/>
    <n v="1"/>
    <n v="1"/>
    <n v="0"/>
    <n v="1"/>
    <n v="0"/>
    <n v="1"/>
    <n v="0"/>
    <n v="1"/>
    <n v="0"/>
    <n v="0"/>
    <n v="0"/>
    <n v="0"/>
    <n v="0"/>
  </r>
  <r>
    <s v="A12IHTKQFQIPD1"/>
    <s v="english"/>
    <n v="34"/>
    <s v="male"/>
    <s v="test"/>
    <x v="6"/>
    <n v="15412"/>
    <n v="1"/>
    <n v="0"/>
    <n v="0"/>
    <n v="0"/>
    <s v="Cafes A and B."/>
    <s v="Cafes D and E."/>
    <s v="Cafe E."/>
    <s v="ms-h"/>
    <s v="ms-l"/>
    <s v="mo-l"/>
    <n v="0"/>
    <n v="0"/>
    <n v="1"/>
    <n v="1"/>
    <n v="1"/>
    <n v="0"/>
    <n v="1"/>
    <n v="0"/>
    <n v="0"/>
    <n v="0"/>
    <n v="1"/>
    <n v="0"/>
    <n v="0"/>
    <n v="0"/>
  </r>
  <r>
    <s v="A12IHTKQFQIPD1"/>
    <s v="english"/>
    <n v="34"/>
    <s v="male"/>
    <s v="control"/>
    <x v="5"/>
    <n v="34849"/>
    <n v="0"/>
    <n v="0"/>
    <n v="0"/>
    <n v="1"/>
    <s v="NA"/>
    <s v="NA"/>
    <s v="NA"/>
    <s v="NA"/>
    <s v="NA"/>
    <s v="NA"/>
    <s v="NA"/>
    <n v="0"/>
    <n v="1"/>
    <n v="1"/>
    <n v="1"/>
    <n v="0"/>
    <n v="1"/>
    <n v="0"/>
    <n v="0"/>
    <n v="0"/>
    <n v="1"/>
    <n v="0"/>
    <n v="0"/>
    <n v="0"/>
  </r>
  <r>
    <s v="A12IHTKQFQIPD1"/>
    <s v="english"/>
    <n v="34"/>
    <s v="male"/>
    <s v="exit_quest"/>
    <x v="0"/>
    <n v="63405"/>
    <s v="No both questions are nearly identical. "/>
    <s v="no%2C because it was multiple choice. "/>
    <s v="no"/>
    <s v="NA"/>
    <s v="NA"/>
    <s v="NA"/>
    <s v="NA"/>
    <s v="NA"/>
    <s v="NA"/>
    <s v="NA"/>
    <s v="NA"/>
    <s v="NA"/>
    <s v="NA"/>
    <s v="NA"/>
    <s v="NA"/>
    <s v="NA"/>
    <s v="NA"/>
    <s v="NA"/>
    <s v="NA"/>
    <s v="NA"/>
    <s v="NA"/>
    <s v="NA"/>
    <s v="NA"/>
    <s v="NA"/>
  </r>
  <r>
    <s v="A2KPTC4K228GM3"/>
    <s v="english"/>
    <n v="27"/>
    <s v="male"/>
    <s v="consent"/>
    <x v="0"/>
    <n v="14788"/>
    <s v="NA"/>
    <s v="NA"/>
    <s v="NA"/>
    <s v="NA"/>
    <s v="NA"/>
    <s v="NA"/>
    <s v="NA"/>
    <s v="NA"/>
    <s v="NA"/>
    <s v="NA"/>
    <s v="NA"/>
    <s v="NA"/>
    <s v="NA"/>
    <s v="NA"/>
    <s v="NA"/>
    <s v="NA"/>
    <s v="NA"/>
    <s v="NA"/>
    <s v="NA"/>
    <s v="NA"/>
    <s v="NA"/>
    <s v="NA"/>
    <s v="NA"/>
    <s v="NA"/>
  </r>
  <r>
    <s v="A2KPTC4K228GM3"/>
    <s v="english"/>
    <n v="27"/>
    <s v="male"/>
    <s v="train"/>
    <x v="1"/>
    <n v="2186"/>
    <n v="0"/>
    <n v="0"/>
    <n v="1"/>
    <n v="0"/>
    <s v="NA"/>
    <s v="NA"/>
    <s v="NA"/>
    <s v="NA"/>
    <s v="NA"/>
    <s v="NA"/>
    <s v="NA"/>
    <s v="NA"/>
    <s v="NA"/>
    <s v="NA"/>
    <s v="NA"/>
    <s v="NA"/>
    <s v="NA"/>
    <s v="NA"/>
    <s v="NA"/>
    <s v="NA"/>
    <s v="NA"/>
    <s v="NA"/>
    <s v="NA"/>
    <s v="NA"/>
  </r>
  <r>
    <s v="A2KPTC4K228GM3"/>
    <s v="english"/>
    <n v="27"/>
    <s v="male"/>
    <s v="train"/>
    <x v="2"/>
    <n v="3927"/>
    <n v="0"/>
    <n v="0"/>
    <n v="0"/>
    <n v="1"/>
    <s v="NA"/>
    <s v="NA"/>
    <s v="NA"/>
    <s v="NA"/>
    <s v="NA"/>
    <s v="NA"/>
    <s v="NA"/>
    <s v="NA"/>
    <s v="NA"/>
    <s v="NA"/>
    <s v="NA"/>
    <s v="NA"/>
    <s v="NA"/>
    <s v="NA"/>
    <s v="NA"/>
    <s v="NA"/>
    <s v="NA"/>
    <s v="NA"/>
    <s v="NA"/>
    <s v="NA"/>
  </r>
  <r>
    <s v="A2KPTC4K228GM3"/>
    <s v="english"/>
    <n v="27"/>
    <s v="male"/>
    <s v="test"/>
    <x v="3"/>
    <n v="3986"/>
    <n v="1"/>
    <n v="1"/>
    <n v="1"/>
    <n v="0"/>
    <s v="Bookstore A."/>
    <s v="Bookstores D and E."/>
    <s v="Bookstore E."/>
    <s v="mo-h"/>
    <s v="ms-l"/>
    <s v="mo-l"/>
    <n v="0"/>
    <n v="1"/>
    <n v="1"/>
    <n v="0"/>
    <n v="1"/>
    <n v="0"/>
    <n v="1"/>
    <n v="0"/>
    <n v="1"/>
    <n v="1"/>
    <n v="0"/>
    <n v="1"/>
    <n v="0"/>
    <n v="0"/>
  </r>
  <r>
    <s v="A2KPTC4K228GM3"/>
    <s v="english"/>
    <n v="27"/>
    <s v="male"/>
    <s v="test"/>
    <x v="8"/>
    <n v="2259"/>
    <n v="1"/>
    <n v="1"/>
    <n v="1"/>
    <n v="0"/>
    <s v="Stylists D and E."/>
    <s v="Stylist A."/>
    <s v="Stylist E."/>
    <s v="ms-l"/>
    <s v="mo-h"/>
    <s v="mo-l"/>
    <n v="0"/>
    <n v="1"/>
    <n v="1"/>
    <n v="0"/>
    <n v="1"/>
    <n v="0"/>
    <n v="1"/>
    <n v="0"/>
    <n v="1"/>
    <n v="1"/>
    <n v="0"/>
    <n v="1"/>
    <n v="0"/>
    <n v="0"/>
  </r>
  <r>
    <s v="A2KPTC4K228GM3"/>
    <s v="english"/>
    <n v="27"/>
    <s v="male"/>
    <s v="control"/>
    <x v="12"/>
    <n v="3283"/>
    <n v="1"/>
    <n v="1"/>
    <n v="1"/>
    <n v="0"/>
    <s v="NA"/>
    <s v="NA"/>
    <s v="NA"/>
    <s v="NA"/>
    <s v="NA"/>
    <s v="NA"/>
    <s v="NA"/>
    <n v="1"/>
    <n v="1"/>
    <n v="0"/>
    <n v="1"/>
    <n v="0"/>
    <n v="1"/>
    <n v="0"/>
    <n v="1"/>
    <n v="1"/>
    <n v="0"/>
    <n v="1"/>
    <n v="0"/>
    <n v="0"/>
  </r>
  <r>
    <s v="A2KPTC4K228GM3"/>
    <s v="english"/>
    <n v="27"/>
    <s v="male"/>
    <s v="test"/>
    <x v="4"/>
    <n v="4633"/>
    <n v="1"/>
    <n v="1"/>
    <n v="1"/>
    <n v="0"/>
    <s v="Dentist E."/>
    <s v="Dentists A and B."/>
    <s v="Dentists D and E."/>
    <s v="mo-l"/>
    <s v="ms-h"/>
    <s v="ms-l"/>
    <n v="0"/>
    <n v="0"/>
    <n v="1"/>
    <n v="1"/>
    <n v="1"/>
    <n v="0"/>
    <n v="1"/>
    <n v="0"/>
    <n v="0"/>
    <n v="1"/>
    <n v="1"/>
    <n v="1"/>
    <n v="0"/>
    <n v="0"/>
  </r>
  <r>
    <s v="A2KPTC4K228GM3"/>
    <s v="english"/>
    <n v="27"/>
    <s v="male"/>
    <s v="test"/>
    <x v="6"/>
    <n v="3876"/>
    <n v="1"/>
    <n v="1"/>
    <n v="1"/>
    <n v="0"/>
    <s v="Cafe F."/>
    <s v="Cafes A and B."/>
    <s v="Cafes D and E."/>
    <s v="fa"/>
    <s v="ms-h"/>
    <s v="ms-l"/>
    <n v="0"/>
    <n v="0"/>
    <n v="0"/>
    <n v="1"/>
    <n v="1"/>
    <n v="0"/>
    <n v="1"/>
    <n v="0"/>
    <n v="0"/>
    <n v="0"/>
    <n v="1"/>
    <n v="1"/>
    <n v="0"/>
    <n v="0"/>
  </r>
  <r>
    <s v="A2KPTC4K228GM3"/>
    <s v="english"/>
    <n v="27"/>
    <s v="male"/>
    <s v="control"/>
    <x v="7"/>
    <n v="4514"/>
    <n v="1"/>
    <n v="1"/>
    <n v="1"/>
    <n v="0"/>
    <s v="NA"/>
    <s v="NA"/>
    <s v="NA"/>
    <s v="NA"/>
    <s v="NA"/>
    <s v="NA"/>
    <s v="NA"/>
    <n v="0"/>
    <n v="0"/>
    <n v="1"/>
    <n v="1"/>
    <n v="0"/>
    <n v="1"/>
    <n v="0"/>
    <n v="0"/>
    <n v="0"/>
    <n v="1"/>
    <n v="1"/>
    <n v="0"/>
    <n v="0"/>
  </r>
  <r>
    <s v="A2KPTC4K228GM3"/>
    <s v="english"/>
    <n v="27"/>
    <s v="male"/>
    <s v="test"/>
    <x v="11"/>
    <n v="8993"/>
    <n v="1"/>
    <n v="1"/>
    <n v="1"/>
    <n v="0"/>
    <s v="Stores A, B, C, D and E."/>
    <s v="Store E."/>
    <s v="Stores A and B."/>
    <s v="exh"/>
    <s v="mo-l"/>
    <s v="ms-h"/>
    <n v="1"/>
    <n v="0"/>
    <n v="1"/>
    <n v="1"/>
    <n v="0"/>
    <n v="0"/>
    <n v="1"/>
    <n v="1"/>
    <n v="0"/>
    <n v="1"/>
    <n v="1"/>
    <n v="0"/>
    <n v="0"/>
    <n v="0"/>
  </r>
  <r>
    <s v="A2KPTC4K228GM3"/>
    <s v="english"/>
    <n v="27"/>
    <s v="male"/>
    <s v="control"/>
    <x v="5"/>
    <n v="3116"/>
    <n v="1"/>
    <n v="1"/>
    <n v="1"/>
    <n v="0"/>
    <s v="NA"/>
    <s v="NA"/>
    <s v="NA"/>
    <s v="NA"/>
    <s v="NA"/>
    <s v="NA"/>
    <s v="NA"/>
    <n v="0"/>
    <n v="1"/>
    <n v="1"/>
    <n v="0"/>
    <n v="0"/>
    <n v="1"/>
    <n v="1"/>
    <n v="0"/>
    <n v="1"/>
    <n v="1"/>
    <n v="0"/>
    <n v="0"/>
    <n v="0"/>
  </r>
  <r>
    <s v="A2KPTC4K228GM3"/>
    <s v="english"/>
    <n v="27"/>
    <s v="male"/>
    <s v="test"/>
    <x v="9"/>
    <n v="9765"/>
    <n v="1"/>
    <n v="1"/>
    <n v="1"/>
    <n v="0"/>
    <s v="Stall E."/>
    <s v="Stall F."/>
    <s v="Stalls A, B, C, D and E."/>
    <s v="mo-l"/>
    <s v="fa"/>
    <s v="exh"/>
    <n v="1"/>
    <n v="0"/>
    <n v="1"/>
    <n v="0"/>
    <n v="0"/>
    <n v="0"/>
    <n v="1"/>
    <n v="1"/>
    <n v="0"/>
    <n v="1"/>
    <n v="0"/>
    <n v="0"/>
    <n v="0"/>
    <n v="0"/>
  </r>
  <r>
    <s v="A2KPTC4K228GM3"/>
    <s v="english"/>
    <n v="27"/>
    <s v="male"/>
    <s v="control"/>
    <x v="10"/>
    <n v="4404"/>
    <n v="1"/>
    <n v="1"/>
    <n v="1"/>
    <n v="0"/>
    <s v="NA"/>
    <s v="NA"/>
    <s v="NA"/>
    <s v="NA"/>
    <s v="NA"/>
    <s v="NA"/>
    <s v="NA"/>
    <n v="0"/>
    <n v="1"/>
    <n v="0"/>
    <n v="0"/>
    <n v="0"/>
    <n v="1"/>
    <n v="1"/>
    <n v="0"/>
    <n v="1"/>
    <n v="0"/>
    <n v="0"/>
    <n v="0"/>
    <n v="0"/>
  </r>
  <r>
    <s v="A2KPTC4K228GM3"/>
    <s v="english"/>
    <n v="27"/>
    <s v="male"/>
    <s v="exit_quest"/>
    <x v="0"/>
    <n v="406867"/>
    <s v="I CHOOSE NEARABLE HOTEL TO MY TRIP. I WILL EAT TASTY FOOD AND VARIETIES OF FOOD. SO I GO TO BEST HOTEL IN MY TRIP.%0A%0A"/>
    <s v="LITTLE DIFFICULT"/>
    <s v="NOTHING.THIS SURVEY IS VERY NICE"/>
    <s v="NA"/>
    <s v="NA"/>
    <s v="NA"/>
    <s v="NA"/>
    <s v="NA"/>
    <s v="NA"/>
    <s v="NA"/>
    <s v="NA"/>
    <s v="NA"/>
    <s v="NA"/>
    <s v="NA"/>
    <s v="NA"/>
    <s v="NA"/>
    <s v="NA"/>
    <s v="NA"/>
    <s v="NA"/>
    <s v="NA"/>
    <s v="NA"/>
    <s v="NA"/>
    <s v="NA"/>
    <s v="NA"/>
  </r>
  <r>
    <s v="A38JCBX2DD2ILP"/>
    <s v="english"/>
    <n v="28"/>
    <s v="female"/>
    <s v="consent"/>
    <x v="0"/>
    <n v="14787"/>
    <s v="NA"/>
    <s v="NA"/>
    <s v="NA"/>
    <s v="NA"/>
    <s v="NA"/>
    <s v="NA"/>
    <s v="NA"/>
    <s v="NA"/>
    <s v="NA"/>
    <s v="NA"/>
    <s v="NA"/>
    <s v="NA"/>
    <s v="NA"/>
    <s v="NA"/>
    <s v="NA"/>
    <s v="NA"/>
    <s v="NA"/>
    <s v="NA"/>
    <s v="NA"/>
    <s v="NA"/>
    <s v="NA"/>
    <s v="NA"/>
    <s v="NA"/>
    <s v="NA"/>
  </r>
  <r>
    <s v="A38JCBX2DD2ILP"/>
    <s v="english"/>
    <n v="28"/>
    <s v="female"/>
    <s v="train"/>
    <x v="1"/>
    <n v="49514"/>
    <n v="0"/>
    <n v="0"/>
    <n v="1"/>
    <n v="0"/>
    <s v="NA"/>
    <s v="NA"/>
    <s v="NA"/>
    <s v="NA"/>
    <s v="NA"/>
    <s v="NA"/>
    <s v="NA"/>
    <s v="NA"/>
    <s v="NA"/>
    <s v="NA"/>
    <s v="NA"/>
    <s v="NA"/>
    <s v="NA"/>
    <s v="NA"/>
    <s v="NA"/>
    <s v="NA"/>
    <s v="NA"/>
    <s v="NA"/>
    <s v="NA"/>
    <s v="NA"/>
  </r>
  <r>
    <s v="A38JCBX2DD2ILP"/>
    <s v="english"/>
    <n v="28"/>
    <s v="female"/>
    <s v="train"/>
    <x v="2"/>
    <n v="3443"/>
    <n v="0"/>
    <n v="0"/>
    <n v="0"/>
    <n v="1"/>
    <s v="NA"/>
    <s v="NA"/>
    <s v="NA"/>
    <s v="NA"/>
    <s v="NA"/>
    <s v="NA"/>
    <s v="NA"/>
    <s v="NA"/>
    <s v="NA"/>
    <s v="NA"/>
    <s v="NA"/>
    <s v="NA"/>
    <s v="NA"/>
    <s v="NA"/>
    <s v="NA"/>
    <s v="NA"/>
    <s v="NA"/>
    <s v="NA"/>
    <s v="NA"/>
    <s v="NA"/>
  </r>
  <r>
    <s v="A38JCBX2DD2ILP"/>
    <s v="english"/>
    <n v="28"/>
    <s v="female"/>
    <s v="test"/>
    <x v="11"/>
    <n v="101551"/>
    <n v="1"/>
    <n v="1"/>
    <n v="1"/>
    <n v="0"/>
    <s v="Store A."/>
    <s v="Stores A and B."/>
    <s v="Stores D and E."/>
    <s v="mo-h"/>
    <s v="ms-h"/>
    <s v="ms-l"/>
    <n v="0"/>
    <n v="1"/>
    <n v="0"/>
    <n v="1"/>
    <n v="1"/>
    <n v="0"/>
    <n v="1"/>
    <n v="0"/>
    <n v="1"/>
    <n v="0"/>
    <n v="1"/>
    <n v="1"/>
    <n v="0"/>
    <n v="0"/>
  </r>
  <r>
    <s v="A38JCBX2DD2ILP"/>
    <s v="english"/>
    <n v="28"/>
    <s v="female"/>
    <s v="test"/>
    <x v="8"/>
    <n v="32256"/>
    <n v="1"/>
    <n v="1"/>
    <n v="0"/>
    <n v="0"/>
    <s v="Stylists A and B."/>
    <s v="Stylist E."/>
    <s v="Stylist A."/>
    <s v="ms-h"/>
    <s v="mo-l"/>
    <s v="mo-h"/>
    <n v="0"/>
    <n v="1"/>
    <n v="1"/>
    <n v="1"/>
    <n v="0"/>
    <n v="0"/>
    <n v="1"/>
    <n v="0"/>
    <n v="0"/>
    <n v="1"/>
    <n v="1"/>
    <n v="0"/>
    <n v="0"/>
    <n v="0"/>
  </r>
  <r>
    <s v="A38JCBX2DD2ILP"/>
    <s v="english"/>
    <n v="28"/>
    <s v="female"/>
    <s v="control"/>
    <x v="10"/>
    <n v="25688"/>
    <n v="1"/>
    <n v="1"/>
    <n v="1"/>
    <n v="0"/>
    <s v="NA"/>
    <s v="NA"/>
    <s v="NA"/>
    <s v="NA"/>
    <s v="NA"/>
    <s v="NA"/>
    <s v="NA"/>
    <n v="1"/>
    <n v="1"/>
    <n v="1"/>
    <n v="0"/>
    <n v="0"/>
    <n v="1"/>
    <n v="0"/>
    <n v="0"/>
    <n v="1"/>
    <n v="1"/>
    <n v="0"/>
    <n v="0"/>
    <n v="0"/>
  </r>
  <r>
    <s v="A38JCBX2DD2ILP"/>
    <s v="english"/>
    <n v="28"/>
    <s v="female"/>
    <s v="test"/>
    <x v="9"/>
    <n v="10361"/>
    <n v="1"/>
    <n v="1"/>
    <n v="1"/>
    <n v="0"/>
    <s v="Stall E."/>
    <s v="Stall F."/>
    <s v="Stalls D and E."/>
    <s v="mo-l"/>
    <s v="fa"/>
    <s v="ms-l"/>
    <n v="0"/>
    <n v="0"/>
    <n v="1"/>
    <n v="0"/>
    <n v="1"/>
    <n v="0"/>
    <n v="1"/>
    <n v="0"/>
    <n v="0"/>
    <n v="1"/>
    <n v="0"/>
    <n v="1"/>
    <n v="0"/>
    <n v="0"/>
  </r>
  <r>
    <s v="A38JCBX2DD2ILP"/>
    <s v="english"/>
    <n v="28"/>
    <s v="female"/>
    <s v="control"/>
    <x v="5"/>
    <n v="6634"/>
    <n v="1"/>
    <n v="1"/>
    <n v="1"/>
    <n v="0"/>
    <s v="NA"/>
    <s v="NA"/>
    <s v="NA"/>
    <s v="NA"/>
    <s v="NA"/>
    <s v="NA"/>
    <s v="NA"/>
    <n v="0"/>
    <n v="1"/>
    <n v="0"/>
    <n v="1"/>
    <n v="0"/>
    <n v="1"/>
    <n v="0"/>
    <n v="0"/>
    <n v="1"/>
    <n v="0"/>
    <n v="1"/>
    <n v="0"/>
    <n v="0"/>
  </r>
  <r>
    <s v="A38JCBX2DD2ILP"/>
    <s v="english"/>
    <n v="28"/>
    <s v="female"/>
    <s v="test"/>
    <x v="4"/>
    <n v="7314"/>
    <n v="0"/>
    <n v="1"/>
    <n v="1"/>
    <n v="0"/>
    <s v="Dentists D and E."/>
    <s v="Dentist A."/>
    <s v="Dentists A, B, C, D and E."/>
    <s v="ms-l"/>
    <s v="mo-h"/>
    <s v="exh"/>
    <n v="1"/>
    <n v="1"/>
    <n v="0"/>
    <n v="0"/>
    <n v="1"/>
    <n v="0"/>
    <n v="1"/>
    <n v="1"/>
    <n v="1"/>
    <n v="0"/>
    <n v="0"/>
    <n v="0"/>
    <n v="0"/>
    <n v="0"/>
  </r>
  <r>
    <s v="A38JCBX2DD2ILP"/>
    <s v="english"/>
    <n v="28"/>
    <s v="female"/>
    <s v="test"/>
    <x v="3"/>
    <n v="36240"/>
    <n v="1"/>
    <n v="1"/>
    <n v="1"/>
    <n v="0"/>
    <s v="Bookstores D and E."/>
    <s v="Bookstores A, B, C, D and E."/>
    <s v="Bookstores A and B."/>
    <s v="ms-l"/>
    <s v="exh"/>
    <s v="ms-h"/>
    <n v="1"/>
    <n v="0"/>
    <n v="0"/>
    <n v="1"/>
    <n v="1"/>
    <n v="0"/>
    <n v="1"/>
    <n v="1"/>
    <n v="0"/>
    <n v="0"/>
    <n v="1"/>
    <n v="1"/>
    <n v="0"/>
    <n v="0"/>
  </r>
  <r>
    <s v="A38JCBX2DD2ILP"/>
    <s v="english"/>
    <n v="28"/>
    <s v="female"/>
    <s v="control"/>
    <x v="7"/>
    <n v="83931"/>
    <n v="1"/>
    <n v="1"/>
    <n v="1"/>
    <n v="0"/>
    <s v="NA"/>
    <s v="NA"/>
    <s v="NA"/>
    <s v="NA"/>
    <s v="NA"/>
    <s v="NA"/>
    <s v="NA"/>
    <n v="0"/>
    <n v="0"/>
    <n v="1"/>
    <n v="1"/>
    <n v="0"/>
    <n v="1"/>
    <n v="1"/>
    <n v="0"/>
    <n v="0"/>
    <n v="1"/>
    <n v="1"/>
    <n v="0"/>
    <n v="0"/>
  </r>
  <r>
    <s v="A38JCBX2DD2ILP"/>
    <s v="english"/>
    <n v="28"/>
    <s v="female"/>
    <s v="test"/>
    <x v="6"/>
    <n v="3904"/>
    <n v="1"/>
    <n v="1"/>
    <n v="1"/>
    <n v="0"/>
    <s v="Cafe F."/>
    <s v="Cafes D and E."/>
    <s v="Cafes A and B."/>
    <s v="fa"/>
    <s v="ms-l"/>
    <s v="ms-h"/>
    <n v="0"/>
    <n v="0"/>
    <n v="0"/>
    <n v="1"/>
    <n v="1"/>
    <n v="0"/>
    <n v="1"/>
    <n v="0"/>
    <n v="0"/>
    <n v="0"/>
    <n v="1"/>
    <n v="1"/>
    <n v="0"/>
    <n v="0"/>
  </r>
  <r>
    <s v="A38JCBX2DD2ILP"/>
    <s v="english"/>
    <n v="28"/>
    <s v="female"/>
    <s v="control"/>
    <x v="12"/>
    <n v="38728"/>
    <n v="1"/>
    <n v="1"/>
    <n v="1"/>
    <n v="0"/>
    <s v="NA"/>
    <s v="NA"/>
    <s v="NA"/>
    <s v="NA"/>
    <s v="NA"/>
    <s v="NA"/>
    <s v="NA"/>
    <n v="0"/>
    <n v="0"/>
    <n v="1"/>
    <n v="1"/>
    <n v="0"/>
    <n v="1"/>
    <n v="0"/>
    <n v="0"/>
    <n v="0"/>
    <n v="1"/>
    <n v="1"/>
    <n v="0"/>
    <n v="0"/>
  </r>
  <r>
    <s v="A38JCBX2DD2ILP"/>
    <s v="english"/>
    <n v="28"/>
    <s v="female"/>
    <s v="exit_quest"/>
    <x v="0"/>
    <n v="48955"/>
    <s v="I CHOOSE NEARABLE HOTEL. I WILL EAT TASTY FOOD AND VARIETIES OF FOOD. SO I GO TO BEST HOTEL IN MY TRIP.%0A%0A"/>
    <s v="DIFFICULT"/>
    <s v="NO"/>
    <s v="NA"/>
    <s v="NA"/>
    <s v="NA"/>
    <s v="NA"/>
    <s v="NA"/>
    <s v="NA"/>
    <s v="NA"/>
    <s v="NA"/>
    <s v="NA"/>
    <s v="NA"/>
    <s v="NA"/>
    <s v="NA"/>
    <s v="NA"/>
    <s v="NA"/>
    <s v="NA"/>
    <s v="NA"/>
    <s v="NA"/>
    <s v="NA"/>
    <s v="NA"/>
    <s v="NA"/>
    <s v="NA"/>
  </r>
  <r>
    <s v="A1Q16A7AICS0C4"/>
    <s v="english"/>
    <n v="27"/>
    <s v="female"/>
    <s v="consent"/>
    <x v="0"/>
    <n v="38415"/>
    <s v="NA"/>
    <s v="NA"/>
    <s v="NA"/>
    <s v="NA"/>
    <s v="NA"/>
    <s v="NA"/>
    <s v="NA"/>
    <s v="NA"/>
    <s v="NA"/>
    <s v="NA"/>
    <s v="NA"/>
    <s v="NA"/>
    <s v="NA"/>
    <s v="NA"/>
    <s v="NA"/>
    <s v="NA"/>
    <s v="NA"/>
    <s v="NA"/>
    <s v="NA"/>
    <s v="NA"/>
    <s v="NA"/>
    <s v="NA"/>
    <s v="NA"/>
    <s v="NA"/>
  </r>
  <r>
    <s v="A1Q16A7AICS0C4"/>
    <s v="english"/>
    <n v="27"/>
    <s v="female"/>
    <s v="train"/>
    <x v="1"/>
    <n v="259694"/>
    <n v="0"/>
    <n v="0"/>
    <n v="1"/>
    <n v="0"/>
    <s v="NA"/>
    <s v="NA"/>
    <s v="NA"/>
    <s v="NA"/>
    <s v="NA"/>
    <s v="NA"/>
    <s v="NA"/>
    <s v="NA"/>
    <s v="NA"/>
    <s v="NA"/>
    <s v="NA"/>
    <s v="NA"/>
    <s v="NA"/>
    <s v="NA"/>
    <s v="NA"/>
    <s v="NA"/>
    <s v="NA"/>
    <s v="NA"/>
    <s v="NA"/>
    <s v="NA"/>
  </r>
  <r>
    <s v="A1Q16A7AICS0C4"/>
    <s v="english"/>
    <n v="27"/>
    <s v="female"/>
    <s v="train"/>
    <x v="2"/>
    <n v="549771"/>
    <n v="1"/>
    <n v="1"/>
    <n v="1"/>
    <n v="0"/>
    <s v="NA"/>
    <s v="NA"/>
    <s v="NA"/>
    <s v="NA"/>
    <s v="NA"/>
    <s v="NA"/>
    <s v="NA"/>
    <s v="NA"/>
    <s v="NA"/>
    <s v="NA"/>
    <s v="NA"/>
    <s v="NA"/>
    <s v="NA"/>
    <s v="NA"/>
    <s v="NA"/>
    <s v="NA"/>
    <s v="NA"/>
    <s v="NA"/>
    <s v="NA"/>
    <s v="NA"/>
  </r>
  <r>
    <s v="A1Q16A7AICS0C4"/>
    <s v="english"/>
    <n v="27"/>
    <s v="female"/>
    <s v="test"/>
    <x v="4"/>
    <n v="151574"/>
    <n v="0"/>
    <n v="1"/>
    <n v="1"/>
    <n v="0"/>
    <s v="Dentists A and B."/>
    <s v="Dentists D and E."/>
    <s v="Dentist A."/>
    <s v="ms-h"/>
    <s v="ms-l"/>
    <s v="mo-h"/>
    <n v="0"/>
    <n v="1"/>
    <n v="0"/>
    <n v="1"/>
    <n v="1"/>
    <n v="0"/>
    <n v="1"/>
    <n v="0"/>
    <n v="1"/>
    <n v="0"/>
    <n v="0"/>
    <n v="1"/>
    <n v="0"/>
    <n v="0"/>
  </r>
  <r>
    <s v="A1Q16A7AICS0C4"/>
    <s v="english"/>
    <n v="27"/>
    <s v="female"/>
    <s v="test"/>
    <x v="11"/>
    <n v="8175"/>
    <n v="0"/>
    <n v="0"/>
    <n v="1"/>
    <n v="0"/>
    <s v="Stores A and B."/>
    <s v="Store F."/>
    <s v="Store A."/>
    <s v="ms-h"/>
    <s v="fa"/>
    <s v="mo-h"/>
    <n v="0"/>
    <n v="1"/>
    <n v="0"/>
    <n v="1"/>
    <n v="0"/>
    <n v="0"/>
    <n v="1"/>
    <n v="0"/>
    <n v="1"/>
    <n v="0"/>
    <n v="0"/>
    <n v="0"/>
    <n v="0"/>
    <n v="0"/>
  </r>
  <r>
    <s v="A1Q16A7AICS0C4"/>
    <s v="english"/>
    <n v="27"/>
    <s v="female"/>
    <s v="control"/>
    <x v="7"/>
    <n v="3020"/>
    <n v="0"/>
    <n v="0"/>
    <n v="1"/>
    <n v="0"/>
    <s v="NA"/>
    <s v="NA"/>
    <s v="NA"/>
    <s v="NA"/>
    <s v="NA"/>
    <s v="NA"/>
    <s v="NA"/>
    <n v="1"/>
    <n v="0"/>
    <n v="1"/>
    <n v="0"/>
    <n v="0"/>
    <n v="1"/>
    <n v="0"/>
    <n v="1"/>
    <n v="0"/>
    <n v="0"/>
    <n v="0"/>
    <n v="0"/>
    <n v="0"/>
  </r>
  <r>
    <s v="A1Q16A7AICS0C4"/>
    <s v="english"/>
    <n v="27"/>
    <s v="female"/>
    <s v="test"/>
    <x v="6"/>
    <n v="2594"/>
    <n v="0"/>
    <n v="1"/>
    <n v="0"/>
    <n v="0"/>
    <s v="Cafes A and B."/>
    <s v="Cafe E."/>
    <s v="Cafes D and E."/>
    <s v="ms-h"/>
    <s v="mo-l"/>
    <s v="ms-l"/>
    <n v="0"/>
    <n v="0"/>
    <n v="1"/>
    <n v="1"/>
    <n v="1"/>
    <n v="0"/>
    <n v="1"/>
    <n v="0"/>
    <n v="0"/>
    <n v="1"/>
    <n v="0"/>
    <n v="0"/>
    <n v="0"/>
    <n v="0"/>
  </r>
  <r>
    <s v="A1Q16A7AICS0C4"/>
    <s v="english"/>
    <n v="27"/>
    <s v="female"/>
    <s v="control"/>
    <x v="12"/>
    <n v="2545"/>
    <n v="0"/>
    <n v="1"/>
    <n v="0"/>
    <n v="0"/>
    <s v="NA"/>
    <s v="NA"/>
    <s v="NA"/>
    <s v="NA"/>
    <s v="NA"/>
    <s v="NA"/>
    <s v="NA"/>
    <n v="0"/>
    <n v="1"/>
    <n v="1"/>
    <n v="1"/>
    <n v="0"/>
    <n v="1"/>
    <n v="0"/>
    <n v="0"/>
    <n v="1"/>
    <n v="0"/>
    <n v="0"/>
    <n v="0"/>
    <n v="0"/>
  </r>
  <r>
    <s v="A1Q16A7AICS0C4"/>
    <s v="english"/>
    <n v="27"/>
    <s v="female"/>
    <s v="test"/>
    <x v="9"/>
    <n v="6102"/>
    <n v="1"/>
    <n v="1"/>
    <n v="0"/>
    <n v="0"/>
    <s v="Stalls D and E."/>
    <s v="Stall E."/>
    <s v="Stall F."/>
    <s v="ms-l"/>
    <s v="mo-l"/>
    <s v="fa"/>
    <n v="0"/>
    <n v="0"/>
    <n v="1"/>
    <n v="0"/>
    <n v="1"/>
    <n v="0"/>
    <n v="1"/>
    <n v="0"/>
    <n v="0"/>
    <n v="1"/>
    <n v="0"/>
    <n v="1"/>
    <n v="0"/>
    <n v="0"/>
  </r>
  <r>
    <s v="A1Q16A7AICS0C4"/>
    <s v="english"/>
    <n v="27"/>
    <s v="female"/>
    <s v="test"/>
    <x v="3"/>
    <n v="2356"/>
    <n v="0"/>
    <n v="1"/>
    <n v="0"/>
    <n v="0"/>
    <s v="Bookstore E."/>
    <s v="Bookstore A."/>
    <s v="Bookstores A, B, C, D and E."/>
    <s v="mo-l"/>
    <s v="mo-h"/>
    <s v="exh"/>
    <n v="1"/>
    <n v="1"/>
    <n v="1"/>
    <n v="0"/>
    <n v="0"/>
    <n v="0"/>
    <n v="1"/>
    <n v="0"/>
    <n v="1"/>
    <n v="0"/>
    <n v="0"/>
    <n v="0"/>
    <n v="0"/>
    <n v="0"/>
  </r>
  <r>
    <s v="A1Q16A7AICS0C4"/>
    <s v="english"/>
    <n v="27"/>
    <s v="female"/>
    <s v="control"/>
    <x v="5"/>
    <n v="4237"/>
    <n v="1"/>
    <n v="1"/>
    <n v="0"/>
    <n v="0"/>
    <s v="NA"/>
    <s v="NA"/>
    <s v="NA"/>
    <s v="NA"/>
    <s v="NA"/>
    <s v="NA"/>
    <s v="NA"/>
    <n v="1"/>
    <n v="1"/>
    <n v="0"/>
    <n v="0"/>
    <n v="0"/>
    <n v="1"/>
    <n v="0"/>
    <n v="1"/>
    <n v="0"/>
    <n v="0"/>
    <n v="0"/>
    <n v="0"/>
    <n v="0"/>
  </r>
  <r>
    <s v="A1Q16A7AICS0C4"/>
    <s v="english"/>
    <n v="27"/>
    <s v="female"/>
    <s v="test"/>
    <x v="8"/>
    <n v="23439"/>
    <n v="0"/>
    <n v="1"/>
    <n v="1"/>
    <n v="0"/>
    <s v="Stylist A."/>
    <s v="Stylist F."/>
    <s v="Stylist E."/>
    <s v="mo-h"/>
    <s v="fa"/>
    <s v="mo-l"/>
    <n v="0"/>
    <n v="1"/>
    <n v="1"/>
    <n v="0"/>
    <n v="0"/>
    <n v="0"/>
    <n v="1"/>
    <n v="0"/>
    <n v="0"/>
    <n v="1"/>
    <n v="0"/>
    <n v="0"/>
    <n v="0"/>
    <n v="0"/>
  </r>
  <r>
    <s v="A1Q16A7AICS0C4"/>
    <s v="english"/>
    <n v="27"/>
    <s v="female"/>
    <s v="control"/>
    <x v="10"/>
    <n v="3510"/>
    <n v="0"/>
    <n v="1"/>
    <n v="1"/>
    <n v="0"/>
    <s v="NA"/>
    <s v="NA"/>
    <s v="NA"/>
    <s v="NA"/>
    <s v="NA"/>
    <s v="NA"/>
    <s v="NA"/>
    <n v="1"/>
    <n v="1"/>
    <n v="0"/>
    <n v="0"/>
    <n v="0"/>
    <n v="1"/>
    <n v="0"/>
    <n v="0"/>
    <n v="1"/>
    <n v="0"/>
    <n v="0"/>
    <n v="0"/>
    <n v="0"/>
  </r>
  <r>
    <s v="A1Q16A7AICS0C4"/>
    <s v="english"/>
    <n v="27"/>
    <s v="female"/>
    <s v="exit_quest"/>
    <x v="0"/>
    <n v="51474"/>
    <s v="I CHOOSE NEARABLE HOTEL. I WILL EAT TASTY FOOD AND VARIETIES OF FOOD. SO I GO TO BEST HOTEL IN MY TRIP.%0A%0A"/>
    <s v="DIFFICULT"/>
    <s v="NO"/>
    <s v="NA"/>
    <s v="NA"/>
    <s v="NA"/>
    <s v="NA"/>
    <s v="NA"/>
    <s v="NA"/>
    <s v="NA"/>
    <s v="NA"/>
    <s v="NA"/>
    <s v="NA"/>
    <s v="NA"/>
    <s v="NA"/>
    <s v="NA"/>
    <s v="NA"/>
    <s v="NA"/>
    <s v="NA"/>
    <s v="NA"/>
    <s v="NA"/>
    <s v="NA"/>
    <s v="NA"/>
    <s v="NA"/>
  </r>
  <r>
    <s v="A1SHLWKA0UH1IS"/>
    <s v="english"/>
    <n v="53"/>
    <s v="female"/>
    <s v="consent"/>
    <x v="0"/>
    <n v="556595"/>
    <s v="NA"/>
    <s v="NA"/>
    <s v="NA"/>
    <s v="NA"/>
    <s v="NA"/>
    <s v="NA"/>
    <s v="NA"/>
    <s v="NA"/>
    <s v="NA"/>
    <s v="NA"/>
    <s v="NA"/>
    <s v="NA"/>
    <s v="NA"/>
    <s v="NA"/>
    <s v="NA"/>
    <s v="NA"/>
    <s v="NA"/>
    <s v="NA"/>
    <s v="NA"/>
    <s v="NA"/>
    <s v="NA"/>
    <s v="NA"/>
    <s v="NA"/>
    <s v="NA"/>
  </r>
  <r>
    <s v="A1SHLWKA0UH1IS"/>
    <s v="english"/>
    <n v="53"/>
    <s v="female"/>
    <s v="train"/>
    <x v="2"/>
    <n v="47918"/>
    <n v="0"/>
    <n v="0"/>
    <n v="0"/>
    <n v="1"/>
    <s v="NA"/>
    <s v="NA"/>
    <s v="NA"/>
    <s v="NA"/>
    <s v="NA"/>
    <s v="NA"/>
    <s v="NA"/>
    <s v="NA"/>
    <s v="NA"/>
    <s v="NA"/>
    <s v="NA"/>
    <s v="NA"/>
    <s v="NA"/>
    <s v="NA"/>
    <s v="NA"/>
    <s v="NA"/>
    <s v="NA"/>
    <s v="NA"/>
    <s v="NA"/>
    <s v="NA"/>
  </r>
  <r>
    <s v="A1SHLWKA0UH1IS"/>
    <s v="english"/>
    <n v="53"/>
    <s v="female"/>
    <s v="train"/>
    <x v="1"/>
    <n v="103144"/>
    <n v="0"/>
    <n v="0"/>
    <n v="0"/>
    <n v="1"/>
    <s v="NA"/>
    <s v="NA"/>
    <s v="NA"/>
    <s v="NA"/>
    <s v="NA"/>
    <s v="NA"/>
    <s v="NA"/>
    <s v="NA"/>
    <s v="NA"/>
    <s v="NA"/>
    <s v="NA"/>
    <s v="NA"/>
    <s v="NA"/>
    <s v="NA"/>
    <s v="NA"/>
    <s v="NA"/>
    <s v="NA"/>
    <s v="NA"/>
    <s v="NA"/>
    <s v="NA"/>
  </r>
  <r>
    <s v="A1SHLWKA0UH1IS"/>
    <s v="english"/>
    <n v="53"/>
    <s v="female"/>
    <s v="test"/>
    <x v="4"/>
    <n v="63327"/>
    <n v="0"/>
    <n v="0"/>
    <n v="0"/>
    <n v="1"/>
    <s v="Dentists D and E."/>
    <s v="Dentist F."/>
    <s v="Dentist E."/>
    <s v="ms-l"/>
    <s v="fa"/>
    <s v="mo-l"/>
    <n v="0"/>
    <n v="0"/>
    <n v="1"/>
    <n v="0"/>
    <n v="1"/>
    <n v="0"/>
    <n v="1"/>
    <n v="0"/>
    <n v="0"/>
    <n v="0"/>
    <n v="0"/>
    <n v="0"/>
    <n v="0"/>
    <n v="1"/>
  </r>
  <r>
    <s v="A1SHLWKA0UH1IS"/>
    <s v="english"/>
    <n v="53"/>
    <s v="female"/>
    <s v="test"/>
    <x v="3"/>
    <n v="66542"/>
    <n v="0"/>
    <n v="0"/>
    <n v="1"/>
    <n v="0"/>
    <s v="Bookstore F."/>
    <s v="Bookstore E."/>
    <s v="Bookstores A and B."/>
    <s v="fa"/>
    <s v="mo-l"/>
    <s v="ms-h"/>
    <n v="0"/>
    <n v="0"/>
    <n v="1"/>
    <n v="1"/>
    <n v="0"/>
    <n v="0"/>
    <n v="1"/>
    <n v="0"/>
    <n v="0"/>
    <n v="0"/>
    <n v="1"/>
    <n v="0"/>
    <n v="0"/>
    <n v="0"/>
  </r>
  <r>
    <s v="A1SHLWKA0UH1IS"/>
    <s v="english"/>
    <n v="53"/>
    <s v="female"/>
    <s v="control"/>
    <x v="5"/>
    <n v="66608"/>
    <n v="1"/>
    <n v="1"/>
    <n v="1"/>
    <n v="0"/>
    <s v="NA"/>
    <s v="NA"/>
    <s v="NA"/>
    <s v="NA"/>
    <s v="NA"/>
    <s v="NA"/>
    <s v="NA"/>
    <n v="0"/>
    <n v="1"/>
    <n v="1"/>
    <n v="0"/>
    <n v="0"/>
    <n v="1"/>
    <n v="0"/>
    <n v="0"/>
    <n v="0"/>
    <n v="1"/>
    <n v="0"/>
    <n v="0"/>
    <n v="0"/>
  </r>
  <r>
    <s v="A1SHLWKA0UH1IS"/>
    <s v="english"/>
    <n v="53"/>
    <s v="female"/>
    <s v="test"/>
    <x v="9"/>
    <n v="33908"/>
    <n v="1"/>
    <n v="0"/>
    <n v="1"/>
    <n v="0"/>
    <s v="Stalls A and B."/>
    <s v="Stall E."/>
    <s v="Stall A."/>
    <s v="ms-h"/>
    <s v="mo-l"/>
    <s v="mo-h"/>
    <n v="0"/>
    <n v="1"/>
    <n v="1"/>
    <n v="1"/>
    <n v="0"/>
    <n v="0"/>
    <n v="1"/>
    <n v="0"/>
    <n v="1"/>
    <n v="0"/>
    <n v="1"/>
    <n v="0"/>
    <n v="0"/>
    <n v="0"/>
  </r>
  <r>
    <s v="A1SHLWKA0UH1IS"/>
    <s v="english"/>
    <n v="53"/>
    <s v="female"/>
    <s v="test"/>
    <x v="6"/>
    <n v="18606"/>
    <n v="0"/>
    <n v="1"/>
    <n v="1"/>
    <n v="0"/>
    <s v="Cafes D and E."/>
    <s v="Cafes A and B."/>
    <s v="Cafe A."/>
    <s v="ms-l"/>
    <s v="ms-h"/>
    <s v="mo-h"/>
    <n v="0"/>
    <n v="1"/>
    <n v="0"/>
    <n v="1"/>
    <n v="1"/>
    <n v="0"/>
    <n v="1"/>
    <n v="0"/>
    <n v="1"/>
    <n v="0"/>
    <n v="1"/>
    <n v="0"/>
    <n v="0"/>
    <n v="0"/>
  </r>
  <r>
    <s v="A1SHLWKA0UH1IS"/>
    <s v="english"/>
    <n v="53"/>
    <s v="female"/>
    <s v="control"/>
    <x v="12"/>
    <n v="23342"/>
    <n v="1"/>
    <n v="0"/>
    <n v="0"/>
    <n v="0"/>
    <s v="NA"/>
    <s v="NA"/>
    <s v="NA"/>
    <s v="NA"/>
    <s v="NA"/>
    <s v="NA"/>
    <s v="NA"/>
    <n v="1"/>
    <n v="0"/>
    <n v="1"/>
    <n v="1"/>
    <n v="0"/>
    <n v="1"/>
    <n v="0"/>
    <n v="1"/>
    <n v="0"/>
    <n v="1"/>
    <n v="0"/>
    <n v="0"/>
    <n v="0"/>
  </r>
  <r>
    <s v="A1SHLWKA0UH1IS"/>
    <s v="english"/>
    <n v="53"/>
    <s v="female"/>
    <s v="test"/>
    <x v="8"/>
    <n v="28910"/>
    <n v="0"/>
    <n v="0"/>
    <n v="0"/>
    <n v="1"/>
    <s v="Stylist F."/>
    <s v="Stylists A, B, C, D and E."/>
    <s v="Stylist E."/>
    <s v="fa"/>
    <s v="exh"/>
    <s v="mo-l"/>
    <n v="1"/>
    <n v="0"/>
    <n v="1"/>
    <n v="0"/>
    <n v="0"/>
    <n v="0"/>
    <n v="1"/>
    <n v="0"/>
    <n v="0"/>
    <n v="0"/>
    <n v="0"/>
    <n v="0"/>
    <n v="0"/>
    <n v="1"/>
  </r>
  <r>
    <s v="A1SHLWKA0UH1IS"/>
    <s v="english"/>
    <n v="53"/>
    <s v="female"/>
    <s v="control"/>
    <x v="10"/>
    <n v="132600"/>
    <n v="0"/>
    <n v="0"/>
    <n v="1"/>
    <n v="0"/>
    <s v="NA"/>
    <s v="NA"/>
    <s v="NA"/>
    <s v="NA"/>
    <s v="NA"/>
    <s v="NA"/>
    <s v="NA"/>
    <n v="0"/>
    <n v="1"/>
    <n v="0"/>
    <n v="0"/>
    <n v="0"/>
    <n v="1"/>
    <n v="0"/>
    <n v="0"/>
    <n v="0"/>
    <n v="0"/>
    <n v="0"/>
    <n v="0"/>
    <n v="1"/>
  </r>
  <r>
    <s v="A1SHLWKA0UH1IS"/>
    <s v="english"/>
    <n v="53"/>
    <s v="female"/>
    <s v="test"/>
    <x v="11"/>
    <n v="39869"/>
    <n v="0"/>
    <n v="1"/>
    <n v="1"/>
    <n v="0"/>
    <s v="Store F."/>
    <s v="Store E."/>
    <s v="Stores A, B, C, D and E."/>
    <s v="fa"/>
    <s v="mo-l"/>
    <s v="exh"/>
    <n v="1"/>
    <n v="0"/>
    <n v="1"/>
    <n v="0"/>
    <n v="0"/>
    <n v="0"/>
    <n v="1"/>
    <n v="1"/>
    <n v="0"/>
    <n v="1"/>
    <n v="0"/>
    <n v="0"/>
    <n v="0"/>
    <n v="0"/>
  </r>
  <r>
    <s v="A1SHLWKA0UH1IS"/>
    <s v="english"/>
    <n v="53"/>
    <s v="female"/>
    <s v="control"/>
    <x v="7"/>
    <n v="30773"/>
    <n v="1"/>
    <n v="0"/>
    <n v="0"/>
    <n v="0"/>
    <s v="NA"/>
    <s v="NA"/>
    <s v="NA"/>
    <s v="NA"/>
    <s v="NA"/>
    <s v="NA"/>
    <s v="NA"/>
    <n v="0"/>
    <n v="1"/>
    <n v="0"/>
    <n v="0"/>
    <n v="0"/>
    <n v="1"/>
    <n v="1"/>
    <n v="0"/>
    <n v="1"/>
    <n v="0"/>
    <n v="0"/>
    <n v="0"/>
    <n v="0"/>
  </r>
  <r>
    <s v="A1SHLWKA0UH1IS"/>
    <s v="english"/>
    <n v="53"/>
    <s v="female"/>
    <s v="exit_quest"/>
    <x v="0"/>
    <n v="229179"/>
    <s v="For question 1 I'd probably just give a list of all restaurants that serve brunch. For Q2 I'd give the restaurants that I thought served the best brunch. "/>
    <s v="A little. A few times I questioned myself%2C thinking there could be more than one answer when I only ended up choosing one. Or choosing all of the sentences in one of the last exercises%2C when two sounded awkward but I could still imagine someone saying them and being understood. "/>
    <s v="That was interesting. "/>
    <s v="NA"/>
    <s v="NA"/>
    <s v="NA"/>
    <s v="NA"/>
    <s v="NA"/>
    <s v="NA"/>
    <s v="NA"/>
    <s v="NA"/>
    <s v="NA"/>
    <s v="NA"/>
    <s v="NA"/>
    <s v="NA"/>
    <s v="NA"/>
    <s v="NA"/>
    <s v="NA"/>
    <s v="NA"/>
    <s v="NA"/>
    <s v="NA"/>
    <s v="NA"/>
    <s v="NA"/>
    <s v="NA"/>
  </r>
  <r>
    <s v="A23OS0HQ12VVOR"/>
    <s v="english"/>
    <n v="31"/>
    <s v="male"/>
    <s v="consent"/>
    <x v="0"/>
    <n v="23430"/>
    <s v="NA"/>
    <s v="NA"/>
    <s v="NA"/>
    <s v="NA"/>
    <s v="NA"/>
    <s v="NA"/>
    <s v="NA"/>
    <s v="NA"/>
    <s v="NA"/>
    <s v="NA"/>
    <s v="NA"/>
    <s v="NA"/>
    <s v="NA"/>
    <s v="NA"/>
    <s v="NA"/>
    <s v="NA"/>
    <s v="NA"/>
    <s v="NA"/>
    <s v="NA"/>
    <s v="NA"/>
    <s v="NA"/>
    <s v="NA"/>
    <s v="NA"/>
    <s v="NA"/>
  </r>
  <r>
    <s v="A23OS0HQ12VVOR"/>
    <s v="english"/>
    <n v="31"/>
    <s v="male"/>
    <s v="train"/>
    <x v="2"/>
    <n v="42628"/>
    <n v="0"/>
    <n v="0"/>
    <n v="0"/>
    <n v="1"/>
    <s v="NA"/>
    <s v="NA"/>
    <s v="NA"/>
    <s v="NA"/>
    <s v="NA"/>
    <s v="NA"/>
    <s v="NA"/>
    <s v="NA"/>
    <s v="NA"/>
    <s v="NA"/>
    <s v="NA"/>
    <s v="NA"/>
    <s v="NA"/>
    <s v="NA"/>
    <s v="NA"/>
    <s v="NA"/>
    <s v="NA"/>
    <s v="NA"/>
    <s v="NA"/>
    <s v="NA"/>
  </r>
  <r>
    <s v="A23OS0HQ12VVOR"/>
    <s v="english"/>
    <n v="31"/>
    <s v="male"/>
    <s v="train"/>
    <x v="1"/>
    <n v="37544"/>
    <n v="0"/>
    <n v="0"/>
    <n v="1"/>
    <n v="0"/>
    <s v="NA"/>
    <s v="NA"/>
    <s v="NA"/>
    <s v="NA"/>
    <s v="NA"/>
    <s v="NA"/>
    <s v="NA"/>
    <s v="NA"/>
    <s v="NA"/>
    <s v="NA"/>
    <s v="NA"/>
    <s v="NA"/>
    <s v="NA"/>
    <s v="NA"/>
    <s v="NA"/>
    <s v="NA"/>
    <s v="NA"/>
    <s v="NA"/>
    <s v="NA"/>
    <s v="NA"/>
  </r>
  <r>
    <s v="A23OS0HQ12VVOR"/>
    <s v="english"/>
    <n v="31"/>
    <s v="male"/>
    <s v="test"/>
    <x v="11"/>
    <n v="239716"/>
    <n v="0"/>
    <n v="1"/>
    <n v="0"/>
    <n v="0"/>
    <s v="Store F."/>
    <s v="Stores A, B, C, D and E."/>
    <s v="Stores D and E."/>
    <s v="fa"/>
    <s v="exh"/>
    <s v="ms-l"/>
    <n v="1"/>
    <n v="0"/>
    <n v="0"/>
    <n v="0"/>
    <n v="1"/>
    <n v="0"/>
    <n v="1"/>
    <n v="1"/>
    <n v="0"/>
    <n v="0"/>
    <n v="0"/>
    <n v="0"/>
    <n v="0"/>
    <n v="0"/>
  </r>
  <r>
    <s v="A23OS0HQ12VVOR"/>
    <s v="english"/>
    <n v="31"/>
    <s v="male"/>
    <s v="control"/>
    <x v="7"/>
    <n v="28268"/>
    <n v="1"/>
    <n v="1"/>
    <n v="0"/>
    <n v="0"/>
    <s v="NA"/>
    <s v="NA"/>
    <s v="NA"/>
    <s v="NA"/>
    <s v="NA"/>
    <s v="NA"/>
    <s v="NA"/>
    <n v="0"/>
    <n v="0"/>
    <n v="0"/>
    <n v="1"/>
    <n v="0"/>
    <n v="1"/>
    <n v="1"/>
    <n v="0"/>
    <n v="0"/>
    <n v="0"/>
    <n v="0"/>
    <n v="0"/>
    <n v="0"/>
  </r>
  <r>
    <s v="A23OS0HQ12VVOR"/>
    <s v="english"/>
    <n v="31"/>
    <s v="male"/>
    <s v="test"/>
    <x v="6"/>
    <n v="305790"/>
    <n v="0"/>
    <n v="1"/>
    <n v="0"/>
    <n v="0"/>
    <s v="Cafe E."/>
    <s v="Cafes A and B."/>
    <s v="Cafes A, B, C, D and E."/>
    <s v="mo-l"/>
    <s v="ms-h"/>
    <s v="exh"/>
    <n v="1"/>
    <n v="0"/>
    <n v="1"/>
    <n v="1"/>
    <n v="0"/>
    <n v="0"/>
    <n v="1"/>
    <n v="0"/>
    <n v="0"/>
    <n v="0"/>
    <n v="1"/>
    <n v="0"/>
    <n v="0"/>
    <n v="0"/>
  </r>
  <r>
    <s v="A23OS0HQ12VVOR"/>
    <s v="english"/>
    <n v="31"/>
    <s v="male"/>
    <s v="test"/>
    <x v="8"/>
    <n v="64146"/>
    <n v="1"/>
    <n v="0"/>
    <n v="0"/>
    <n v="0"/>
    <s v="Stylist A."/>
    <s v="Stylist E."/>
    <s v="Stylists A and B."/>
    <s v="mo-h"/>
    <s v="mo-l"/>
    <s v="ms-h"/>
    <n v="0"/>
    <n v="1"/>
    <n v="1"/>
    <n v="1"/>
    <n v="0"/>
    <n v="0"/>
    <n v="1"/>
    <n v="0"/>
    <n v="1"/>
    <n v="0"/>
    <n v="0"/>
    <n v="0"/>
    <n v="0"/>
    <n v="0"/>
  </r>
  <r>
    <s v="A23OS0HQ12VVOR"/>
    <s v="english"/>
    <n v="31"/>
    <s v="male"/>
    <s v="control"/>
    <x v="10"/>
    <n v="25964"/>
    <n v="0"/>
    <n v="1"/>
    <n v="0"/>
    <n v="0"/>
    <s v="NA"/>
    <s v="NA"/>
    <s v="NA"/>
    <s v="NA"/>
    <s v="NA"/>
    <s v="NA"/>
    <s v="NA"/>
    <n v="1"/>
    <n v="1"/>
    <n v="1"/>
    <n v="0"/>
    <n v="0"/>
    <n v="1"/>
    <n v="0"/>
    <n v="1"/>
    <n v="0"/>
    <n v="0"/>
    <n v="0"/>
    <n v="0"/>
    <n v="0"/>
  </r>
  <r>
    <s v="A23OS0HQ12VVOR"/>
    <s v="english"/>
    <n v="31"/>
    <s v="male"/>
    <s v="test"/>
    <x v="4"/>
    <n v="11946"/>
    <n v="0"/>
    <n v="0"/>
    <n v="1"/>
    <n v="0"/>
    <s v="Dentists D and E."/>
    <s v="Dentist F."/>
    <s v="Dentist A."/>
    <s v="ms-l"/>
    <s v="fa"/>
    <s v="mo-h"/>
    <n v="0"/>
    <n v="1"/>
    <n v="0"/>
    <n v="0"/>
    <n v="1"/>
    <n v="0"/>
    <n v="1"/>
    <n v="0"/>
    <n v="1"/>
    <n v="0"/>
    <n v="0"/>
    <n v="0"/>
    <n v="0"/>
    <n v="0"/>
  </r>
  <r>
    <s v="A23OS0HQ12VVOR"/>
    <s v="english"/>
    <n v="31"/>
    <s v="male"/>
    <s v="control"/>
    <x v="12"/>
    <n v="17150"/>
    <n v="1"/>
    <n v="0"/>
    <n v="0"/>
    <n v="0"/>
    <s v="NA"/>
    <s v="NA"/>
    <s v="NA"/>
    <s v="NA"/>
    <s v="NA"/>
    <s v="NA"/>
    <s v="NA"/>
    <n v="1"/>
    <n v="0"/>
    <n v="0"/>
    <n v="1"/>
    <n v="0"/>
    <n v="1"/>
    <n v="0"/>
    <n v="1"/>
    <n v="0"/>
    <n v="0"/>
    <n v="0"/>
    <n v="0"/>
    <n v="0"/>
  </r>
  <r>
    <s v="A23OS0HQ12VVOR"/>
    <s v="english"/>
    <n v="31"/>
    <s v="male"/>
    <s v="test"/>
    <x v="3"/>
    <n v="11584"/>
    <n v="0"/>
    <n v="0"/>
    <n v="1"/>
    <n v="0"/>
    <s v="Bookstore E."/>
    <s v="Bookstores A, B, C, D and E."/>
    <s v="Bookstores A and B."/>
    <s v="mo-l"/>
    <s v="exh"/>
    <s v="ms-h"/>
    <n v="1"/>
    <n v="0"/>
    <n v="1"/>
    <n v="1"/>
    <n v="0"/>
    <n v="0"/>
    <n v="1"/>
    <n v="0"/>
    <n v="0"/>
    <n v="0"/>
    <n v="1"/>
    <n v="0"/>
    <n v="0"/>
    <n v="0"/>
  </r>
  <r>
    <s v="A23OS0HQ12VVOR"/>
    <s v="english"/>
    <n v="31"/>
    <s v="male"/>
    <s v="test"/>
    <x v="9"/>
    <n v="11332"/>
    <n v="0"/>
    <n v="0"/>
    <n v="1"/>
    <n v="0"/>
    <s v="Stalls A, B, C, D and E."/>
    <s v="Stalls D and E."/>
    <s v="Stall A."/>
    <s v="exh"/>
    <s v="ms-l"/>
    <s v="mo-h"/>
    <n v="1"/>
    <n v="1"/>
    <n v="0"/>
    <n v="0"/>
    <n v="1"/>
    <n v="0"/>
    <n v="1"/>
    <n v="0"/>
    <n v="1"/>
    <n v="0"/>
    <n v="0"/>
    <n v="0"/>
    <n v="0"/>
    <n v="0"/>
  </r>
  <r>
    <s v="A23OS0HQ12VVOR"/>
    <s v="english"/>
    <n v="31"/>
    <s v="male"/>
    <s v="control"/>
    <x v="5"/>
    <n v="19516"/>
    <n v="0"/>
    <n v="1"/>
    <n v="0"/>
    <n v="0"/>
    <s v="NA"/>
    <s v="NA"/>
    <s v="NA"/>
    <s v="NA"/>
    <s v="NA"/>
    <s v="NA"/>
    <s v="NA"/>
    <n v="1"/>
    <n v="0"/>
    <n v="0"/>
    <n v="1"/>
    <n v="0"/>
    <n v="1"/>
    <n v="0"/>
    <n v="1"/>
    <n v="0"/>
    <n v="0"/>
    <n v="0"/>
    <n v="0"/>
    <n v="0"/>
  </r>
  <r>
    <s v="A23OS0HQ12VVOR"/>
    <s v="english"/>
    <n v="31"/>
    <s v="male"/>
    <s v="exit_quest"/>
    <x v="0"/>
    <n v="80280"/>
    <s v="No%2C it's the same question but phrased in a different way - they both have the same meaning."/>
    <s v="Not really%2C some of the tasks were a bit tough but only because of how they were worded"/>
    <s v="No"/>
    <s v="NA"/>
    <s v="NA"/>
    <s v="NA"/>
    <s v="NA"/>
    <s v="NA"/>
    <s v="NA"/>
    <s v="NA"/>
    <s v="NA"/>
    <s v="NA"/>
    <s v="NA"/>
    <s v="NA"/>
    <s v="NA"/>
    <s v="NA"/>
    <s v="NA"/>
    <s v="NA"/>
    <s v="NA"/>
    <s v="NA"/>
    <s v="NA"/>
    <s v="NA"/>
    <s v="NA"/>
    <s v="NA"/>
  </r>
  <r>
    <s v="A2JIY3NSLQJWAE"/>
    <s v="english"/>
    <n v="27"/>
    <s v="female"/>
    <s v="consent"/>
    <x v="0"/>
    <n v="151345"/>
    <s v="NA"/>
    <s v="NA"/>
    <s v="NA"/>
    <s v="NA"/>
    <s v="NA"/>
    <s v="NA"/>
    <s v="NA"/>
    <s v="NA"/>
    <s v="NA"/>
    <s v="NA"/>
    <s v="NA"/>
    <s v="NA"/>
    <s v="NA"/>
    <s v="NA"/>
    <s v="NA"/>
    <s v="NA"/>
    <s v="NA"/>
    <s v="NA"/>
    <s v="NA"/>
    <s v="NA"/>
    <s v="NA"/>
    <s v="NA"/>
    <s v="NA"/>
    <s v="NA"/>
  </r>
  <r>
    <s v="A2JIY3NSLQJWAE"/>
    <s v="english"/>
    <n v="27"/>
    <s v="female"/>
    <s v="train"/>
    <x v="1"/>
    <n v="576383"/>
    <n v="0"/>
    <n v="0"/>
    <n v="1"/>
    <n v="0"/>
    <s v="NA"/>
    <s v="NA"/>
    <s v="NA"/>
    <s v="NA"/>
    <s v="NA"/>
    <s v="NA"/>
    <s v="NA"/>
    <s v="NA"/>
    <s v="NA"/>
    <s v="NA"/>
    <s v="NA"/>
    <s v="NA"/>
    <s v="NA"/>
    <s v="NA"/>
    <s v="NA"/>
    <s v="NA"/>
    <s v="NA"/>
    <s v="NA"/>
    <s v="NA"/>
    <s v="NA"/>
  </r>
  <r>
    <s v="A2JIY3NSLQJWAE"/>
    <s v="english"/>
    <n v="27"/>
    <s v="female"/>
    <s v="train"/>
    <x v="2"/>
    <n v="9018"/>
    <n v="0"/>
    <n v="0"/>
    <n v="0"/>
    <n v="1"/>
    <s v="NA"/>
    <s v="NA"/>
    <s v="NA"/>
    <s v="NA"/>
    <s v="NA"/>
    <s v="NA"/>
    <s v="NA"/>
    <s v="NA"/>
    <s v="NA"/>
    <s v="NA"/>
    <s v="NA"/>
    <s v="NA"/>
    <s v="NA"/>
    <s v="NA"/>
    <s v="NA"/>
    <s v="NA"/>
    <s v="NA"/>
    <s v="NA"/>
    <s v="NA"/>
    <s v="NA"/>
  </r>
  <r>
    <s v="A2JIY3NSLQJWAE"/>
    <s v="english"/>
    <n v="27"/>
    <s v="female"/>
    <s v="test"/>
    <x v="3"/>
    <n v="277159"/>
    <n v="0"/>
    <n v="1"/>
    <n v="1"/>
    <n v="0"/>
    <s v="Bookstore E."/>
    <s v="Bookstores A, B, C, D and E."/>
    <s v="Bookstore A."/>
    <s v="mo-l"/>
    <s v="exh"/>
    <s v="mo-h"/>
    <n v="1"/>
    <n v="1"/>
    <n v="1"/>
    <n v="0"/>
    <n v="0"/>
    <n v="0"/>
    <n v="1"/>
    <n v="1"/>
    <n v="1"/>
    <n v="0"/>
    <n v="0"/>
    <n v="0"/>
    <n v="0"/>
    <n v="0"/>
  </r>
  <r>
    <s v="A2JIY3NSLQJWAE"/>
    <s v="english"/>
    <n v="27"/>
    <s v="female"/>
    <s v="control"/>
    <x v="5"/>
    <n v="95230"/>
    <n v="0"/>
    <n v="1"/>
    <n v="1"/>
    <n v="0"/>
    <s v="NA"/>
    <s v="NA"/>
    <s v="NA"/>
    <s v="NA"/>
    <s v="NA"/>
    <s v="NA"/>
    <s v="NA"/>
    <n v="1"/>
    <n v="1"/>
    <n v="0"/>
    <n v="0"/>
    <n v="0"/>
    <n v="1"/>
    <n v="1"/>
    <n v="1"/>
    <n v="0"/>
    <n v="0"/>
    <n v="0"/>
    <n v="0"/>
    <n v="0"/>
  </r>
  <r>
    <s v="A2JIY3NSLQJWAE"/>
    <s v="english"/>
    <n v="27"/>
    <s v="female"/>
    <s v="test"/>
    <x v="11"/>
    <n v="23047"/>
    <n v="1"/>
    <n v="1"/>
    <n v="1"/>
    <n v="0"/>
    <s v="Stores A and B."/>
    <s v="Store F."/>
    <s v="Store E."/>
    <s v="ms-h"/>
    <s v="fa"/>
    <s v="mo-l"/>
    <n v="0"/>
    <n v="0"/>
    <n v="1"/>
    <n v="1"/>
    <n v="0"/>
    <n v="0"/>
    <n v="1"/>
    <n v="0"/>
    <n v="0"/>
    <n v="1"/>
    <n v="1"/>
    <n v="0"/>
    <n v="0"/>
    <n v="0"/>
  </r>
  <r>
    <s v="A2JIY3NSLQJWAE"/>
    <s v="english"/>
    <n v="27"/>
    <s v="female"/>
    <s v="test"/>
    <x v="4"/>
    <n v="10306"/>
    <n v="1"/>
    <n v="1"/>
    <n v="1"/>
    <n v="0"/>
    <s v="Dentists D and E."/>
    <s v="Dentists A and B."/>
    <s v="Dentist A."/>
    <s v="ms-l"/>
    <s v="ms-h"/>
    <s v="mo-h"/>
    <n v="0"/>
    <n v="1"/>
    <n v="0"/>
    <n v="1"/>
    <n v="1"/>
    <n v="0"/>
    <n v="1"/>
    <n v="0"/>
    <n v="1"/>
    <n v="0"/>
    <n v="1"/>
    <n v="1"/>
    <n v="0"/>
    <n v="0"/>
  </r>
  <r>
    <s v="A2JIY3NSLQJWAE"/>
    <s v="english"/>
    <n v="27"/>
    <s v="female"/>
    <s v="control"/>
    <x v="10"/>
    <n v="8549"/>
    <n v="1"/>
    <n v="1"/>
    <n v="1"/>
    <n v="0"/>
    <s v="NA"/>
    <s v="NA"/>
    <s v="NA"/>
    <s v="NA"/>
    <s v="NA"/>
    <s v="NA"/>
    <s v="NA"/>
    <n v="1"/>
    <n v="0"/>
    <n v="1"/>
    <n v="1"/>
    <n v="0"/>
    <n v="1"/>
    <n v="0"/>
    <n v="1"/>
    <n v="0"/>
    <n v="1"/>
    <n v="1"/>
    <n v="0"/>
    <n v="0"/>
  </r>
  <r>
    <s v="A2JIY3NSLQJWAE"/>
    <s v="english"/>
    <n v="27"/>
    <s v="female"/>
    <s v="test"/>
    <x v="9"/>
    <n v="5833"/>
    <n v="0"/>
    <n v="1"/>
    <n v="1"/>
    <n v="0"/>
    <s v="Stalls D and E."/>
    <s v="Stall A."/>
    <s v="Stall E."/>
    <s v="ms-l"/>
    <s v="mo-h"/>
    <s v="mo-l"/>
    <n v="0"/>
    <n v="1"/>
    <n v="1"/>
    <n v="0"/>
    <n v="1"/>
    <n v="0"/>
    <n v="1"/>
    <n v="0"/>
    <n v="1"/>
    <n v="1"/>
    <n v="0"/>
    <n v="0"/>
    <n v="0"/>
    <n v="0"/>
  </r>
  <r>
    <s v="A2JIY3NSLQJWAE"/>
    <s v="english"/>
    <n v="27"/>
    <s v="female"/>
    <s v="control"/>
    <x v="7"/>
    <n v="5186"/>
    <n v="0"/>
    <n v="1"/>
    <n v="1"/>
    <n v="0"/>
    <s v="NA"/>
    <s v="NA"/>
    <s v="NA"/>
    <s v="NA"/>
    <s v="NA"/>
    <s v="NA"/>
    <s v="NA"/>
    <n v="1"/>
    <n v="1"/>
    <n v="0"/>
    <n v="1"/>
    <n v="0"/>
    <n v="1"/>
    <n v="0"/>
    <n v="1"/>
    <n v="1"/>
    <n v="0"/>
    <n v="0"/>
    <n v="0"/>
    <n v="0"/>
  </r>
  <r>
    <s v="A2JIY3NSLQJWAE"/>
    <s v="english"/>
    <n v="27"/>
    <s v="female"/>
    <s v="test"/>
    <x v="6"/>
    <n v="6243"/>
    <n v="1"/>
    <n v="1"/>
    <n v="0"/>
    <n v="0"/>
    <s v="Cafe F."/>
    <s v="Cafes A, B, C, D and E."/>
    <s v="Cafe A."/>
    <s v="fa"/>
    <s v="exh"/>
    <s v="mo-h"/>
    <n v="1"/>
    <n v="1"/>
    <n v="0"/>
    <n v="0"/>
    <n v="0"/>
    <n v="0"/>
    <n v="1"/>
    <n v="1"/>
    <n v="0"/>
    <n v="0"/>
    <n v="0"/>
    <n v="0"/>
    <n v="0"/>
    <n v="0"/>
  </r>
  <r>
    <s v="A2JIY3NSLQJWAE"/>
    <s v="english"/>
    <n v="27"/>
    <s v="female"/>
    <s v="test"/>
    <x v="8"/>
    <n v="14323"/>
    <n v="0"/>
    <n v="1"/>
    <n v="1"/>
    <n v="0"/>
    <s v="Stylists A and B."/>
    <s v="Stylists A, B, C, D and E."/>
    <s v="Stylist A."/>
    <s v="ms-h"/>
    <s v="exh"/>
    <s v="mo-h"/>
    <n v="1"/>
    <n v="1"/>
    <n v="0"/>
    <n v="1"/>
    <n v="0"/>
    <n v="0"/>
    <n v="1"/>
    <n v="1"/>
    <n v="1"/>
    <n v="0"/>
    <n v="0"/>
    <n v="0"/>
    <n v="0"/>
    <n v="0"/>
  </r>
  <r>
    <s v="A2JIY3NSLQJWAE"/>
    <s v="english"/>
    <n v="27"/>
    <s v="female"/>
    <s v="control"/>
    <x v="12"/>
    <n v="14161"/>
    <n v="1"/>
    <n v="1"/>
    <n v="0"/>
    <n v="0"/>
    <s v="NA"/>
    <s v="NA"/>
    <s v="NA"/>
    <s v="NA"/>
    <s v="NA"/>
    <s v="NA"/>
    <s v="NA"/>
    <n v="1"/>
    <n v="0"/>
    <n v="1"/>
    <n v="0"/>
    <n v="0"/>
    <n v="1"/>
    <n v="1"/>
    <n v="1"/>
    <n v="0"/>
    <n v="0"/>
    <n v="0"/>
    <n v="0"/>
    <n v="0"/>
  </r>
  <r>
    <s v="A2JIY3NSLQJWAE"/>
    <s v="english"/>
    <n v="27"/>
    <s v="female"/>
    <s v="exit_quest"/>
    <x v="0"/>
    <n v="192748"/>
    <s v="We began with scones and also ordered pimiento cheese spread for the table‚Äîthis is a Southern restaurant%2C after all. The pimiento cheese spread was perfectly presented‚Äîserved in a mini mason jar atop a wooden rectangular cutting board with crackers%2Cits very interesting"/>
    <s v="nothing%2Cvery nice survey"/>
    <s v="no"/>
    <s v="NA"/>
    <s v="NA"/>
    <s v="NA"/>
    <s v="NA"/>
    <s v="NA"/>
    <s v="NA"/>
    <s v="NA"/>
    <s v="NA"/>
    <s v="NA"/>
    <s v="NA"/>
    <s v="NA"/>
    <s v="NA"/>
    <s v="NA"/>
    <s v="NA"/>
    <s v="NA"/>
    <s v="NA"/>
    <s v="NA"/>
    <s v="NA"/>
    <s v="NA"/>
    <s v="NA"/>
    <s v="NA"/>
  </r>
  <r>
    <s v="AZXTZQBZ1F4UV"/>
    <s v="english"/>
    <n v="27"/>
    <s v="male"/>
    <s v="consent"/>
    <x v="0"/>
    <n v="206329"/>
    <s v="NA"/>
    <s v="NA"/>
    <s v="NA"/>
    <s v="NA"/>
    <s v="NA"/>
    <s v="NA"/>
    <s v="NA"/>
    <s v="NA"/>
    <s v="NA"/>
    <s v="NA"/>
    <s v="NA"/>
    <s v="NA"/>
    <s v="NA"/>
    <s v="NA"/>
    <s v="NA"/>
    <s v="NA"/>
    <s v="NA"/>
    <s v="NA"/>
    <s v="NA"/>
    <s v="NA"/>
    <s v="NA"/>
    <s v="NA"/>
    <s v="NA"/>
    <s v="NA"/>
  </r>
  <r>
    <s v="AZXTZQBZ1F4UV"/>
    <s v="english"/>
    <n v="27"/>
    <s v="male"/>
    <s v="train"/>
    <x v="1"/>
    <n v="725328"/>
    <n v="0"/>
    <n v="0"/>
    <n v="1"/>
    <n v="0"/>
    <s v="NA"/>
    <s v="NA"/>
    <s v="NA"/>
    <s v="NA"/>
    <s v="NA"/>
    <s v="NA"/>
    <s v="NA"/>
    <s v="NA"/>
    <s v="NA"/>
    <s v="NA"/>
    <s v="NA"/>
    <s v="NA"/>
    <s v="NA"/>
    <s v="NA"/>
    <s v="NA"/>
    <s v="NA"/>
    <s v="NA"/>
    <s v="NA"/>
    <s v="NA"/>
    <s v="NA"/>
  </r>
  <r>
    <s v="AZXTZQBZ1F4UV"/>
    <s v="english"/>
    <n v="27"/>
    <s v="male"/>
    <s v="train"/>
    <x v="2"/>
    <n v="234694"/>
    <n v="1"/>
    <n v="1"/>
    <n v="1"/>
    <n v="0"/>
    <s v="NA"/>
    <s v="NA"/>
    <s v="NA"/>
    <s v="NA"/>
    <s v="NA"/>
    <s v="NA"/>
    <s v="NA"/>
    <s v="NA"/>
    <s v="NA"/>
    <s v="NA"/>
    <s v="NA"/>
    <s v="NA"/>
    <s v="NA"/>
    <s v="NA"/>
    <s v="NA"/>
    <s v="NA"/>
    <s v="NA"/>
    <s v="NA"/>
    <s v="NA"/>
    <s v="NA"/>
  </r>
  <r>
    <s v="AZXTZQBZ1F4UV"/>
    <s v="english"/>
    <n v="27"/>
    <s v="male"/>
    <s v="test"/>
    <x v="3"/>
    <n v="248751"/>
    <n v="1"/>
    <n v="1"/>
    <n v="1"/>
    <n v="0"/>
    <s v="Bookstores D and E."/>
    <s v="Bookstores A and B."/>
    <s v="Bookstore F."/>
    <s v="ms-l"/>
    <s v="ms-h"/>
    <s v="fa"/>
    <n v="0"/>
    <n v="0"/>
    <n v="0"/>
    <n v="1"/>
    <n v="1"/>
    <n v="0"/>
    <n v="1"/>
    <n v="0"/>
    <n v="0"/>
    <n v="0"/>
    <n v="1"/>
    <n v="1"/>
    <n v="0"/>
    <n v="0"/>
  </r>
  <r>
    <s v="AZXTZQBZ1F4UV"/>
    <s v="english"/>
    <n v="27"/>
    <s v="male"/>
    <s v="test"/>
    <x v="6"/>
    <n v="61874"/>
    <n v="1"/>
    <n v="1"/>
    <n v="1"/>
    <n v="0"/>
    <s v="Cafe E."/>
    <s v="Cafe F."/>
    <s v="Cafes D and E."/>
    <s v="mo-l"/>
    <s v="fa"/>
    <s v="ms-l"/>
    <n v="0"/>
    <n v="0"/>
    <n v="1"/>
    <n v="0"/>
    <n v="1"/>
    <n v="0"/>
    <n v="1"/>
    <n v="0"/>
    <n v="0"/>
    <n v="1"/>
    <n v="0"/>
    <n v="1"/>
    <n v="0"/>
    <n v="0"/>
  </r>
  <r>
    <s v="AZXTZQBZ1F4UV"/>
    <s v="english"/>
    <n v="27"/>
    <s v="male"/>
    <s v="control"/>
    <x v="10"/>
    <n v="59280"/>
    <n v="1"/>
    <n v="1"/>
    <n v="0"/>
    <n v="0"/>
    <s v="NA"/>
    <s v="NA"/>
    <s v="NA"/>
    <s v="NA"/>
    <s v="NA"/>
    <s v="NA"/>
    <s v="NA"/>
    <n v="0"/>
    <n v="1"/>
    <n v="0"/>
    <n v="1"/>
    <n v="0"/>
    <n v="1"/>
    <n v="0"/>
    <n v="0"/>
    <n v="1"/>
    <n v="0"/>
    <n v="1"/>
    <n v="0"/>
    <n v="0"/>
  </r>
  <r>
    <s v="AZXTZQBZ1F4UV"/>
    <s v="english"/>
    <n v="27"/>
    <s v="male"/>
    <s v="test"/>
    <x v="8"/>
    <n v="93750"/>
    <n v="1"/>
    <n v="1"/>
    <n v="1"/>
    <n v="0"/>
    <s v="Stylist F."/>
    <s v="Stylists A, B, C, D and E."/>
    <s v="Stylist A."/>
    <s v="fa"/>
    <s v="exh"/>
    <s v="mo-h"/>
    <n v="1"/>
    <n v="1"/>
    <n v="0"/>
    <n v="0"/>
    <n v="0"/>
    <n v="0"/>
    <n v="1"/>
    <n v="1"/>
    <n v="1"/>
    <n v="0"/>
    <n v="0"/>
    <n v="0"/>
    <n v="0"/>
    <n v="0"/>
  </r>
  <r>
    <s v="AZXTZQBZ1F4UV"/>
    <s v="english"/>
    <n v="27"/>
    <s v="male"/>
    <s v="control"/>
    <x v="12"/>
    <n v="11857"/>
    <n v="1"/>
    <n v="1"/>
    <n v="0"/>
    <n v="0"/>
    <s v="NA"/>
    <s v="NA"/>
    <s v="NA"/>
    <s v="NA"/>
    <s v="NA"/>
    <s v="NA"/>
    <s v="NA"/>
    <n v="1"/>
    <n v="0"/>
    <n v="0"/>
    <n v="0"/>
    <n v="0"/>
    <n v="1"/>
    <n v="1"/>
    <n v="1"/>
    <n v="0"/>
    <n v="0"/>
    <n v="0"/>
    <n v="0"/>
    <n v="0"/>
  </r>
  <r>
    <s v="AZXTZQBZ1F4UV"/>
    <s v="english"/>
    <n v="27"/>
    <s v="male"/>
    <s v="test"/>
    <x v="11"/>
    <n v="15639"/>
    <n v="1"/>
    <n v="1"/>
    <n v="1"/>
    <n v="0"/>
    <s v="Stores A, B, C, D and E."/>
    <s v="Store E."/>
    <s v="Stores D and E."/>
    <s v="exh"/>
    <s v="mo-l"/>
    <s v="ms-l"/>
    <n v="1"/>
    <n v="0"/>
    <n v="1"/>
    <n v="0"/>
    <n v="1"/>
    <n v="0"/>
    <n v="1"/>
    <n v="1"/>
    <n v="0"/>
    <n v="1"/>
    <n v="0"/>
    <n v="1"/>
    <n v="0"/>
    <n v="0"/>
  </r>
  <r>
    <s v="AZXTZQBZ1F4UV"/>
    <s v="english"/>
    <n v="27"/>
    <s v="male"/>
    <s v="test"/>
    <x v="4"/>
    <n v="8606"/>
    <n v="1"/>
    <n v="1"/>
    <n v="1"/>
    <n v="0"/>
    <s v="Dentists A and B."/>
    <s v="Dentists D and E."/>
    <s v="Dentists A, B, C, D and E."/>
    <s v="ms-h"/>
    <s v="ms-l"/>
    <s v="exh"/>
    <n v="1"/>
    <n v="0"/>
    <n v="0"/>
    <n v="1"/>
    <n v="1"/>
    <n v="0"/>
    <n v="1"/>
    <n v="1"/>
    <n v="0"/>
    <n v="0"/>
    <n v="1"/>
    <n v="1"/>
    <n v="0"/>
    <n v="0"/>
  </r>
  <r>
    <s v="AZXTZQBZ1F4UV"/>
    <s v="english"/>
    <n v="27"/>
    <s v="male"/>
    <s v="control"/>
    <x v="7"/>
    <n v="15549"/>
    <n v="1"/>
    <n v="1"/>
    <n v="1"/>
    <n v="0"/>
    <s v="NA"/>
    <s v="NA"/>
    <s v="NA"/>
    <s v="NA"/>
    <s v="NA"/>
    <s v="NA"/>
    <s v="NA"/>
    <n v="0"/>
    <n v="0"/>
    <n v="1"/>
    <n v="1"/>
    <n v="0"/>
    <n v="1"/>
    <n v="1"/>
    <n v="0"/>
    <n v="0"/>
    <n v="1"/>
    <n v="1"/>
    <n v="0"/>
    <n v="0"/>
  </r>
  <r>
    <s v="AZXTZQBZ1F4UV"/>
    <s v="english"/>
    <n v="27"/>
    <s v="male"/>
    <s v="test"/>
    <x v="9"/>
    <n v="4950"/>
    <n v="1"/>
    <n v="1"/>
    <n v="0"/>
    <n v="0"/>
    <s v="Stalls A, B, C, D and E."/>
    <s v="Stall A."/>
    <s v="Stall E."/>
    <s v="exh"/>
    <s v="mo-h"/>
    <s v="mo-l"/>
    <n v="1"/>
    <n v="1"/>
    <n v="1"/>
    <n v="0"/>
    <n v="0"/>
    <n v="0"/>
    <n v="1"/>
    <n v="1"/>
    <n v="1"/>
    <n v="0"/>
    <n v="0"/>
    <n v="0"/>
    <n v="0"/>
    <n v="0"/>
  </r>
  <r>
    <s v="AZXTZQBZ1F4UV"/>
    <s v="english"/>
    <n v="27"/>
    <s v="male"/>
    <s v="control"/>
    <x v="5"/>
    <n v="5917"/>
    <n v="0"/>
    <n v="1"/>
    <n v="1"/>
    <n v="0"/>
    <s v="NA"/>
    <s v="NA"/>
    <s v="NA"/>
    <s v="NA"/>
    <s v="NA"/>
    <s v="NA"/>
    <s v="NA"/>
    <n v="1"/>
    <n v="1"/>
    <n v="0"/>
    <n v="0"/>
    <n v="0"/>
    <n v="1"/>
    <n v="1"/>
    <n v="1"/>
    <n v="0"/>
    <n v="0"/>
    <n v="0"/>
    <n v="0"/>
    <n v="0"/>
  </r>
  <r>
    <s v="AZXTZQBZ1F4UV"/>
    <s v="english"/>
    <n v="27"/>
    <s v="male"/>
    <s v="exit_quest"/>
    <x v="0"/>
    <n v="45693"/>
    <s v="I CHOOSE NEARABLE HOTEL. I WILL EAT TASTY FOOD AND VARIETIES OF FOOD. SO I GO TO BEST HOTEL IN MY TRIP.%0A%0A"/>
    <s v="it's very difficult"/>
    <s v="no nothing"/>
    <s v="NA"/>
    <s v="NA"/>
    <s v="NA"/>
    <s v="NA"/>
    <s v="NA"/>
    <s v="NA"/>
    <s v="NA"/>
    <s v="NA"/>
    <s v="NA"/>
    <s v="NA"/>
    <s v="NA"/>
    <s v="NA"/>
    <s v="NA"/>
    <s v="NA"/>
    <s v="NA"/>
    <s v="NA"/>
    <s v="NA"/>
    <s v="NA"/>
    <s v="NA"/>
    <s v="NA"/>
    <s v="NA"/>
  </r>
  <r>
    <s v="A120PN22KW0VPY"/>
    <s v="english"/>
    <n v="64"/>
    <s v="female"/>
    <s v="consent"/>
    <x v="0"/>
    <n v="109809"/>
    <s v="NA"/>
    <s v="NA"/>
    <s v="NA"/>
    <s v="NA"/>
    <s v="NA"/>
    <s v="NA"/>
    <s v="NA"/>
    <s v="NA"/>
    <s v="NA"/>
    <s v="NA"/>
    <s v="NA"/>
    <s v="NA"/>
    <s v="NA"/>
    <s v="NA"/>
    <s v="NA"/>
    <s v="NA"/>
    <s v="NA"/>
    <s v="NA"/>
    <s v="NA"/>
    <s v="NA"/>
    <s v="NA"/>
    <s v="NA"/>
    <s v="NA"/>
    <s v="NA"/>
  </r>
  <r>
    <s v="A120PN22KW0VPY"/>
    <s v="english"/>
    <n v="64"/>
    <s v="female"/>
    <s v="train"/>
    <x v="1"/>
    <n v="108871"/>
    <n v="0"/>
    <n v="0"/>
    <n v="1"/>
    <n v="0"/>
    <s v="NA"/>
    <s v="NA"/>
    <s v="NA"/>
    <s v="NA"/>
    <s v="NA"/>
    <s v="NA"/>
    <s v="NA"/>
    <s v="NA"/>
    <s v="NA"/>
    <s v="NA"/>
    <s v="NA"/>
    <s v="NA"/>
    <s v="NA"/>
    <s v="NA"/>
    <s v="NA"/>
    <s v="NA"/>
    <s v="NA"/>
    <s v="NA"/>
    <s v="NA"/>
    <s v="NA"/>
  </r>
  <r>
    <s v="A120PN22KW0VPY"/>
    <s v="english"/>
    <n v="64"/>
    <s v="female"/>
    <s v="train"/>
    <x v="2"/>
    <n v="51840"/>
    <n v="0"/>
    <n v="0"/>
    <n v="0"/>
    <n v="1"/>
    <s v="NA"/>
    <s v="NA"/>
    <s v="NA"/>
    <s v="NA"/>
    <s v="NA"/>
    <s v="NA"/>
    <s v="NA"/>
    <s v="NA"/>
    <s v="NA"/>
    <s v="NA"/>
    <s v="NA"/>
    <s v="NA"/>
    <s v="NA"/>
    <s v="NA"/>
    <s v="NA"/>
    <s v="NA"/>
    <s v="NA"/>
    <s v="NA"/>
    <s v="NA"/>
    <s v="NA"/>
  </r>
  <r>
    <s v="A120PN22KW0VPY"/>
    <s v="english"/>
    <n v="64"/>
    <s v="female"/>
    <s v="test"/>
    <x v="8"/>
    <n v="71354"/>
    <n v="0"/>
    <n v="0"/>
    <n v="0"/>
    <n v="1"/>
    <s v="Stylist E."/>
    <s v="Stylist F."/>
    <s v="Stylists D and E."/>
    <s v="mo-l"/>
    <s v="fa"/>
    <s v="ms-l"/>
    <n v="0"/>
    <n v="0"/>
    <n v="1"/>
    <n v="0"/>
    <n v="1"/>
    <n v="0"/>
    <n v="1"/>
    <n v="0"/>
    <n v="0"/>
    <n v="0"/>
    <n v="0"/>
    <n v="0"/>
    <n v="0"/>
    <n v="1"/>
  </r>
  <r>
    <s v="A120PN22KW0VPY"/>
    <s v="english"/>
    <n v="64"/>
    <s v="female"/>
    <s v="test"/>
    <x v="6"/>
    <n v="75091"/>
    <n v="0"/>
    <n v="0"/>
    <n v="1"/>
    <n v="0"/>
    <s v="Cafe E."/>
    <s v="Cafes D and E."/>
    <s v="Cafes A and B."/>
    <s v="mo-l"/>
    <s v="ms-l"/>
    <s v="ms-h"/>
    <n v="0"/>
    <n v="0"/>
    <n v="1"/>
    <n v="1"/>
    <n v="1"/>
    <n v="0"/>
    <n v="1"/>
    <n v="0"/>
    <n v="0"/>
    <n v="0"/>
    <n v="1"/>
    <n v="0"/>
    <n v="0"/>
    <n v="0"/>
  </r>
  <r>
    <s v="A120PN22KW0VPY"/>
    <s v="english"/>
    <n v="64"/>
    <s v="female"/>
    <s v="control"/>
    <x v="10"/>
    <n v="41956"/>
    <n v="0"/>
    <n v="1"/>
    <n v="0"/>
    <n v="0"/>
    <s v="NA"/>
    <s v="NA"/>
    <s v="NA"/>
    <s v="NA"/>
    <s v="NA"/>
    <s v="NA"/>
    <s v="NA"/>
    <n v="0"/>
    <n v="1"/>
    <n v="1"/>
    <n v="1"/>
    <n v="0"/>
    <n v="1"/>
    <n v="0"/>
    <n v="0"/>
    <n v="0"/>
    <n v="1"/>
    <n v="0"/>
    <n v="0"/>
    <n v="0"/>
  </r>
  <r>
    <s v="A120PN22KW0VPY"/>
    <s v="english"/>
    <n v="64"/>
    <s v="female"/>
    <s v="test"/>
    <x v="3"/>
    <n v="95739"/>
    <n v="0"/>
    <n v="0"/>
    <n v="0"/>
    <n v="1"/>
    <s v="Bookstore A."/>
    <s v="Bookstore F."/>
    <s v="Bookstore E."/>
    <s v="mo-h"/>
    <s v="fa"/>
    <s v="mo-l"/>
    <n v="0"/>
    <n v="1"/>
    <n v="1"/>
    <n v="0"/>
    <n v="0"/>
    <n v="0"/>
    <n v="1"/>
    <n v="0"/>
    <n v="0"/>
    <n v="0"/>
    <n v="0"/>
    <n v="0"/>
    <n v="0"/>
    <n v="1"/>
  </r>
  <r>
    <s v="A120PN22KW0VPY"/>
    <s v="english"/>
    <n v="64"/>
    <s v="female"/>
    <s v="control"/>
    <x v="12"/>
    <n v="60014"/>
    <n v="1"/>
    <n v="0"/>
    <n v="0"/>
    <n v="0"/>
    <s v="NA"/>
    <s v="NA"/>
    <s v="NA"/>
    <s v="NA"/>
    <s v="NA"/>
    <s v="NA"/>
    <s v="NA"/>
    <n v="1"/>
    <n v="1"/>
    <n v="0"/>
    <n v="0"/>
    <n v="0"/>
    <n v="1"/>
    <n v="0"/>
    <n v="0"/>
    <n v="0"/>
    <n v="0"/>
    <n v="0"/>
    <n v="0"/>
    <n v="1"/>
  </r>
  <r>
    <s v="A120PN22KW0VPY"/>
    <s v="english"/>
    <n v="64"/>
    <s v="female"/>
    <s v="test"/>
    <x v="11"/>
    <n v="62042"/>
    <n v="1"/>
    <n v="0"/>
    <n v="0"/>
    <n v="0"/>
    <s v="Stores A and B."/>
    <s v="Store A."/>
    <s v="Stores A, B, C, D and E."/>
    <s v="ms-h"/>
    <s v="mo-h"/>
    <s v="exh"/>
    <n v="1"/>
    <n v="1"/>
    <n v="0"/>
    <n v="1"/>
    <n v="0"/>
    <n v="0"/>
    <n v="1"/>
    <n v="0"/>
    <n v="0"/>
    <n v="0"/>
    <n v="1"/>
    <n v="0"/>
    <n v="0"/>
    <n v="0"/>
  </r>
  <r>
    <s v="A120PN22KW0VPY"/>
    <s v="english"/>
    <n v="64"/>
    <s v="female"/>
    <s v="test"/>
    <x v="9"/>
    <n v="771113"/>
    <n v="0"/>
    <n v="0"/>
    <n v="1"/>
    <n v="0"/>
    <s v="Stall E."/>
    <s v="Stalls D and E."/>
    <s v="Stalls A and B."/>
    <s v="mo-l"/>
    <s v="ms-l"/>
    <s v="ms-h"/>
    <n v="0"/>
    <n v="0"/>
    <n v="1"/>
    <n v="1"/>
    <n v="1"/>
    <n v="0"/>
    <n v="1"/>
    <n v="0"/>
    <n v="0"/>
    <n v="0"/>
    <n v="1"/>
    <n v="0"/>
    <n v="0"/>
    <n v="0"/>
  </r>
  <r>
    <s v="A120PN22KW0VPY"/>
    <s v="english"/>
    <n v="64"/>
    <s v="female"/>
    <s v="control"/>
    <x v="5"/>
    <n v="56967"/>
    <n v="1"/>
    <n v="0"/>
    <n v="0"/>
    <n v="0"/>
    <s v="NA"/>
    <s v="NA"/>
    <s v="NA"/>
    <s v="NA"/>
    <s v="NA"/>
    <s v="NA"/>
    <s v="NA"/>
    <n v="0"/>
    <n v="1"/>
    <n v="1"/>
    <n v="1"/>
    <n v="0"/>
    <n v="1"/>
    <n v="0"/>
    <n v="0"/>
    <n v="0"/>
    <n v="1"/>
    <n v="0"/>
    <n v="0"/>
    <n v="0"/>
  </r>
  <r>
    <s v="A120PN22KW0VPY"/>
    <s v="english"/>
    <n v="64"/>
    <s v="female"/>
    <s v="test"/>
    <x v="4"/>
    <n v="149479"/>
    <n v="0"/>
    <n v="0"/>
    <n v="0"/>
    <n v="1"/>
    <s v="Dentists D and E."/>
    <s v="Dentists A, B, C, D and E."/>
    <s v="Dentist F."/>
    <s v="ms-l"/>
    <s v="exh"/>
    <s v="fa"/>
    <n v="1"/>
    <n v="0"/>
    <n v="0"/>
    <n v="0"/>
    <n v="1"/>
    <n v="0"/>
    <n v="1"/>
    <n v="0"/>
    <n v="0"/>
    <n v="0"/>
    <n v="0"/>
    <n v="0"/>
    <n v="0"/>
    <n v="1"/>
  </r>
  <r>
    <s v="A120PN22KW0VPY"/>
    <s v="english"/>
    <n v="64"/>
    <s v="female"/>
    <s v="control"/>
    <x v="7"/>
    <n v="53882"/>
    <n v="1"/>
    <n v="0"/>
    <n v="0"/>
    <n v="0"/>
    <s v="NA"/>
    <s v="NA"/>
    <s v="NA"/>
    <s v="NA"/>
    <s v="NA"/>
    <s v="NA"/>
    <s v="NA"/>
    <n v="0"/>
    <n v="0"/>
    <n v="0"/>
    <n v="1"/>
    <n v="0"/>
    <n v="1"/>
    <n v="0"/>
    <n v="0"/>
    <n v="0"/>
    <n v="0"/>
    <n v="0"/>
    <n v="0"/>
    <n v="1"/>
  </r>
  <r>
    <s v="A120PN22KW0VPY"/>
    <s v="english"/>
    <n v="64"/>
    <s v="female"/>
    <s v="exit_quest"/>
    <x v="0"/>
    <n v="143460"/>
    <s v="I don't think I'd answer differently because I know it's a restaurant. I would just just add more information%2C such as contents of the brunch%2C mapquest%2C and hours open."/>
    <s v="I had to think carefully. Then I needed to re-read most of the ones given. "/>
    <s v="My brain is tired. Just kidding. Thanks."/>
    <s v="NA"/>
    <s v="NA"/>
    <s v="NA"/>
    <s v="NA"/>
    <s v="NA"/>
    <s v="NA"/>
    <s v="NA"/>
    <s v="NA"/>
    <s v="NA"/>
    <s v="NA"/>
    <s v="NA"/>
    <s v="NA"/>
    <s v="NA"/>
    <s v="NA"/>
    <s v="NA"/>
    <s v="NA"/>
    <s v="NA"/>
    <s v="NA"/>
    <s v="NA"/>
    <s v="NA"/>
    <s v="NA"/>
  </r>
  <r>
    <s v="A2JWHS06PQMJ1"/>
    <s v="english"/>
    <n v="30"/>
    <s v="female"/>
    <s v="consent"/>
    <x v="0"/>
    <n v="113658"/>
    <s v="NA"/>
    <s v="NA"/>
    <s v="NA"/>
    <s v="NA"/>
    <s v="NA"/>
    <s v="NA"/>
    <s v="NA"/>
    <s v="NA"/>
    <s v="NA"/>
    <s v="NA"/>
    <s v="NA"/>
    <s v="NA"/>
    <s v="NA"/>
    <s v="NA"/>
    <s v="NA"/>
    <s v="NA"/>
    <s v="NA"/>
    <s v="NA"/>
    <s v="NA"/>
    <s v="NA"/>
    <s v="NA"/>
    <s v="NA"/>
    <s v="NA"/>
    <s v="NA"/>
  </r>
  <r>
    <s v="A2JWHS06PQMJ1"/>
    <s v="english"/>
    <n v="30"/>
    <s v="female"/>
    <s v="train"/>
    <x v="1"/>
    <n v="37652"/>
    <n v="0"/>
    <n v="0"/>
    <n v="1"/>
    <n v="0"/>
    <s v="NA"/>
    <s v="NA"/>
    <s v="NA"/>
    <s v="NA"/>
    <s v="NA"/>
    <s v="NA"/>
    <s v="NA"/>
    <s v="NA"/>
    <s v="NA"/>
    <s v="NA"/>
    <s v="NA"/>
    <s v="NA"/>
    <s v="NA"/>
    <s v="NA"/>
    <s v="NA"/>
    <s v="NA"/>
    <s v="NA"/>
    <s v="NA"/>
    <s v="NA"/>
    <s v="NA"/>
  </r>
  <r>
    <s v="A2JWHS06PQMJ1"/>
    <s v="english"/>
    <n v="30"/>
    <s v="female"/>
    <s v="train"/>
    <x v="2"/>
    <n v="110728"/>
    <n v="0"/>
    <n v="0"/>
    <n v="0"/>
    <n v="1"/>
    <s v="NA"/>
    <s v="NA"/>
    <s v="NA"/>
    <s v="NA"/>
    <s v="NA"/>
    <s v="NA"/>
    <s v="NA"/>
    <s v="NA"/>
    <s v="NA"/>
    <s v="NA"/>
    <s v="NA"/>
    <s v="NA"/>
    <s v="NA"/>
    <s v="NA"/>
    <s v="NA"/>
    <s v="NA"/>
    <s v="NA"/>
    <s v="NA"/>
    <s v="NA"/>
    <s v="NA"/>
  </r>
  <r>
    <s v="A2JWHS06PQMJ1"/>
    <s v="english"/>
    <n v="30"/>
    <s v="female"/>
    <s v="test"/>
    <x v="4"/>
    <n v="45710"/>
    <n v="0"/>
    <n v="0"/>
    <n v="0"/>
    <n v="1"/>
    <s v="Dentist F."/>
    <s v="Dentists A and B."/>
    <s v="Dentists D and E."/>
    <s v="fa"/>
    <s v="ms-h"/>
    <s v="ms-l"/>
    <n v="0"/>
    <n v="0"/>
    <n v="0"/>
    <n v="1"/>
    <n v="1"/>
    <n v="0"/>
    <n v="1"/>
    <n v="0"/>
    <n v="0"/>
    <n v="0"/>
    <n v="0"/>
    <n v="0"/>
    <n v="0"/>
    <n v="1"/>
  </r>
  <r>
    <s v="A2JWHS06PQMJ1"/>
    <s v="english"/>
    <n v="30"/>
    <s v="female"/>
    <s v="test"/>
    <x v="3"/>
    <n v="52738"/>
    <n v="0"/>
    <n v="0"/>
    <n v="1"/>
    <n v="0"/>
    <s v="Bookstores A and B."/>
    <s v="Bookstore E."/>
    <s v="Bookstores A, B, C, D and E."/>
    <s v="ms-h"/>
    <s v="mo-l"/>
    <s v="exh"/>
    <n v="1"/>
    <n v="0"/>
    <n v="1"/>
    <n v="1"/>
    <n v="0"/>
    <n v="0"/>
    <n v="1"/>
    <n v="1"/>
    <n v="0"/>
    <n v="0"/>
    <n v="0"/>
    <n v="0"/>
    <n v="0"/>
    <n v="0"/>
  </r>
  <r>
    <s v="A2JWHS06PQMJ1"/>
    <s v="english"/>
    <n v="30"/>
    <s v="female"/>
    <s v="control"/>
    <x v="10"/>
    <n v="41842"/>
    <n v="0"/>
    <n v="1"/>
    <n v="1"/>
    <n v="0"/>
    <s v="NA"/>
    <s v="NA"/>
    <s v="NA"/>
    <s v="NA"/>
    <s v="NA"/>
    <s v="NA"/>
    <s v="NA"/>
    <n v="0"/>
    <n v="1"/>
    <n v="1"/>
    <n v="0"/>
    <n v="0"/>
    <n v="1"/>
    <n v="1"/>
    <n v="0"/>
    <n v="0"/>
    <n v="0"/>
    <n v="0"/>
    <n v="0"/>
    <n v="0"/>
  </r>
  <r>
    <s v="A2JWHS06PQMJ1"/>
    <s v="english"/>
    <n v="30"/>
    <s v="female"/>
    <s v="test"/>
    <x v="6"/>
    <n v="51193"/>
    <n v="1"/>
    <n v="0"/>
    <n v="1"/>
    <n v="0"/>
    <s v="Cafe A."/>
    <s v="Cafe E."/>
    <s v="Cafes A and B."/>
    <s v="mo-h"/>
    <s v="mo-l"/>
    <s v="ms-h"/>
    <n v="0"/>
    <n v="1"/>
    <n v="1"/>
    <n v="1"/>
    <n v="0"/>
    <n v="0"/>
    <n v="1"/>
    <n v="0"/>
    <n v="1"/>
    <n v="0"/>
    <n v="1"/>
    <n v="0"/>
    <n v="0"/>
    <n v="0"/>
  </r>
  <r>
    <s v="A2JWHS06PQMJ1"/>
    <s v="english"/>
    <n v="30"/>
    <s v="female"/>
    <s v="test"/>
    <x v="11"/>
    <n v="24954"/>
    <n v="1"/>
    <n v="0"/>
    <n v="0"/>
    <n v="0"/>
    <s v="Stores A, B, C, D and E."/>
    <s v="Stores D and E."/>
    <s v="Store E."/>
    <s v="exh"/>
    <s v="ms-l"/>
    <s v="mo-l"/>
    <n v="1"/>
    <n v="0"/>
    <n v="1"/>
    <n v="0"/>
    <n v="1"/>
    <n v="0"/>
    <n v="1"/>
    <n v="1"/>
    <n v="0"/>
    <n v="0"/>
    <n v="0"/>
    <n v="0"/>
    <n v="0"/>
    <n v="0"/>
  </r>
  <r>
    <s v="A2JWHS06PQMJ1"/>
    <s v="english"/>
    <n v="30"/>
    <s v="female"/>
    <s v="control"/>
    <x v="5"/>
    <n v="54110"/>
    <n v="0"/>
    <n v="0"/>
    <n v="1"/>
    <n v="0"/>
    <s v="NA"/>
    <s v="NA"/>
    <s v="NA"/>
    <s v="NA"/>
    <s v="NA"/>
    <s v="NA"/>
    <s v="NA"/>
    <n v="0"/>
    <n v="1"/>
    <n v="0"/>
    <n v="1"/>
    <n v="0"/>
    <n v="1"/>
    <n v="1"/>
    <n v="0"/>
    <n v="0"/>
    <n v="0"/>
    <n v="0"/>
    <n v="0"/>
    <n v="0"/>
  </r>
  <r>
    <s v="A2JWHS06PQMJ1"/>
    <s v="english"/>
    <n v="30"/>
    <s v="female"/>
    <s v="test"/>
    <x v="9"/>
    <n v="17145"/>
    <n v="0"/>
    <n v="0"/>
    <n v="0"/>
    <n v="1"/>
    <s v="Stall E."/>
    <s v="Stalls A, B, C, D and E."/>
    <s v="Stalls A and B."/>
    <s v="mo-l"/>
    <s v="exh"/>
    <s v="ms-h"/>
    <n v="1"/>
    <n v="0"/>
    <n v="1"/>
    <n v="1"/>
    <n v="0"/>
    <n v="0"/>
    <n v="1"/>
    <n v="0"/>
    <n v="0"/>
    <n v="0"/>
    <n v="0"/>
    <n v="0"/>
    <n v="0"/>
    <n v="1"/>
  </r>
  <r>
    <s v="A2JWHS06PQMJ1"/>
    <s v="english"/>
    <n v="30"/>
    <s v="female"/>
    <s v="control"/>
    <x v="7"/>
    <n v="26415"/>
    <n v="1"/>
    <n v="1"/>
    <n v="0"/>
    <n v="0"/>
    <s v="NA"/>
    <s v="NA"/>
    <s v="NA"/>
    <s v="NA"/>
    <s v="NA"/>
    <s v="NA"/>
    <s v="NA"/>
    <n v="0"/>
    <n v="1"/>
    <n v="1"/>
    <n v="0"/>
    <n v="0"/>
    <n v="1"/>
    <n v="0"/>
    <n v="0"/>
    <n v="0"/>
    <n v="0"/>
    <n v="0"/>
    <n v="0"/>
    <n v="1"/>
  </r>
  <r>
    <s v="A2JWHS06PQMJ1"/>
    <s v="english"/>
    <n v="30"/>
    <s v="female"/>
    <s v="test"/>
    <x v="8"/>
    <n v="16762"/>
    <n v="1"/>
    <n v="0"/>
    <n v="0"/>
    <n v="0"/>
    <s v="Stylist A."/>
    <s v="Stylists A and B."/>
    <s v="Stylists D and E."/>
    <s v="mo-h"/>
    <s v="ms-h"/>
    <s v="ms-l"/>
    <n v="0"/>
    <n v="1"/>
    <n v="0"/>
    <n v="1"/>
    <n v="1"/>
    <n v="0"/>
    <n v="1"/>
    <n v="0"/>
    <n v="1"/>
    <n v="0"/>
    <n v="0"/>
    <n v="0"/>
    <n v="0"/>
    <n v="0"/>
  </r>
  <r>
    <s v="A2JWHS06PQMJ1"/>
    <s v="english"/>
    <n v="30"/>
    <s v="female"/>
    <s v="control"/>
    <x v="12"/>
    <n v="22635"/>
    <n v="1"/>
    <n v="0"/>
    <n v="0"/>
    <n v="0"/>
    <s v="NA"/>
    <s v="NA"/>
    <s v="NA"/>
    <s v="NA"/>
    <s v="NA"/>
    <s v="NA"/>
    <s v="NA"/>
    <n v="1"/>
    <n v="0"/>
    <n v="1"/>
    <n v="1"/>
    <n v="0"/>
    <n v="1"/>
    <n v="0"/>
    <n v="1"/>
    <n v="0"/>
    <n v="0"/>
    <n v="0"/>
    <n v="0"/>
    <n v="0"/>
  </r>
  <r>
    <s v="A2JWHS06PQMJ1"/>
    <s v="english"/>
    <n v="30"/>
    <s v="female"/>
    <s v="exit_quest"/>
    <x v="0"/>
    <n v="69954"/>
    <s v="I would not. Both questions would be answered with names of restaurants that serve brunch in town."/>
    <s v="Some parts were almost like riddles. They were fun to try to solve."/>
    <m/>
    <s v="NA"/>
    <s v="NA"/>
    <s v="NA"/>
    <s v="NA"/>
    <s v="NA"/>
    <s v="NA"/>
    <s v="NA"/>
    <s v="NA"/>
    <s v="NA"/>
    <s v="NA"/>
    <s v="NA"/>
    <s v="NA"/>
    <s v="NA"/>
    <s v="NA"/>
    <s v="NA"/>
    <s v="NA"/>
    <s v="NA"/>
    <s v="NA"/>
    <s v="NA"/>
    <s v="NA"/>
    <s v="NA"/>
  </r>
  <r>
    <s v="AD6FEEQSW8PRE"/>
    <s v="english"/>
    <n v="27"/>
    <s v="female"/>
    <s v="consent"/>
    <x v="0"/>
    <n v="80558"/>
    <s v="NA"/>
    <s v="NA"/>
    <s v="NA"/>
    <s v="NA"/>
    <s v="NA"/>
    <s v="NA"/>
    <s v="NA"/>
    <s v="NA"/>
    <s v="NA"/>
    <s v="NA"/>
    <s v="NA"/>
    <s v="NA"/>
    <s v="NA"/>
    <s v="NA"/>
    <s v="NA"/>
    <s v="NA"/>
    <s v="NA"/>
    <s v="NA"/>
    <s v="NA"/>
    <s v="NA"/>
    <s v="NA"/>
    <s v="NA"/>
    <s v="NA"/>
    <s v="NA"/>
  </r>
  <r>
    <s v="AD6FEEQSW8PRE"/>
    <s v="english"/>
    <n v="27"/>
    <s v="female"/>
    <s v="train"/>
    <x v="2"/>
    <n v="892505"/>
    <n v="0"/>
    <n v="0"/>
    <n v="0"/>
    <n v="1"/>
    <s v="NA"/>
    <s v="NA"/>
    <s v="NA"/>
    <s v="NA"/>
    <s v="NA"/>
    <s v="NA"/>
    <s v="NA"/>
    <s v="NA"/>
    <s v="NA"/>
    <s v="NA"/>
    <s v="NA"/>
    <s v="NA"/>
    <s v="NA"/>
    <s v="NA"/>
    <s v="NA"/>
    <s v="NA"/>
    <s v="NA"/>
    <s v="NA"/>
    <s v="NA"/>
    <s v="NA"/>
  </r>
  <r>
    <s v="AD6FEEQSW8PRE"/>
    <s v="english"/>
    <n v="27"/>
    <s v="female"/>
    <s v="train"/>
    <x v="1"/>
    <n v="126543"/>
    <n v="0"/>
    <n v="0"/>
    <n v="1"/>
    <n v="0"/>
    <s v="NA"/>
    <s v="NA"/>
    <s v="NA"/>
    <s v="NA"/>
    <s v="NA"/>
    <s v="NA"/>
    <s v="NA"/>
    <s v="NA"/>
    <s v="NA"/>
    <s v="NA"/>
    <s v="NA"/>
    <s v="NA"/>
    <s v="NA"/>
    <s v="NA"/>
    <s v="NA"/>
    <s v="NA"/>
    <s v="NA"/>
    <s v="NA"/>
    <s v="NA"/>
    <s v="NA"/>
  </r>
  <r>
    <s v="AD6FEEQSW8PRE"/>
    <s v="english"/>
    <n v="27"/>
    <s v="female"/>
    <s v="test"/>
    <x v="9"/>
    <n v="89383"/>
    <n v="0"/>
    <n v="0"/>
    <n v="1"/>
    <n v="0"/>
    <s v="Stall E."/>
    <s v="Stalls A and B."/>
    <s v="Stall F."/>
    <s v="mo-l"/>
    <s v="ms-h"/>
    <s v="fa"/>
    <n v="0"/>
    <n v="0"/>
    <n v="1"/>
    <n v="1"/>
    <n v="0"/>
    <n v="0"/>
    <n v="1"/>
    <n v="0"/>
    <n v="0"/>
    <n v="0"/>
    <n v="0"/>
    <n v="0"/>
    <n v="0"/>
    <n v="0"/>
  </r>
  <r>
    <s v="AD6FEEQSW8PRE"/>
    <s v="english"/>
    <n v="27"/>
    <s v="female"/>
    <s v="test"/>
    <x v="8"/>
    <n v="64464"/>
    <n v="1"/>
    <n v="0"/>
    <n v="0"/>
    <n v="0"/>
    <s v="Stylists A, B, C, D and E."/>
    <s v="Stylists A and B."/>
    <s v="Stylist A."/>
    <s v="exh"/>
    <s v="ms-h"/>
    <s v="mo-h"/>
    <n v="1"/>
    <n v="1"/>
    <n v="0"/>
    <n v="1"/>
    <n v="0"/>
    <n v="0"/>
    <n v="1"/>
    <n v="1"/>
    <n v="0"/>
    <n v="0"/>
    <n v="0"/>
    <n v="0"/>
    <n v="0"/>
    <n v="0"/>
  </r>
  <r>
    <s v="AD6FEEQSW8PRE"/>
    <s v="english"/>
    <n v="27"/>
    <s v="female"/>
    <s v="control"/>
    <x v="12"/>
    <n v="43347"/>
    <n v="1"/>
    <n v="0"/>
    <n v="0"/>
    <n v="0"/>
    <s v="NA"/>
    <s v="NA"/>
    <s v="NA"/>
    <s v="NA"/>
    <s v="NA"/>
    <s v="NA"/>
    <s v="NA"/>
    <n v="1"/>
    <n v="0"/>
    <n v="1"/>
    <n v="0"/>
    <n v="0"/>
    <n v="1"/>
    <n v="1"/>
    <n v="0"/>
    <n v="0"/>
    <n v="0"/>
    <n v="0"/>
    <n v="0"/>
    <n v="0"/>
  </r>
  <r>
    <s v="AD6FEEQSW8PRE"/>
    <s v="english"/>
    <n v="27"/>
    <s v="female"/>
    <s v="test"/>
    <x v="3"/>
    <n v="41693"/>
    <n v="0"/>
    <n v="1"/>
    <n v="0"/>
    <n v="0"/>
    <s v="Bookstore F."/>
    <s v="Bookstore E."/>
    <s v="Bookstores A and B."/>
    <s v="fa"/>
    <s v="mo-l"/>
    <s v="ms-h"/>
    <n v="0"/>
    <n v="0"/>
    <n v="1"/>
    <n v="1"/>
    <n v="0"/>
    <n v="0"/>
    <n v="1"/>
    <n v="0"/>
    <n v="0"/>
    <n v="1"/>
    <n v="0"/>
    <n v="0"/>
    <n v="0"/>
    <n v="0"/>
  </r>
  <r>
    <s v="AD6FEEQSW8PRE"/>
    <s v="english"/>
    <n v="27"/>
    <s v="female"/>
    <s v="test"/>
    <x v="6"/>
    <n v="3320"/>
    <n v="0"/>
    <n v="1"/>
    <n v="0"/>
    <n v="0"/>
    <s v="Cafe A."/>
    <s v="Cafes D and E."/>
    <s v="Cafes A, B, C, D and E."/>
    <s v="mo-h"/>
    <s v="ms-l"/>
    <s v="exh"/>
    <n v="1"/>
    <n v="1"/>
    <n v="0"/>
    <n v="0"/>
    <n v="1"/>
    <n v="0"/>
    <n v="1"/>
    <n v="0"/>
    <n v="0"/>
    <n v="0"/>
    <n v="0"/>
    <n v="1"/>
    <n v="0"/>
    <n v="0"/>
  </r>
  <r>
    <s v="AD6FEEQSW8PRE"/>
    <s v="english"/>
    <n v="27"/>
    <s v="female"/>
    <s v="control"/>
    <x v="7"/>
    <n v="4881"/>
    <n v="0"/>
    <n v="0"/>
    <n v="1"/>
    <n v="0"/>
    <s v="NA"/>
    <s v="NA"/>
    <s v="NA"/>
    <s v="NA"/>
    <s v="NA"/>
    <s v="NA"/>
    <s v="NA"/>
    <n v="1"/>
    <n v="0"/>
    <n v="0"/>
    <n v="1"/>
    <n v="0"/>
    <n v="1"/>
    <n v="0"/>
    <n v="0"/>
    <n v="0"/>
    <n v="0"/>
    <n v="1"/>
    <n v="0"/>
    <n v="0"/>
  </r>
  <r>
    <s v="AD6FEEQSW8PRE"/>
    <s v="english"/>
    <n v="27"/>
    <s v="female"/>
    <s v="test"/>
    <x v="11"/>
    <n v="2777"/>
    <n v="0"/>
    <n v="1"/>
    <n v="0"/>
    <n v="0"/>
    <s v="Stores A and B."/>
    <s v="Stores D and E."/>
    <s v="Store A."/>
    <s v="ms-h"/>
    <s v="ms-l"/>
    <s v="mo-h"/>
    <n v="0"/>
    <n v="1"/>
    <n v="0"/>
    <n v="1"/>
    <n v="1"/>
    <n v="0"/>
    <n v="1"/>
    <n v="0"/>
    <n v="0"/>
    <n v="0"/>
    <n v="0"/>
    <n v="1"/>
    <n v="0"/>
    <n v="0"/>
  </r>
  <r>
    <s v="AD6FEEQSW8PRE"/>
    <s v="english"/>
    <n v="27"/>
    <s v="female"/>
    <s v="control"/>
    <x v="5"/>
    <n v="3744"/>
    <n v="0"/>
    <n v="1"/>
    <n v="0"/>
    <n v="0"/>
    <s v="NA"/>
    <s v="NA"/>
    <s v="NA"/>
    <s v="NA"/>
    <s v="NA"/>
    <s v="NA"/>
    <s v="NA"/>
    <n v="1"/>
    <n v="0"/>
    <n v="1"/>
    <n v="1"/>
    <n v="0"/>
    <n v="1"/>
    <n v="0"/>
    <n v="0"/>
    <n v="0"/>
    <n v="0"/>
    <n v="1"/>
    <n v="0"/>
    <n v="0"/>
  </r>
  <r>
    <s v="AD6FEEQSW8PRE"/>
    <s v="english"/>
    <n v="27"/>
    <s v="female"/>
    <s v="test"/>
    <x v="4"/>
    <n v="2342"/>
    <n v="0"/>
    <n v="0"/>
    <n v="1"/>
    <n v="0"/>
    <s v="Dentist A."/>
    <s v="Dentists D and E."/>
    <s v="Dentist F."/>
    <s v="mo-h"/>
    <s v="ms-l"/>
    <s v="fa"/>
    <n v="0"/>
    <n v="1"/>
    <n v="0"/>
    <n v="0"/>
    <n v="1"/>
    <n v="0"/>
    <n v="1"/>
    <n v="0"/>
    <n v="0"/>
    <n v="0"/>
    <n v="0"/>
    <n v="0"/>
    <n v="0"/>
    <n v="0"/>
  </r>
  <r>
    <s v="AD6FEEQSW8PRE"/>
    <s v="english"/>
    <n v="27"/>
    <s v="female"/>
    <s v="control"/>
    <x v="10"/>
    <n v="2817"/>
    <n v="0"/>
    <n v="1"/>
    <n v="0"/>
    <n v="0"/>
    <s v="NA"/>
    <s v="NA"/>
    <s v="NA"/>
    <s v="NA"/>
    <s v="NA"/>
    <s v="NA"/>
    <s v="NA"/>
    <n v="1"/>
    <n v="0"/>
    <n v="0"/>
    <n v="1"/>
    <n v="0"/>
    <n v="1"/>
    <n v="0"/>
    <n v="0"/>
    <n v="0"/>
    <n v="0"/>
    <n v="0"/>
    <n v="0"/>
    <n v="0"/>
  </r>
  <r>
    <s v="AD6FEEQSW8PRE"/>
    <s v="english"/>
    <n v="27"/>
    <s v="female"/>
    <s v="exit_quest"/>
    <x v="0"/>
    <n v="96764"/>
    <s v="I CHOOSE NEARABLE HOTEL. I WILL EAT TASTY FOOD AND VARIETIES OF FOOD. SO I GO TO BEST HOTEL IN MY TRIP.%0A%0A"/>
    <s v="YES%2C DIFFICULT. VERY TOUGH TO UNDERSTAND."/>
    <s v="NO"/>
    <s v="NA"/>
    <s v="NA"/>
    <s v="NA"/>
    <s v="NA"/>
    <s v="NA"/>
    <s v="NA"/>
    <s v="NA"/>
    <s v="NA"/>
    <s v="NA"/>
    <s v="NA"/>
    <s v="NA"/>
    <s v="NA"/>
    <s v="NA"/>
    <s v="NA"/>
    <s v="NA"/>
    <s v="NA"/>
    <s v="NA"/>
    <s v="NA"/>
    <s v="NA"/>
    <s v="NA"/>
    <s v="NA"/>
  </r>
  <r>
    <s v="A2TNTYHHICCA3Z"/>
    <s v="english"/>
    <n v="27"/>
    <s v="female"/>
    <s v="consent"/>
    <x v="0"/>
    <n v="49571"/>
    <s v="NA"/>
    <s v="NA"/>
    <s v="NA"/>
    <s v="NA"/>
    <s v="NA"/>
    <s v="NA"/>
    <s v="NA"/>
    <s v="NA"/>
    <s v="NA"/>
    <s v="NA"/>
    <s v="NA"/>
    <s v="NA"/>
    <s v="NA"/>
    <s v="NA"/>
    <s v="NA"/>
    <s v="NA"/>
    <s v="NA"/>
    <s v="NA"/>
    <s v="NA"/>
    <s v="NA"/>
    <s v="NA"/>
    <s v="NA"/>
    <s v="NA"/>
    <s v="NA"/>
  </r>
  <r>
    <s v="A2TNTYHHICCA3Z"/>
    <s v="english"/>
    <n v="27"/>
    <s v="female"/>
    <s v="train"/>
    <x v="1"/>
    <n v="682856"/>
    <n v="0"/>
    <n v="0"/>
    <n v="1"/>
    <n v="0"/>
    <s v="NA"/>
    <s v="NA"/>
    <s v="NA"/>
    <s v="NA"/>
    <s v="NA"/>
    <s v="NA"/>
    <s v="NA"/>
    <s v="NA"/>
    <s v="NA"/>
    <s v="NA"/>
    <s v="NA"/>
    <s v="NA"/>
    <s v="NA"/>
    <s v="NA"/>
    <s v="NA"/>
    <s v="NA"/>
    <s v="NA"/>
    <s v="NA"/>
    <s v="NA"/>
    <s v="NA"/>
  </r>
  <r>
    <s v="A2TNTYHHICCA3Z"/>
    <s v="english"/>
    <n v="27"/>
    <s v="female"/>
    <s v="train"/>
    <x v="2"/>
    <n v="3906"/>
    <n v="0"/>
    <n v="0"/>
    <n v="0"/>
    <n v="1"/>
    <s v="NA"/>
    <s v="NA"/>
    <s v="NA"/>
    <s v="NA"/>
    <s v="NA"/>
    <s v="NA"/>
    <s v="NA"/>
    <s v="NA"/>
    <s v="NA"/>
    <s v="NA"/>
    <s v="NA"/>
    <s v="NA"/>
    <s v="NA"/>
    <s v="NA"/>
    <s v="NA"/>
    <s v="NA"/>
    <s v="NA"/>
    <s v="NA"/>
    <s v="NA"/>
    <s v="NA"/>
  </r>
  <r>
    <s v="A2TNTYHHICCA3Z"/>
    <s v="english"/>
    <n v="27"/>
    <s v="female"/>
    <s v="test"/>
    <x v="9"/>
    <n v="41537"/>
    <n v="0"/>
    <n v="0"/>
    <n v="1"/>
    <n v="0"/>
    <s v="Stalls A, B, C, D and E."/>
    <s v="Stall A."/>
    <s v="Stalls D and E."/>
    <s v="exh"/>
    <s v="mo-h"/>
    <s v="ms-l"/>
    <n v="1"/>
    <n v="1"/>
    <n v="0"/>
    <n v="0"/>
    <n v="1"/>
    <n v="0"/>
    <n v="1"/>
    <n v="0"/>
    <n v="0"/>
    <n v="0"/>
    <n v="0"/>
    <n v="1"/>
    <n v="0"/>
    <n v="0"/>
  </r>
  <r>
    <s v="A2TNTYHHICCA3Z"/>
    <s v="english"/>
    <n v="27"/>
    <s v="female"/>
    <s v="test"/>
    <x v="6"/>
    <n v="1050099"/>
    <n v="1"/>
    <n v="1"/>
    <n v="1"/>
    <n v="0"/>
    <s v="Cafes D and E."/>
    <s v="Cafe E."/>
    <s v="Cafes A, B, C, D and E."/>
    <s v="ms-l"/>
    <s v="mo-l"/>
    <s v="exh"/>
    <n v="1"/>
    <n v="0"/>
    <n v="1"/>
    <n v="0"/>
    <n v="1"/>
    <n v="0"/>
    <n v="1"/>
    <n v="1"/>
    <n v="0"/>
    <n v="1"/>
    <n v="0"/>
    <n v="1"/>
    <n v="0"/>
    <n v="0"/>
  </r>
  <r>
    <s v="A2TNTYHHICCA3Z"/>
    <s v="english"/>
    <n v="27"/>
    <s v="female"/>
    <s v="control"/>
    <x v="10"/>
    <n v="71198"/>
    <n v="1"/>
    <n v="1"/>
    <n v="1"/>
    <n v="0"/>
    <s v="NA"/>
    <s v="NA"/>
    <s v="NA"/>
    <s v="NA"/>
    <s v="NA"/>
    <s v="NA"/>
    <s v="NA"/>
    <n v="0"/>
    <n v="1"/>
    <n v="0"/>
    <n v="1"/>
    <n v="0"/>
    <n v="1"/>
    <n v="1"/>
    <n v="0"/>
    <n v="1"/>
    <n v="0"/>
    <n v="1"/>
    <n v="0"/>
    <n v="0"/>
  </r>
  <r>
    <s v="A2TNTYHHICCA3Z"/>
    <s v="english"/>
    <n v="27"/>
    <s v="female"/>
    <s v="test"/>
    <x v="4"/>
    <n v="46418"/>
    <n v="1"/>
    <n v="1"/>
    <n v="1"/>
    <n v="0"/>
    <s v="Dentists A and B."/>
    <s v="Dentist A."/>
    <s v="Dentists A, B, C, D and E."/>
    <s v="ms-h"/>
    <s v="mo-h"/>
    <s v="exh"/>
    <n v="1"/>
    <n v="1"/>
    <n v="0"/>
    <n v="1"/>
    <n v="0"/>
    <n v="0"/>
    <n v="1"/>
    <n v="1"/>
    <n v="1"/>
    <n v="0"/>
    <n v="1"/>
    <n v="0"/>
    <n v="0"/>
    <n v="0"/>
  </r>
  <r>
    <s v="A2TNTYHHICCA3Z"/>
    <s v="english"/>
    <n v="27"/>
    <s v="female"/>
    <s v="control"/>
    <x v="7"/>
    <n v="32819"/>
    <n v="1"/>
    <n v="1"/>
    <n v="1"/>
    <n v="0"/>
    <s v="NA"/>
    <s v="NA"/>
    <s v="NA"/>
    <s v="NA"/>
    <s v="NA"/>
    <s v="NA"/>
    <s v="NA"/>
    <n v="1"/>
    <n v="0"/>
    <n v="1"/>
    <n v="0"/>
    <n v="0"/>
    <n v="1"/>
    <n v="1"/>
    <n v="1"/>
    <n v="0"/>
    <n v="1"/>
    <n v="0"/>
    <n v="0"/>
    <n v="0"/>
  </r>
  <r>
    <s v="A2TNTYHHICCA3Z"/>
    <s v="english"/>
    <n v="27"/>
    <s v="female"/>
    <s v="test"/>
    <x v="3"/>
    <n v="24617"/>
    <n v="0"/>
    <n v="0"/>
    <n v="1"/>
    <n v="0"/>
    <s v="Bookstore A."/>
    <s v="Bookstore E."/>
    <s v="Bookstores D and E."/>
    <s v="mo-h"/>
    <s v="mo-l"/>
    <s v="ms-l"/>
    <n v="0"/>
    <n v="1"/>
    <n v="1"/>
    <n v="0"/>
    <n v="1"/>
    <n v="0"/>
    <n v="1"/>
    <n v="0"/>
    <n v="0"/>
    <n v="0"/>
    <n v="0"/>
    <n v="1"/>
    <n v="0"/>
    <n v="0"/>
  </r>
  <r>
    <s v="A2TNTYHHICCA3Z"/>
    <s v="english"/>
    <n v="27"/>
    <s v="female"/>
    <s v="test"/>
    <x v="11"/>
    <n v="9025"/>
    <n v="0"/>
    <n v="0"/>
    <n v="1"/>
    <n v="0"/>
    <s v="Stores D and E."/>
    <s v="Store E."/>
    <s v="Stores A, B, C, D and E."/>
    <s v="ms-l"/>
    <s v="mo-l"/>
    <s v="exh"/>
    <n v="1"/>
    <n v="0"/>
    <n v="1"/>
    <n v="0"/>
    <n v="1"/>
    <n v="0"/>
    <n v="1"/>
    <n v="1"/>
    <n v="0"/>
    <n v="0"/>
    <n v="0"/>
    <n v="0"/>
    <n v="0"/>
    <n v="0"/>
  </r>
  <r>
    <s v="A2TNTYHHICCA3Z"/>
    <s v="english"/>
    <n v="27"/>
    <s v="female"/>
    <s v="control"/>
    <x v="12"/>
    <n v="11657"/>
    <n v="1"/>
    <n v="1"/>
    <n v="1"/>
    <n v="0"/>
    <s v="NA"/>
    <s v="NA"/>
    <s v="NA"/>
    <s v="NA"/>
    <s v="NA"/>
    <s v="NA"/>
    <s v="NA"/>
    <n v="0"/>
    <n v="1"/>
    <n v="0"/>
    <n v="1"/>
    <n v="0"/>
    <n v="1"/>
    <n v="1"/>
    <n v="0"/>
    <n v="0"/>
    <n v="0"/>
    <n v="0"/>
    <n v="0"/>
    <n v="0"/>
  </r>
  <r>
    <s v="A2TNTYHHICCA3Z"/>
    <s v="english"/>
    <n v="27"/>
    <s v="female"/>
    <s v="test"/>
    <x v="8"/>
    <n v="7880"/>
    <n v="1"/>
    <n v="1"/>
    <n v="1"/>
    <n v="0"/>
    <s v="Stylists A and B."/>
    <s v="Stylists D and E."/>
    <s v="Stylist E."/>
    <s v="ms-h"/>
    <s v="ms-l"/>
    <s v="mo-l"/>
    <n v="0"/>
    <n v="0"/>
    <n v="1"/>
    <n v="1"/>
    <n v="1"/>
    <n v="0"/>
    <n v="1"/>
    <n v="0"/>
    <n v="0"/>
    <n v="1"/>
    <n v="1"/>
    <n v="1"/>
    <n v="0"/>
    <n v="0"/>
  </r>
  <r>
    <s v="A2TNTYHHICCA3Z"/>
    <s v="english"/>
    <n v="27"/>
    <s v="female"/>
    <s v="control"/>
    <x v="5"/>
    <n v="5871"/>
    <n v="1"/>
    <n v="1"/>
    <n v="1"/>
    <n v="0"/>
    <s v="NA"/>
    <s v="NA"/>
    <s v="NA"/>
    <s v="NA"/>
    <s v="NA"/>
    <s v="NA"/>
    <s v="NA"/>
    <n v="0"/>
    <n v="1"/>
    <n v="1"/>
    <n v="1"/>
    <n v="0"/>
    <n v="1"/>
    <n v="0"/>
    <n v="0"/>
    <n v="1"/>
    <n v="1"/>
    <n v="1"/>
    <n v="0"/>
    <n v="0"/>
  </r>
  <r>
    <s v="A2TNTYHHICCA3Z"/>
    <s v="english"/>
    <n v="27"/>
    <s v="female"/>
    <s v="exit_quest"/>
    <x v="0"/>
    <n v="134395"/>
    <s v="I CHOOSE NEARABLE HOTEL. I WILL EAT TASTY FOOD AND VARIETIES OF FOOD. SO I GO TO BEST HOTEL IN MY TRIP.%0A%0A"/>
    <s v="NO DIFFICULT TASK VERY EASY"/>
    <s v="VERY NICE"/>
    <s v="NA"/>
    <s v="NA"/>
    <s v="NA"/>
    <s v="NA"/>
    <s v="NA"/>
    <s v="NA"/>
    <s v="NA"/>
    <s v="NA"/>
    <s v="NA"/>
    <s v="NA"/>
    <s v="NA"/>
    <s v="NA"/>
    <s v="NA"/>
    <s v="NA"/>
    <s v="NA"/>
    <s v="NA"/>
    <s v="NA"/>
    <s v="NA"/>
    <s v="NA"/>
    <s v="NA"/>
    <s v="NA"/>
  </r>
  <r>
    <s v="AT53IAFG8BTZO"/>
    <s v="english"/>
    <n v="43"/>
    <s v="female"/>
    <s v="consent"/>
    <x v="0"/>
    <n v="90655"/>
    <s v="NA"/>
    <s v="NA"/>
    <s v="NA"/>
    <s v="NA"/>
    <s v="NA"/>
    <s v="NA"/>
    <s v="NA"/>
    <s v="NA"/>
    <s v="NA"/>
    <s v="NA"/>
    <s v="NA"/>
    <s v="NA"/>
    <s v="NA"/>
    <s v="NA"/>
    <s v="NA"/>
    <s v="NA"/>
    <s v="NA"/>
    <s v="NA"/>
    <s v="NA"/>
    <s v="NA"/>
    <s v="NA"/>
    <s v="NA"/>
    <s v="NA"/>
    <s v="NA"/>
  </r>
  <r>
    <s v="AT53IAFG8BTZO"/>
    <s v="english"/>
    <n v="43"/>
    <s v="female"/>
    <s v="train"/>
    <x v="2"/>
    <n v="79174"/>
    <n v="0"/>
    <n v="0"/>
    <n v="0"/>
    <n v="1"/>
    <s v="NA"/>
    <s v="NA"/>
    <s v="NA"/>
    <s v="NA"/>
    <s v="NA"/>
    <s v="NA"/>
    <s v="NA"/>
    <s v="NA"/>
    <s v="NA"/>
    <s v="NA"/>
    <s v="NA"/>
    <s v="NA"/>
    <s v="NA"/>
    <s v="NA"/>
    <s v="NA"/>
    <s v="NA"/>
    <s v="NA"/>
    <s v="NA"/>
    <s v="NA"/>
    <s v="NA"/>
  </r>
  <r>
    <s v="AT53IAFG8BTZO"/>
    <s v="english"/>
    <n v="43"/>
    <s v="female"/>
    <s v="train"/>
    <x v="1"/>
    <n v="60112"/>
    <n v="0"/>
    <n v="1"/>
    <n v="1"/>
    <n v="0"/>
    <s v="NA"/>
    <s v="NA"/>
    <s v="NA"/>
    <s v="NA"/>
    <s v="NA"/>
    <s v="NA"/>
    <s v="NA"/>
    <s v="NA"/>
    <s v="NA"/>
    <s v="NA"/>
    <s v="NA"/>
    <s v="NA"/>
    <s v="NA"/>
    <s v="NA"/>
    <s v="NA"/>
    <s v="NA"/>
    <s v="NA"/>
    <s v="NA"/>
    <s v="NA"/>
    <s v="NA"/>
  </r>
  <r>
    <s v="AT53IAFG8BTZO"/>
    <s v="english"/>
    <n v="43"/>
    <s v="female"/>
    <s v="test"/>
    <x v="6"/>
    <n v="115216"/>
    <n v="0"/>
    <n v="1"/>
    <n v="1"/>
    <n v="0"/>
    <s v="Cafes D and E."/>
    <s v="Cafe A."/>
    <s v="Cafes A, B, C, D and E."/>
    <s v="ms-l"/>
    <s v="mo-h"/>
    <s v="exh"/>
    <n v="1"/>
    <n v="1"/>
    <n v="0"/>
    <n v="0"/>
    <n v="1"/>
    <n v="0"/>
    <n v="1"/>
    <n v="1"/>
    <n v="1"/>
    <n v="0"/>
    <n v="0"/>
    <n v="0"/>
    <n v="0"/>
    <n v="0"/>
  </r>
  <r>
    <s v="AT53IAFG8BTZO"/>
    <s v="english"/>
    <n v="43"/>
    <s v="female"/>
    <s v="test"/>
    <x v="4"/>
    <n v="837879"/>
    <n v="0"/>
    <n v="0"/>
    <n v="0"/>
    <n v="1"/>
    <s v="Dentist A."/>
    <s v="Dentist E."/>
    <s v="Dentists A, B, C, D and E."/>
    <s v="mo-h"/>
    <s v="mo-l"/>
    <s v="exh"/>
    <n v="1"/>
    <n v="1"/>
    <n v="1"/>
    <n v="0"/>
    <n v="0"/>
    <n v="0"/>
    <n v="1"/>
    <n v="0"/>
    <n v="0"/>
    <n v="0"/>
    <n v="0"/>
    <n v="0"/>
    <n v="0"/>
    <n v="1"/>
  </r>
  <r>
    <s v="AT53IAFG8BTZO"/>
    <s v="english"/>
    <n v="43"/>
    <s v="female"/>
    <s v="control"/>
    <x v="10"/>
    <n v="86583"/>
    <n v="0"/>
    <n v="0"/>
    <n v="1"/>
    <n v="0"/>
    <s v="NA"/>
    <s v="NA"/>
    <s v="NA"/>
    <s v="NA"/>
    <s v="NA"/>
    <s v="NA"/>
    <s v="NA"/>
    <n v="1"/>
    <n v="1"/>
    <n v="0"/>
    <n v="0"/>
    <n v="0"/>
    <n v="1"/>
    <n v="0"/>
    <n v="0"/>
    <n v="0"/>
    <n v="0"/>
    <n v="0"/>
    <n v="0"/>
    <n v="1"/>
  </r>
  <r>
    <s v="AT53IAFG8BTZO"/>
    <s v="english"/>
    <n v="43"/>
    <s v="female"/>
    <s v="test"/>
    <x v="3"/>
    <n v="59441"/>
    <n v="0"/>
    <n v="0"/>
    <n v="1"/>
    <n v="0"/>
    <s v="Bookstore F."/>
    <s v="Bookstores D and E."/>
    <s v="Bookstore A."/>
    <s v="fa"/>
    <s v="ms-l"/>
    <s v="mo-h"/>
    <n v="0"/>
    <n v="1"/>
    <n v="0"/>
    <n v="0"/>
    <n v="1"/>
    <n v="0"/>
    <n v="1"/>
    <n v="0"/>
    <n v="1"/>
    <n v="0"/>
    <n v="0"/>
    <n v="0"/>
    <n v="0"/>
    <n v="0"/>
  </r>
  <r>
    <s v="AT53IAFG8BTZO"/>
    <s v="english"/>
    <n v="43"/>
    <s v="female"/>
    <s v="test"/>
    <x v="11"/>
    <n v="56031"/>
    <n v="1"/>
    <n v="0"/>
    <n v="0"/>
    <n v="0"/>
    <s v="Stores A and B."/>
    <s v="Stores D and E."/>
    <s v="Store F."/>
    <s v="ms-h"/>
    <s v="ms-l"/>
    <s v="fa"/>
    <n v="0"/>
    <n v="0"/>
    <n v="0"/>
    <n v="1"/>
    <n v="1"/>
    <n v="0"/>
    <n v="1"/>
    <n v="0"/>
    <n v="0"/>
    <n v="0"/>
    <n v="1"/>
    <n v="0"/>
    <n v="0"/>
    <n v="0"/>
  </r>
  <r>
    <s v="AT53IAFG8BTZO"/>
    <s v="english"/>
    <n v="43"/>
    <s v="female"/>
    <s v="control"/>
    <x v="5"/>
    <n v="47803"/>
    <n v="0"/>
    <n v="0"/>
    <n v="0"/>
    <n v="1"/>
    <s v="NA"/>
    <s v="NA"/>
    <s v="NA"/>
    <s v="NA"/>
    <s v="NA"/>
    <s v="NA"/>
    <s v="NA"/>
    <n v="0"/>
    <n v="0"/>
    <n v="1"/>
    <n v="1"/>
    <n v="0"/>
    <n v="1"/>
    <n v="0"/>
    <n v="0"/>
    <n v="0"/>
    <n v="1"/>
    <n v="0"/>
    <n v="0"/>
    <n v="0"/>
  </r>
  <r>
    <s v="AT53IAFG8BTZO"/>
    <s v="english"/>
    <n v="43"/>
    <s v="female"/>
    <s v="test"/>
    <x v="9"/>
    <n v="48358"/>
    <n v="0"/>
    <n v="0"/>
    <n v="1"/>
    <n v="0"/>
    <s v="Stall F."/>
    <s v="Stall E."/>
    <s v="Stalls A, B, C, D and E."/>
    <s v="fa"/>
    <s v="mo-l"/>
    <s v="exh"/>
    <n v="1"/>
    <n v="0"/>
    <n v="1"/>
    <n v="0"/>
    <n v="0"/>
    <n v="0"/>
    <n v="1"/>
    <n v="1"/>
    <n v="0"/>
    <n v="0"/>
    <n v="0"/>
    <n v="0"/>
    <n v="0"/>
    <n v="0"/>
  </r>
  <r>
    <s v="AT53IAFG8BTZO"/>
    <s v="english"/>
    <n v="43"/>
    <s v="female"/>
    <s v="control"/>
    <x v="7"/>
    <n v="34991"/>
    <n v="1"/>
    <n v="0"/>
    <n v="0"/>
    <n v="0"/>
    <s v="NA"/>
    <s v="NA"/>
    <s v="NA"/>
    <s v="NA"/>
    <s v="NA"/>
    <s v="NA"/>
    <s v="NA"/>
    <n v="0"/>
    <n v="1"/>
    <n v="0"/>
    <n v="0"/>
    <n v="0"/>
    <n v="1"/>
    <n v="1"/>
    <n v="0"/>
    <n v="0"/>
    <n v="0"/>
    <n v="0"/>
    <n v="0"/>
    <n v="0"/>
  </r>
  <r>
    <s v="AT53IAFG8BTZO"/>
    <s v="english"/>
    <n v="43"/>
    <s v="female"/>
    <s v="test"/>
    <x v="8"/>
    <n v="73098"/>
    <n v="0"/>
    <n v="1"/>
    <n v="0"/>
    <n v="0"/>
    <s v="Stylist A."/>
    <s v="Stylists A, B, C, D and E."/>
    <s v="Stylists A and B."/>
    <s v="mo-h"/>
    <s v="exh"/>
    <s v="ms-h"/>
    <n v="1"/>
    <n v="1"/>
    <n v="0"/>
    <n v="1"/>
    <n v="0"/>
    <n v="0"/>
    <n v="1"/>
    <n v="1"/>
    <n v="0"/>
    <n v="0"/>
    <n v="0"/>
    <n v="0"/>
    <n v="0"/>
    <n v="0"/>
  </r>
  <r>
    <s v="AT53IAFG8BTZO"/>
    <s v="english"/>
    <n v="43"/>
    <s v="female"/>
    <s v="control"/>
    <x v="12"/>
    <n v="40647"/>
    <n v="1"/>
    <n v="0"/>
    <n v="0"/>
    <n v="0"/>
    <s v="NA"/>
    <s v="NA"/>
    <s v="NA"/>
    <s v="NA"/>
    <s v="NA"/>
    <s v="NA"/>
    <s v="NA"/>
    <n v="1"/>
    <n v="0"/>
    <n v="1"/>
    <n v="0"/>
    <n v="0"/>
    <n v="1"/>
    <n v="1"/>
    <n v="0"/>
    <n v="0"/>
    <n v="0"/>
    <n v="0"/>
    <n v="0"/>
    <n v="0"/>
  </r>
  <r>
    <s v="AT53IAFG8BTZO"/>
    <s v="english"/>
    <n v="43"/>
    <s v="female"/>
    <s v="exit_quest"/>
    <x v="0"/>
    <n v="169151"/>
    <s v="no%2C I would provide the same answer if either of the questions were asked%2C because they questions mean the same thing. If it was worried%2C which is the least expensive or which is the best brunch place%2C then that would be different."/>
    <s v="I found it a little difficult%2C because the questions didn't make a whole lot of sense to me%2C well some of the scenerios"/>
    <s v="n/a"/>
    <s v="NA"/>
    <s v="NA"/>
    <s v="NA"/>
    <s v="NA"/>
    <s v="NA"/>
    <s v="NA"/>
    <s v="NA"/>
    <s v="NA"/>
    <s v="NA"/>
    <s v="NA"/>
    <s v="NA"/>
    <s v="NA"/>
    <s v="NA"/>
    <s v="NA"/>
    <s v="NA"/>
    <s v="NA"/>
    <s v="NA"/>
    <s v="NA"/>
    <s v="NA"/>
    <s v="NA"/>
    <s v="NA"/>
  </r>
  <r>
    <s v="A2YCHYBHJESOUD"/>
    <s v="english"/>
    <n v="30"/>
    <s v="female"/>
    <s v="consent"/>
    <x v="0"/>
    <n v="275518"/>
    <s v="NA"/>
    <s v="NA"/>
    <s v="NA"/>
    <s v="NA"/>
    <s v="NA"/>
    <s v="NA"/>
    <s v="NA"/>
    <s v="NA"/>
    <s v="NA"/>
    <s v="NA"/>
    <s v="NA"/>
    <s v="NA"/>
    <s v="NA"/>
    <s v="NA"/>
    <s v="NA"/>
    <s v="NA"/>
    <s v="NA"/>
    <s v="NA"/>
    <s v="NA"/>
    <s v="NA"/>
    <s v="NA"/>
    <s v="NA"/>
    <s v="NA"/>
    <s v="NA"/>
  </r>
  <r>
    <s v="A2YCHYBHJESOUD"/>
    <s v="english"/>
    <n v="30"/>
    <s v="female"/>
    <s v="train"/>
    <x v="1"/>
    <n v="54449"/>
    <n v="0"/>
    <n v="0"/>
    <n v="1"/>
    <n v="0"/>
    <s v="NA"/>
    <s v="NA"/>
    <s v="NA"/>
    <s v="NA"/>
    <s v="NA"/>
    <s v="NA"/>
    <s v="NA"/>
    <s v="NA"/>
    <s v="NA"/>
    <s v="NA"/>
    <s v="NA"/>
    <s v="NA"/>
    <s v="NA"/>
    <s v="NA"/>
    <s v="NA"/>
    <s v="NA"/>
    <s v="NA"/>
    <s v="NA"/>
    <s v="NA"/>
    <s v="NA"/>
  </r>
  <r>
    <s v="A2YCHYBHJESOUD"/>
    <s v="english"/>
    <n v="30"/>
    <s v="female"/>
    <s v="train"/>
    <x v="2"/>
    <n v="50184"/>
    <n v="0"/>
    <n v="0"/>
    <n v="0"/>
    <n v="1"/>
    <s v="NA"/>
    <s v="NA"/>
    <s v="NA"/>
    <s v="NA"/>
    <s v="NA"/>
    <s v="NA"/>
    <s v="NA"/>
    <s v="NA"/>
    <s v="NA"/>
    <s v="NA"/>
    <s v="NA"/>
    <s v="NA"/>
    <s v="NA"/>
    <s v="NA"/>
    <s v="NA"/>
    <s v="NA"/>
    <s v="NA"/>
    <s v="NA"/>
    <s v="NA"/>
    <s v="NA"/>
  </r>
  <r>
    <s v="A2YCHYBHJESOUD"/>
    <s v="english"/>
    <n v="30"/>
    <s v="female"/>
    <s v="test"/>
    <x v="11"/>
    <n v="67360"/>
    <n v="0"/>
    <n v="0"/>
    <n v="0"/>
    <n v="1"/>
    <s v="Stores D and E."/>
    <s v="Stores A and B."/>
    <s v="Store E."/>
    <s v="ms-l"/>
    <s v="ms-h"/>
    <s v="mo-l"/>
    <n v="0"/>
    <n v="0"/>
    <n v="1"/>
    <n v="1"/>
    <n v="1"/>
    <n v="0"/>
    <n v="1"/>
    <n v="0"/>
    <n v="0"/>
    <n v="0"/>
    <n v="0"/>
    <n v="0"/>
    <n v="0"/>
    <n v="1"/>
  </r>
  <r>
    <s v="A2YCHYBHJESOUD"/>
    <s v="english"/>
    <n v="30"/>
    <s v="female"/>
    <s v="test"/>
    <x v="8"/>
    <n v="66389"/>
    <n v="0"/>
    <n v="0"/>
    <n v="0"/>
    <n v="1"/>
    <s v="Stylist A."/>
    <s v="Stylist F."/>
    <s v="Stylists A and B."/>
    <s v="mo-h"/>
    <s v="fa"/>
    <s v="ms-h"/>
    <n v="0"/>
    <n v="1"/>
    <n v="0"/>
    <n v="1"/>
    <n v="0"/>
    <n v="0"/>
    <n v="1"/>
    <n v="0"/>
    <n v="0"/>
    <n v="0"/>
    <n v="0"/>
    <n v="0"/>
    <n v="0"/>
    <n v="1"/>
  </r>
  <r>
    <s v="A2YCHYBHJESOUD"/>
    <s v="english"/>
    <n v="30"/>
    <s v="female"/>
    <s v="control"/>
    <x v="10"/>
    <n v="57514"/>
    <n v="0"/>
    <n v="1"/>
    <n v="0"/>
    <n v="0"/>
    <s v="NA"/>
    <s v="NA"/>
    <s v="NA"/>
    <s v="NA"/>
    <s v="NA"/>
    <s v="NA"/>
    <s v="NA"/>
    <n v="1"/>
    <n v="0"/>
    <n v="1"/>
    <n v="0"/>
    <n v="0"/>
    <n v="1"/>
    <n v="0"/>
    <n v="0"/>
    <n v="0"/>
    <n v="0"/>
    <n v="0"/>
    <n v="0"/>
    <n v="1"/>
  </r>
  <r>
    <s v="A2YCHYBHJESOUD"/>
    <s v="english"/>
    <n v="30"/>
    <s v="female"/>
    <s v="test"/>
    <x v="3"/>
    <n v="85360"/>
    <n v="0"/>
    <n v="0"/>
    <n v="0"/>
    <n v="1"/>
    <s v="Bookstores A and B."/>
    <s v="Bookstores A, B, C, D and E."/>
    <s v="Bookstores D and E."/>
    <s v="ms-h"/>
    <s v="exh"/>
    <s v="ms-l"/>
    <n v="1"/>
    <n v="0"/>
    <n v="0"/>
    <n v="1"/>
    <n v="1"/>
    <n v="0"/>
    <n v="1"/>
    <n v="0"/>
    <n v="0"/>
    <n v="0"/>
    <n v="0"/>
    <n v="0"/>
    <n v="0"/>
    <n v="1"/>
  </r>
  <r>
    <s v="A2YCHYBHJESOUD"/>
    <s v="english"/>
    <n v="30"/>
    <s v="female"/>
    <s v="control"/>
    <x v="5"/>
    <n v="48422"/>
    <n v="1"/>
    <n v="0"/>
    <n v="0"/>
    <n v="0"/>
    <s v="NA"/>
    <s v="NA"/>
    <s v="NA"/>
    <s v="NA"/>
    <s v="NA"/>
    <s v="NA"/>
    <s v="NA"/>
    <n v="0"/>
    <n v="0"/>
    <n v="1"/>
    <n v="1"/>
    <n v="0"/>
    <n v="1"/>
    <n v="0"/>
    <n v="0"/>
    <n v="0"/>
    <n v="0"/>
    <n v="0"/>
    <n v="0"/>
    <n v="1"/>
  </r>
  <r>
    <s v="A2YCHYBHJESOUD"/>
    <s v="english"/>
    <n v="30"/>
    <s v="female"/>
    <s v="test"/>
    <x v="4"/>
    <n v="60657"/>
    <n v="0"/>
    <n v="0"/>
    <n v="0"/>
    <n v="1"/>
    <s v="Dentists A, B, C, D and E."/>
    <s v="Dentists D and E."/>
    <s v="Dentists A and B."/>
    <s v="exh"/>
    <s v="ms-l"/>
    <s v="ms-h"/>
    <n v="1"/>
    <n v="0"/>
    <n v="0"/>
    <n v="1"/>
    <n v="1"/>
    <n v="0"/>
    <n v="1"/>
    <n v="0"/>
    <n v="0"/>
    <n v="0"/>
    <n v="0"/>
    <n v="0"/>
    <n v="0"/>
    <n v="1"/>
  </r>
  <r>
    <s v="A2YCHYBHJESOUD"/>
    <s v="english"/>
    <n v="30"/>
    <s v="female"/>
    <s v="test"/>
    <x v="6"/>
    <n v="69468"/>
    <n v="1"/>
    <n v="0"/>
    <n v="0"/>
    <n v="0"/>
    <s v="Cafe A."/>
    <s v="Cafes D and E."/>
    <s v="Cafe E."/>
    <s v="mo-h"/>
    <s v="ms-l"/>
    <s v="mo-l"/>
    <n v="0"/>
    <n v="1"/>
    <n v="1"/>
    <n v="0"/>
    <n v="1"/>
    <n v="0"/>
    <n v="1"/>
    <n v="0"/>
    <n v="1"/>
    <n v="0"/>
    <n v="0"/>
    <n v="0"/>
    <n v="0"/>
    <n v="0"/>
  </r>
  <r>
    <s v="A2YCHYBHJESOUD"/>
    <s v="english"/>
    <n v="30"/>
    <s v="female"/>
    <s v="control"/>
    <x v="12"/>
    <n v="38883"/>
    <n v="1"/>
    <n v="0"/>
    <n v="0"/>
    <n v="0"/>
    <s v="NA"/>
    <s v="NA"/>
    <s v="NA"/>
    <s v="NA"/>
    <s v="NA"/>
    <s v="NA"/>
    <s v="NA"/>
    <n v="1"/>
    <n v="1"/>
    <n v="0"/>
    <n v="1"/>
    <n v="0"/>
    <n v="1"/>
    <n v="0"/>
    <n v="1"/>
    <n v="0"/>
    <n v="0"/>
    <n v="0"/>
    <n v="0"/>
    <n v="0"/>
  </r>
  <r>
    <s v="A2YCHYBHJESOUD"/>
    <s v="english"/>
    <n v="30"/>
    <s v="female"/>
    <s v="test"/>
    <x v="9"/>
    <n v="294250"/>
    <n v="0"/>
    <n v="0"/>
    <n v="0"/>
    <n v="1"/>
    <s v="Stall A."/>
    <s v="Stalls A and B."/>
    <s v="Stall F."/>
    <s v="mo-h"/>
    <s v="ms-h"/>
    <s v="fa"/>
    <n v="0"/>
    <n v="1"/>
    <n v="0"/>
    <n v="1"/>
    <n v="0"/>
    <n v="0"/>
    <n v="1"/>
    <n v="0"/>
    <n v="0"/>
    <n v="0"/>
    <n v="0"/>
    <n v="0"/>
    <n v="0"/>
    <n v="1"/>
  </r>
  <r>
    <s v="A2YCHYBHJESOUD"/>
    <s v="english"/>
    <n v="30"/>
    <s v="female"/>
    <s v="control"/>
    <x v="7"/>
    <n v="156765"/>
    <n v="0"/>
    <n v="1"/>
    <n v="0"/>
    <n v="0"/>
    <s v="NA"/>
    <s v="NA"/>
    <s v="NA"/>
    <s v="NA"/>
    <s v="NA"/>
    <s v="NA"/>
    <s v="NA"/>
    <n v="1"/>
    <n v="0"/>
    <n v="1"/>
    <n v="0"/>
    <n v="0"/>
    <n v="1"/>
    <n v="0"/>
    <n v="0"/>
    <n v="0"/>
    <n v="0"/>
    <n v="0"/>
    <n v="0"/>
    <n v="1"/>
  </r>
  <r>
    <s v="A2YCHYBHJESOUD"/>
    <s v="english"/>
    <n v="30"/>
    <s v="female"/>
    <s v="exit_quest"/>
    <x v="0"/>
    <n v="309578"/>
    <s v="i suggest then you can go to kenny's wood fried grill"/>
    <s v="nothing"/>
    <s v="nothing"/>
    <s v="NA"/>
    <s v="NA"/>
    <s v="NA"/>
    <s v="NA"/>
    <s v="NA"/>
    <s v="NA"/>
    <s v="NA"/>
    <s v="NA"/>
    <s v="NA"/>
    <s v="NA"/>
    <s v="NA"/>
    <s v="NA"/>
    <s v="NA"/>
    <s v="NA"/>
    <s v="NA"/>
    <s v="NA"/>
    <s v="NA"/>
    <s v="NA"/>
    <s v="NA"/>
    <s v="NA"/>
    <s v="NA"/>
  </r>
  <r>
    <s v="ADNSFH55XO2F8"/>
    <s v="english"/>
    <n v="45"/>
    <s v="male"/>
    <s v="consent"/>
    <x v="0"/>
    <n v="37157"/>
    <s v="NA"/>
    <s v="NA"/>
    <s v="NA"/>
    <s v="NA"/>
    <s v="NA"/>
    <s v="NA"/>
    <s v="NA"/>
    <s v="NA"/>
    <s v="NA"/>
    <s v="NA"/>
    <s v="NA"/>
    <s v="NA"/>
    <s v="NA"/>
    <s v="NA"/>
    <s v="NA"/>
    <s v="NA"/>
    <s v="NA"/>
    <s v="NA"/>
    <s v="NA"/>
    <s v="NA"/>
    <s v="NA"/>
    <s v="NA"/>
    <s v="NA"/>
    <s v="NA"/>
  </r>
  <r>
    <s v="ADNSFH55XO2F8"/>
    <s v="english"/>
    <n v="45"/>
    <s v="male"/>
    <s v="train"/>
    <x v="1"/>
    <n v="314858"/>
    <n v="1"/>
    <n v="0"/>
    <n v="0"/>
    <n v="0"/>
    <s v="NA"/>
    <s v="NA"/>
    <s v="NA"/>
    <s v="NA"/>
    <s v="NA"/>
    <s v="NA"/>
    <s v="NA"/>
    <s v="NA"/>
    <s v="NA"/>
    <s v="NA"/>
    <s v="NA"/>
    <s v="NA"/>
    <s v="NA"/>
    <s v="NA"/>
    <s v="NA"/>
    <s v="NA"/>
    <s v="NA"/>
    <s v="NA"/>
    <s v="NA"/>
    <s v="NA"/>
  </r>
  <r>
    <s v="ADNSFH55XO2F8"/>
    <s v="english"/>
    <n v="45"/>
    <s v="male"/>
    <s v="train"/>
    <x v="2"/>
    <n v="116700"/>
    <n v="1"/>
    <n v="0"/>
    <n v="0"/>
    <n v="0"/>
    <s v="NA"/>
    <s v="NA"/>
    <s v="NA"/>
    <s v="NA"/>
    <s v="NA"/>
    <s v="NA"/>
    <s v="NA"/>
    <s v="NA"/>
    <s v="NA"/>
    <s v="NA"/>
    <s v="NA"/>
    <s v="NA"/>
    <s v="NA"/>
    <s v="NA"/>
    <s v="NA"/>
    <s v="NA"/>
    <s v="NA"/>
    <s v="NA"/>
    <s v="NA"/>
    <s v="NA"/>
  </r>
  <r>
    <s v="ADNSFH55XO2F8"/>
    <s v="english"/>
    <n v="45"/>
    <s v="male"/>
    <s v="test"/>
    <x v="6"/>
    <n v="15317"/>
    <n v="1"/>
    <n v="0"/>
    <n v="0"/>
    <n v="0"/>
    <s v="Cafe E."/>
    <s v="Cafes A, B, C, D and E."/>
    <s v="Cafes D and E."/>
    <s v="mo-l"/>
    <s v="exh"/>
    <s v="ms-l"/>
    <n v="1"/>
    <n v="0"/>
    <n v="1"/>
    <n v="0"/>
    <n v="1"/>
    <n v="0"/>
    <n v="1"/>
    <n v="0"/>
    <n v="0"/>
    <n v="1"/>
    <n v="0"/>
    <n v="0"/>
    <n v="0"/>
    <n v="0"/>
  </r>
  <r>
    <s v="ADNSFH55XO2F8"/>
    <s v="english"/>
    <n v="45"/>
    <s v="male"/>
    <s v="test"/>
    <x v="4"/>
    <n v="4920"/>
    <n v="1"/>
    <n v="0"/>
    <n v="0"/>
    <n v="0"/>
    <s v="Dentist A."/>
    <s v="Dentists A, B, C, D and E."/>
    <s v="Dentist F."/>
    <s v="mo-h"/>
    <s v="exh"/>
    <s v="fa"/>
    <n v="1"/>
    <n v="1"/>
    <n v="0"/>
    <n v="0"/>
    <n v="0"/>
    <n v="0"/>
    <n v="1"/>
    <n v="0"/>
    <n v="1"/>
    <n v="0"/>
    <n v="0"/>
    <n v="0"/>
    <n v="0"/>
    <n v="0"/>
  </r>
  <r>
    <s v="ADNSFH55XO2F8"/>
    <s v="english"/>
    <n v="45"/>
    <s v="male"/>
    <s v="control"/>
    <x v="10"/>
    <n v="6094"/>
    <n v="1"/>
    <n v="0"/>
    <n v="0"/>
    <n v="0"/>
    <s v="NA"/>
    <s v="NA"/>
    <s v="NA"/>
    <s v="NA"/>
    <s v="NA"/>
    <s v="NA"/>
    <s v="NA"/>
    <n v="1"/>
    <n v="0"/>
    <n v="0"/>
    <n v="0"/>
    <n v="0"/>
    <n v="1"/>
    <n v="0"/>
    <n v="1"/>
    <n v="0"/>
    <n v="0"/>
    <n v="0"/>
    <n v="0"/>
    <n v="0"/>
  </r>
  <r>
    <s v="ADNSFH55XO2F8"/>
    <s v="english"/>
    <n v="45"/>
    <s v="male"/>
    <s v="test"/>
    <x v="9"/>
    <n v="3287"/>
    <n v="1"/>
    <n v="0"/>
    <n v="0"/>
    <n v="0"/>
    <s v="Stall E."/>
    <s v="Stall A."/>
    <s v="Stalls A and B."/>
    <s v="mo-l"/>
    <s v="mo-h"/>
    <s v="ms-h"/>
    <n v="0"/>
    <n v="1"/>
    <n v="1"/>
    <n v="1"/>
    <n v="0"/>
    <n v="0"/>
    <n v="1"/>
    <n v="0"/>
    <n v="0"/>
    <n v="1"/>
    <n v="0"/>
    <n v="0"/>
    <n v="0"/>
    <n v="0"/>
  </r>
  <r>
    <s v="ADNSFH55XO2F8"/>
    <s v="english"/>
    <n v="45"/>
    <s v="male"/>
    <s v="control"/>
    <x v="7"/>
    <n v="21615"/>
    <n v="0"/>
    <n v="1"/>
    <n v="0"/>
    <n v="0"/>
    <s v="NA"/>
    <s v="NA"/>
    <s v="NA"/>
    <s v="NA"/>
    <s v="NA"/>
    <s v="NA"/>
    <s v="NA"/>
    <n v="1"/>
    <n v="1"/>
    <n v="1"/>
    <n v="0"/>
    <n v="0"/>
    <n v="1"/>
    <n v="0"/>
    <n v="0"/>
    <n v="1"/>
    <n v="0"/>
    <n v="0"/>
    <n v="0"/>
    <n v="0"/>
  </r>
  <r>
    <s v="ADNSFH55XO2F8"/>
    <s v="english"/>
    <n v="45"/>
    <s v="male"/>
    <s v="test"/>
    <x v="3"/>
    <n v="6015"/>
    <n v="0"/>
    <n v="1"/>
    <n v="0"/>
    <n v="0"/>
    <s v="Bookstore A."/>
    <s v="Bookstore E."/>
    <s v="Bookstores A, B, C, D and E."/>
    <s v="mo-h"/>
    <s v="mo-l"/>
    <s v="exh"/>
    <n v="1"/>
    <n v="1"/>
    <n v="1"/>
    <n v="0"/>
    <n v="0"/>
    <n v="0"/>
    <n v="1"/>
    <n v="0"/>
    <n v="0"/>
    <n v="1"/>
    <n v="0"/>
    <n v="0"/>
    <n v="0"/>
    <n v="0"/>
  </r>
  <r>
    <s v="ADNSFH55XO2F8"/>
    <s v="english"/>
    <n v="45"/>
    <s v="male"/>
    <s v="test"/>
    <x v="11"/>
    <n v="8713"/>
    <n v="1"/>
    <n v="0"/>
    <n v="0"/>
    <n v="0"/>
    <s v="Stores A and B."/>
    <s v="Store A."/>
    <s v="Stores D and E."/>
    <s v="ms-h"/>
    <s v="mo-h"/>
    <s v="ms-l"/>
    <n v="0"/>
    <n v="1"/>
    <n v="0"/>
    <n v="1"/>
    <n v="1"/>
    <n v="0"/>
    <n v="1"/>
    <n v="0"/>
    <n v="0"/>
    <n v="0"/>
    <n v="1"/>
    <n v="0"/>
    <n v="0"/>
    <n v="0"/>
  </r>
  <r>
    <s v="ADNSFH55XO2F8"/>
    <s v="english"/>
    <n v="45"/>
    <s v="male"/>
    <s v="control"/>
    <x v="12"/>
    <n v="9623"/>
    <n v="0"/>
    <n v="1"/>
    <n v="0"/>
    <n v="0"/>
    <s v="NA"/>
    <s v="NA"/>
    <s v="NA"/>
    <s v="NA"/>
    <s v="NA"/>
    <s v="NA"/>
    <s v="NA"/>
    <n v="1"/>
    <n v="0"/>
    <n v="1"/>
    <n v="1"/>
    <n v="0"/>
    <n v="1"/>
    <n v="0"/>
    <n v="0"/>
    <n v="0"/>
    <n v="1"/>
    <n v="0"/>
    <n v="0"/>
    <n v="0"/>
  </r>
  <r>
    <s v="ADNSFH55XO2F8"/>
    <s v="english"/>
    <n v="45"/>
    <s v="male"/>
    <s v="test"/>
    <x v="8"/>
    <n v="855612"/>
    <n v="1"/>
    <n v="0"/>
    <n v="0"/>
    <n v="0"/>
    <s v="Stylists A, B, C, D and E."/>
    <s v="Stylist E."/>
    <s v="Stylists D and E."/>
    <s v="exh"/>
    <s v="mo-l"/>
    <s v="ms-l"/>
    <n v="1"/>
    <n v="0"/>
    <n v="1"/>
    <n v="0"/>
    <n v="1"/>
    <n v="0"/>
    <n v="1"/>
    <n v="1"/>
    <n v="0"/>
    <n v="0"/>
    <n v="0"/>
    <n v="0"/>
    <n v="0"/>
    <n v="0"/>
  </r>
  <r>
    <s v="ADNSFH55XO2F8"/>
    <s v="english"/>
    <n v="45"/>
    <s v="male"/>
    <s v="control"/>
    <x v="5"/>
    <n v="10002"/>
    <n v="0"/>
    <n v="1"/>
    <n v="0"/>
    <n v="0"/>
    <s v="NA"/>
    <s v="NA"/>
    <s v="NA"/>
    <s v="NA"/>
    <s v="NA"/>
    <s v="NA"/>
    <s v="NA"/>
    <n v="0"/>
    <n v="1"/>
    <n v="0"/>
    <n v="1"/>
    <n v="0"/>
    <n v="1"/>
    <n v="1"/>
    <n v="0"/>
    <n v="0"/>
    <n v="0"/>
    <n v="0"/>
    <n v="0"/>
    <n v="0"/>
  </r>
  <r>
    <s v="ADNSFH55XO2F8"/>
    <s v="english"/>
    <n v="45"/>
    <s v="male"/>
    <s v="exit_quest"/>
    <x v="0"/>
    <n v="169144"/>
    <s v="KFC"/>
    <s v="NO"/>
    <s v="GOOD"/>
    <s v="NA"/>
    <s v="NA"/>
    <s v="NA"/>
    <s v="NA"/>
    <s v="NA"/>
    <s v="NA"/>
    <s v="NA"/>
    <s v="NA"/>
    <s v="NA"/>
    <s v="NA"/>
    <s v="NA"/>
    <s v="NA"/>
    <s v="NA"/>
    <s v="NA"/>
    <s v="NA"/>
    <s v="NA"/>
    <s v="NA"/>
    <s v="NA"/>
    <s v="NA"/>
    <s v="NA"/>
    <s v="NA"/>
  </r>
  <r>
    <s v="A157L6Z8QU3SDE"/>
    <s v="english"/>
    <n v="30"/>
    <s v="male"/>
    <s v="consent"/>
    <x v="0"/>
    <n v="35517"/>
    <s v="NA"/>
    <s v="NA"/>
    <s v="NA"/>
    <s v="NA"/>
    <s v="NA"/>
    <s v="NA"/>
    <s v="NA"/>
    <s v="NA"/>
    <s v="NA"/>
    <s v="NA"/>
    <s v="NA"/>
    <s v="NA"/>
    <s v="NA"/>
    <s v="NA"/>
    <s v="NA"/>
    <s v="NA"/>
    <s v="NA"/>
    <s v="NA"/>
    <s v="NA"/>
    <s v="NA"/>
    <s v="NA"/>
    <s v="NA"/>
    <s v="NA"/>
    <s v="NA"/>
  </r>
  <r>
    <s v="A157L6Z8QU3SDE"/>
    <s v="english"/>
    <n v="30"/>
    <s v="male"/>
    <s v="train"/>
    <x v="1"/>
    <n v="83241"/>
    <n v="0"/>
    <n v="0"/>
    <n v="1"/>
    <n v="0"/>
    <s v="NA"/>
    <s v="NA"/>
    <s v="NA"/>
    <s v="NA"/>
    <s v="NA"/>
    <s v="NA"/>
    <s v="NA"/>
    <s v="NA"/>
    <s v="NA"/>
    <s v="NA"/>
    <s v="NA"/>
    <s v="NA"/>
    <s v="NA"/>
    <s v="NA"/>
    <s v="NA"/>
    <s v="NA"/>
    <s v="NA"/>
    <s v="NA"/>
    <s v="NA"/>
    <s v="NA"/>
  </r>
  <r>
    <s v="A157L6Z8QU3SDE"/>
    <s v="english"/>
    <n v="30"/>
    <s v="male"/>
    <s v="train"/>
    <x v="2"/>
    <n v="41424"/>
    <n v="0"/>
    <n v="0"/>
    <n v="0"/>
    <n v="1"/>
    <s v="NA"/>
    <s v="NA"/>
    <s v="NA"/>
    <s v="NA"/>
    <s v="NA"/>
    <s v="NA"/>
    <s v="NA"/>
    <s v="NA"/>
    <s v="NA"/>
    <s v="NA"/>
    <s v="NA"/>
    <s v="NA"/>
    <s v="NA"/>
    <s v="NA"/>
    <s v="NA"/>
    <s v="NA"/>
    <s v="NA"/>
    <s v="NA"/>
    <s v="NA"/>
    <s v="NA"/>
  </r>
  <r>
    <s v="A157L6Z8QU3SDE"/>
    <s v="english"/>
    <n v="30"/>
    <s v="male"/>
    <s v="test"/>
    <x v="4"/>
    <n v="50399"/>
    <n v="0"/>
    <n v="0"/>
    <n v="0"/>
    <n v="1"/>
    <s v="Dentist E."/>
    <s v="Dentist A."/>
    <s v="Dentist F."/>
    <s v="mo-l"/>
    <s v="mo-h"/>
    <s v="fa"/>
    <n v="0"/>
    <n v="1"/>
    <n v="1"/>
    <n v="0"/>
    <n v="0"/>
    <n v="0"/>
    <n v="1"/>
    <n v="0"/>
    <n v="0"/>
    <n v="0"/>
    <n v="0"/>
    <n v="0"/>
    <n v="0"/>
    <n v="1"/>
  </r>
  <r>
    <s v="A157L6Z8QU3SDE"/>
    <s v="english"/>
    <n v="30"/>
    <s v="male"/>
    <s v="test"/>
    <x v="9"/>
    <n v="54343"/>
    <n v="0"/>
    <n v="0"/>
    <n v="0"/>
    <n v="1"/>
    <s v="Stalls A, B, C, D and E."/>
    <s v="Stall A."/>
    <s v="Stall F."/>
    <s v="exh"/>
    <s v="mo-h"/>
    <s v="fa"/>
    <n v="1"/>
    <n v="1"/>
    <n v="0"/>
    <n v="0"/>
    <n v="0"/>
    <n v="0"/>
    <n v="1"/>
    <n v="0"/>
    <n v="0"/>
    <n v="0"/>
    <n v="0"/>
    <n v="0"/>
    <n v="0"/>
    <n v="1"/>
  </r>
  <r>
    <s v="A157L6Z8QU3SDE"/>
    <s v="english"/>
    <n v="30"/>
    <s v="male"/>
    <s v="control"/>
    <x v="7"/>
    <n v="28202"/>
    <n v="0"/>
    <n v="0"/>
    <n v="0"/>
    <n v="1"/>
    <s v="NA"/>
    <s v="NA"/>
    <s v="NA"/>
    <s v="NA"/>
    <s v="NA"/>
    <s v="NA"/>
    <s v="NA"/>
    <n v="1"/>
    <n v="0"/>
    <n v="0"/>
    <n v="0"/>
    <n v="0"/>
    <n v="1"/>
    <n v="0"/>
    <n v="0"/>
    <n v="0"/>
    <n v="0"/>
    <n v="0"/>
    <n v="0"/>
    <n v="1"/>
  </r>
  <r>
    <s v="A157L6Z8QU3SDE"/>
    <s v="english"/>
    <n v="30"/>
    <s v="male"/>
    <s v="test"/>
    <x v="3"/>
    <n v="26243"/>
    <n v="0"/>
    <n v="0"/>
    <n v="0"/>
    <n v="1"/>
    <s v="Bookstore E."/>
    <s v="Bookstore A."/>
    <s v="Bookstore F."/>
    <s v="mo-l"/>
    <s v="mo-h"/>
    <s v="fa"/>
    <n v="0"/>
    <n v="1"/>
    <n v="1"/>
    <n v="0"/>
    <n v="0"/>
    <n v="0"/>
    <n v="1"/>
    <n v="0"/>
    <n v="0"/>
    <n v="0"/>
    <n v="0"/>
    <n v="0"/>
    <n v="0"/>
    <n v="1"/>
  </r>
  <r>
    <s v="A157L6Z8QU3SDE"/>
    <s v="english"/>
    <n v="30"/>
    <s v="male"/>
    <s v="test"/>
    <x v="8"/>
    <n v="27477"/>
    <n v="0"/>
    <n v="0"/>
    <n v="0"/>
    <n v="1"/>
    <s v="Stylist A."/>
    <s v="Stylists A, B, C, D and E."/>
    <s v="Stylists D and E."/>
    <s v="mo-h"/>
    <s v="exh"/>
    <s v="ms-l"/>
    <n v="1"/>
    <n v="1"/>
    <n v="0"/>
    <n v="0"/>
    <n v="1"/>
    <n v="0"/>
    <n v="1"/>
    <n v="0"/>
    <n v="0"/>
    <n v="0"/>
    <n v="0"/>
    <n v="0"/>
    <n v="0"/>
    <n v="1"/>
  </r>
  <r>
    <s v="A157L6Z8QU3SDE"/>
    <s v="english"/>
    <n v="30"/>
    <s v="male"/>
    <s v="control"/>
    <x v="5"/>
    <n v="53991"/>
    <n v="0"/>
    <n v="0"/>
    <n v="0"/>
    <n v="1"/>
    <s v="NA"/>
    <s v="NA"/>
    <s v="NA"/>
    <s v="NA"/>
    <s v="NA"/>
    <s v="NA"/>
    <s v="NA"/>
    <n v="1"/>
    <n v="0"/>
    <n v="0"/>
    <n v="1"/>
    <n v="0"/>
    <n v="1"/>
    <n v="0"/>
    <n v="0"/>
    <n v="0"/>
    <n v="0"/>
    <n v="0"/>
    <n v="0"/>
    <n v="1"/>
  </r>
  <r>
    <s v="A157L6Z8QU3SDE"/>
    <s v="english"/>
    <n v="30"/>
    <s v="male"/>
    <s v="test"/>
    <x v="11"/>
    <n v="33648"/>
    <n v="0"/>
    <n v="0"/>
    <n v="0"/>
    <n v="1"/>
    <s v="Stores A and B."/>
    <s v="Stores D and E."/>
    <s v="Store A."/>
    <s v="ms-h"/>
    <s v="ms-l"/>
    <s v="mo-h"/>
    <n v="0"/>
    <n v="1"/>
    <n v="0"/>
    <n v="1"/>
    <n v="1"/>
    <n v="0"/>
    <n v="1"/>
    <n v="0"/>
    <n v="0"/>
    <n v="0"/>
    <n v="0"/>
    <n v="0"/>
    <n v="0"/>
    <n v="1"/>
  </r>
  <r>
    <s v="A157L6Z8QU3SDE"/>
    <s v="english"/>
    <n v="30"/>
    <s v="male"/>
    <s v="control"/>
    <x v="12"/>
    <n v="25250"/>
    <n v="1"/>
    <n v="0"/>
    <n v="0"/>
    <n v="0"/>
    <s v="NA"/>
    <s v="NA"/>
    <s v="NA"/>
    <s v="NA"/>
    <s v="NA"/>
    <s v="NA"/>
    <s v="NA"/>
    <n v="1"/>
    <n v="0"/>
    <n v="1"/>
    <n v="1"/>
    <n v="0"/>
    <n v="1"/>
    <n v="0"/>
    <n v="0"/>
    <n v="0"/>
    <n v="0"/>
    <n v="0"/>
    <n v="0"/>
    <n v="1"/>
  </r>
  <r>
    <s v="A157L6Z8QU3SDE"/>
    <s v="english"/>
    <n v="30"/>
    <s v="male"/>
    <s v="test"/>
    <x v="6"/>
    <n v="25429"/>
    <n v="0"/>
    <n v="0"/>
    <n v="0"/>
    <n v="1"/>
    <s v="Cafes D and E."/>
    <s v="Cafe E."/>
    <s v="Cafe A."/>
    <s v="ms-l"/>
    <s v="mo-l"/>
    <s v="mo-h"/>
    <n v="0"/>
    <n v="1"/>
    <n v="1"/>
    <n v="0"/>
    <n v="1"/>
    <n v="0"/>
    <n v="1"/>
    <n v="0"/>
    <n v="0"/>
    <n v="0"/>
    <n v="0"/>
    <n v="0"/>
    <n v="0"/>
    <n v="1"/>
  </r>
  <r>
    <s v="A157L6Z8QU3SDE"/>
    <s v="english"/>
    <n v="30"/>
    <s v="male"/>
    <s v="control"/>
    <x v="10"/>
    <n v="38422"/>
    <n v="0"/>
    <n v="1"/>
    <n v="0"/>
    <n v="0"/>
    <s v="NA"/>
    <s v="NA"/>
    <s v="NA"/>
    <s v="NA"/>
    <s v="NA"/>
    <s v="NA"/>
    <s v="NA"/>
    <n v="1"/>
    <n v="1"/>
    <n v="0"/>
    <n v="1"/>
    <n v="0"/>
    <n v="1"/>
    <n v="0"/>
    <n v="0"/>
    <n v="0"/>
    <n v="0"/>
    <n v="0"/>
    <n v="0"/>
    <n v="1"/>
  </r>
  <r>
    <s v="A157L6Z8QU3SDE"/>
    <s v="english"/>
    <n v="30"/>
    <s v="male"/>
    <s v="exit_quest"/>
    <x v="0"/>
    <n v="174886"/>
    <s v="I would not answer differently as it is the same core question. "/>
    <s v="It was not difficult but the questions were really open and by stretching your mind you can think different answers. I answered literally%2C if they knew the exact answer they were right and if they kind of knew I did not find it correct. "/>
    <s v="No. "/>
    <s v="NA"/>
    <s v="NA"/>
    <s v="NA"/>
    <s v="NA"/>
    <s v="NA"/>
    <s v="NA"/>
    <s v="NA"/>
    <s v="NA"/>
    <s v="NA"/>
    <s v="NA"/>
    <s v="NA"/>
    <s v="NA"/>
    <s v="NA"/>
    <s v="NA"/>
    <s v="NA"/>
    <s v="NA"/>
    <s v="NA"/>
    <s v="NA"/>
    <s v="NA"/>
    <s v="NA"/>
    <s v="NA"/>
  </r>
  <r>
    <s v="A2VRDE2FHCBMF8"/>
    <s v="Italian"/>
    <n v="39"/>
    <s v="male"/>
    <s v="consent"/>
    <x v="0"/>
    <n v="28732"/>
    <s v="NA"/>
    <s v="NA"/>
    <s v="NA"/>
    <s v="NA"/>
    <s v="NA"/>
    <s v="NA"/>
    <s v="NA"/>
    <s v="NA"/>
    <s v="NA"/>
    <s v="NA"/>
    <s v="NA"/>
    <s v="NA"/>
    <s v="NA"/>
    <s v="NA"/>
    <s v="NA"/>
    <s v="NA"/>
    <s v="NA"/>
    <s v="NA"/>
    <s v="NA"/>
    <s v="NA"/>
    <s v="NA"/>
    <s v="NA"/>
    <s v="NA"/>
    <s v="NA"/>
  </r>
  <r>
    <s v="A2VRDE2FHCBMF8"/>
    <s v="Italian"/>
    <n v="39"/>
    <s v="male"/>
    <s v="train"/>
    <x v="1"/>
    <n v="69895"/>
    <n v="0"/>
    <n v="0"/>
    <n v="1"/>
    <n v="0"/>
    <s v="NA"/>
    <s v="NA"/>
    <s v="NA"/>
    <s v="NA"/>
    <s v="NA"/>
    <s v="NA"/>
    <s v="NA"/>
    <s v="NA"/>
    <s v="NA"/>
    <s v="NA"/>
    <s v="NA"/>
    <s v="NA"/>
    <s v="NA"/>
    <s v="NA"/>
    <s v="NA"/>
    <s v="NA"/>
    <s v="NA"/>
    <s v="NA"/>
    <s v="NA"/>
    <s v="NA"/>
  </r>
  <r>
    <s v="A2VRDE2FHCBMF8"/>
    <s v="Italian"/>
    <n v="39"/>
    <s v="male"/>
    <s v="train"/>
    <x v="2"/>
    <n v="50117"/>
    <n v="0"/>
    <n v="0"/>
    <n v="0"/>
    <n v="1"/>
    <s v="NA"/>
    <s v="NA"/>
    <s v="NA"/>
    <s v="NA"/>
    <s v="NA"/>
    <s v="NA"/>
    <s v="NA"/>
    <s v="NA"/>
    <s v="NA"/>
    <s v="NA"/>
    <s v="NA"/>
    <s v="NA"/>
    <s v="NA"/>
    <s v="NA"/>
    <s v="NA"/>
    <s v="NA"/>
    <s v="NA"/>
    <s v="NA"/>
    <s v="NA"/>
    <s v="NA"/>
  </r>
  <r>
    <s v="A2VRDE2FHCBMF8"/>
    <s v="Italian"/>
    <n v="39"/>
    <s v="male"/>
    <s v="test"/>
    <x v="9"/>
    <n v="45597"/>
    <n v="0"/>
    <n v="0"/>
    <n v="0"/>
    <n v="1"/>
    <s v="Stalls D and E."/>
    <s v="Stalls A and B."/>
    <s v="Stall E."/>
    <s v="ms-l"/>
    <s v="ms-h"/>
    <s v="mo-l"/>
    <n v="0"/>
    <n v="0"/>
    <n v="1"/>
    <n v="1"/>
    <n v="1"/>
    <n v="0"/>
    <n v="1"/>
    <n v="0"/>
    <n v="0"/>
    <n v="0"/>
    <n v="0"/>
    <n v="0"/>
    <n v="0"/>
    <n v="1"/>
  </r>
  <r>
    <s v="A2VRDE2FHCBMF8"/>
    <s v="Italian"/>
    <n v="39"/>
    <s v="male"/>
    <s v="test"/>
    <x v="4"/>
    <n v="33540"/>
    <n v="0"/>
    <n v="0"/>
    <n v="1"/>
    <n v="0"/>
    <s v="Dentist A."/>
    <s v="Dentist F."/>
    <s v="Dentists A and B."/>
    <s v="mo-h"/>
    <s v="fa"/>
    <s v="ms-h"/>
    <n v="0"/>
    <n v="1"/>
    <n v="0"/>
    <n v="1"/>
    <n v="0"/>
    <n v="0"/>
    <n v="1"/>
    <n v="0"/>
    <n v="0"/>
    <n v="0"/>
    <n v="1"/>
    <n v="0"/>
    <n v="0"/>
    <n v="0"/>
  </r>
  <r>
    <s v="A2VRDE2FHCBMF8"/>
    <s v="Italian"/>
    <n v="39"/>
    <s v="male"/>
    <s v="control"/>
    <x v="12"/>
    <n v="33710"/>
    <n v="1"/>
    <n v="0"/>
    <n v="0"/>
    <n v="0"/>
    <s v="NA"/>
    <s v="NA"/>
    <s v="NA"/>
    <s v="NA"/>
    <s v="NA"/>
    <s v="NA"/>
    <s v="NA"/>
    <n v="1"/>
    <n v="0"/>
    <n v="1"/>
    <n v="0"/>
    <n v="0"/>
    <n v="1"/>
    <n v="0"/>
    <n v="0"/>
    <n v="0"/>
    <n v="1"/>
    <n v="0"/>
    <n v="0"/>
    <n v="0"/>
  </r>
  <r>
    <s v="A2VRDE2FHCBMF8"/>
    <s v="Italian"/>
    <n v="39"/>
    <s v="male"/>
    <s v="test"/>
    <x v="6"/>
    <n v="30127"/>
    <n v="1"/>
    <n v="0"/>
    <n v="1"/>
    <n v="0"/>
    <s v="Cafe A."/>
    <s v="Cafes D and E."/>
    <s v="Cafes A and B."/>
    <s v="mo-h"/>
    <s v="ms-l"/>
    <s v="ms-h"/>
    <n v="0"/>
    <n v="1"/>
    <n v="0"/>
    <n v="1"/>
    <n v="1"/>
    <n v="0"/>
    <n v="1"/>
    <n v="0"/>
    <n v="1"/>
    <n v="0"/>
    <n v="1"/>
    <n v="0"/>
    <n v="0"/>
    <n v="0"/>
  </r>
  <r>
    <s v="A2VRDE2FHCBMF8"/>
    <s v="Italian"/>
    <n v="39"/>
    <s v="male"/>
    <s v="test"/>
    <x v="11"/>
    <n v="28997"/>
    <n v="1"/>
    <n v="1"/>
    <n v="0"/>
    <n v="0"/>
    <s v="Store A."/>
    <s v="Stores A and B."/>
    <s v="Store E."/>
    <s v="mo-h"/>
    <s v="ms-h"/>
    <s v="mo-l"/>
    <n v="0"/>
    <n v="1"/>
    <n v="1"/>
    <n v="1"/>
    <n v="0"/>
    <n v="0"/>
    <n v="1"/>
    <n v="0"/>
    <n v="1"/>
    <n v="0"/>
    <n v="1"/>
    <n v="0"/>
    <n v="0"/>
    <n v="0"/>
  </r>
  <r>
    <s v="A2VRDE2FHCBMF8"/>
    <s v="Italian"/>
    <n v="39"/>
    <s v="male"/>
    <s v="control"/>
    <x v="10"/>
    <n v="98102"/>
    <n v="0"/>
    <n v="0"/>
    <n v="1"/>
    <n v="0"/>
    <s v="NA"/>
    <s v="NA"/>
    <s v="NA"/>
    <s v="NA"/>
    <s v="NA"/>
    <s v="NA"/>
    <s v="NA"/>
    <n v="1"/>
    <n v="1"/>
    <n v="1"/>
    <n v="0"/>
    <n v="0"/>
    <n v="1"/>
    <n v="0"/>
    <n v="1"/>
    <n v="0"/>
    <n v="1"/>
    <n v="0"/>
    <n v="0"/>
    <n v="0"/>
  </r>
  <r>
    <s v="A2VRDE2FHCBMF8"/>
    <s v="Italian"/>
    <n v="39"/>
    <s v="male"/>
    <s v="test"/>
    <x v="8"/>
    <n v="36862"/>
    <n v="0"/>
    <n v="1"/>
    <n v="0"/>
    <n v="0"/>
    <s v="Stylist E."/>
    <s v="Stylist A."/>
    <s v="Stylists D and E."/>
    <s v="mo-l"/>
    <s v="mo-h"/>
    <s v="ms-l"/>
    <n v="0"/>
    <n v="1"/>
    <n v="1"/>
    <n v="0"/>
    <n v="1"/>
    <n v="0"/>
    <n v="1"/>
    <n v="0"/>
    <n v="1"/>
    <n v="0"/>
    <n v="0"/>
    <n v="0"/>
    <n v="0"/>
    <n v="0"/>
  </r>
  <r>
    <s v="A2VRDE2FHCBMF8"/>
    <s v="Italian"/>
    <n v="39"/>
    <s v="male"/>
    <s v="control"/>
    <x v="5"/>
    <n v="56094"/>
    <n v="0"/>
    <n v="0"/>
    <n v="0"/>
    <n v="1"/>
    <s v="NA"/>
    <s v="NA"/>
    <s v="NA"/>
    <s v="NA"/>
    <s v="NA"/>
    <s v="NA"/>
    <s v="NA"/>
    <n v="1"/>
    <n v="1"/>
    <n v="0"/>
    <n v="1"/>
    <n v="0"/>
    <n v="1"/>
    <n v="0"/>
    <n v="1"/>
    <n v="0"/>
    <n v="0"/>
    <n v="0"/>
    <n v="0"/>
    <n v="0"/>
  </r>
  <r>
    <s v="A2VRDE2FHCBMF8"/>
    <s v="Italian"/>
    <n v="39"/>
    <s v="male"/>
    <s v="test"/>
    <x v="3"/>
    <n v="12158"/>
    <n v="1"/>
    <n v="1"/>
    <n v="0"/>
    <n v="0"/>
    <s v="Bookstore A."/>
    <s v="Bookstores A and B."/>
    <s v="Bookstore E."/>
    <s v="mo-h"/>
    <s v="ms-h"/>
    <s v="mo-l"/>
    <n v="0"/>
    <n v="1"/>
    <n v="1"/>
    <n v="1"/>
    <n v="0"/>
    <n v="0"/>
    <n v="1"/>
    <n v="0"/>
    <n v="1"/>
    <n v="0"/>
    <n v="1"/>
    <n v="0"/>
    <n v="0"/>
    <n v="0"/>
  </r>
  <r>
    <s v="A2VRDE2FHCBMF8"/>
    <s v="Italian"/>
    <n v="39"/>
    <s v="male"/>
    <s v="control"/>
    <x v="7"/>
    <n v="23583"/>
    <n v="1"/>
    <n v="0"/>
    <n v="0"/>
    <n v="0"/>
    <s v="NA"/>
    <s v="NA"/>
    <s v="NA"/>
    <s v="NA"/>
    <s v="NA"/>
    <s v="NA"/>
    <s v="NA"/>
    <n v="1"/>
    <n v="1"/>
    <n v="1"/>
    <n v="0"/>
    <n v="0"/>
    <n v="1"/>
    <n v="0"/>
    <n v="1"/>
    <n v="0"/>
    <n v="1"/>
    <n v="0"/>
    <n v="0"/>
    <n v="0"/>
  </r>
  <r>
    <s v="A2VRDE2FHCBMF8"/>
    <s v="Italian"/>
    <n v="39"/>
    <s v="male"/>
    <s v="exit_quest"/>
    <x v="0"/>
    <n v="64246"/>
    <s v="I would answer in the same way"/>
    <s v="It wasn't difficult%2C even if I'm not a native speaker"/>
    <s v="Thank you very much for this HIT%2C and best of luck with your research"/>
    <s v="NA"/>
    <s v="NA"/>
    <s v="NA"/>
    <s v="NA"/>
    <s v="NA"/>
    <s v="NA"/>
    <s v="NA"/>
    <s v="NA"/>
    <s v="NA"/>
    <s v="NA"/>
    <s v="NA"/>
    <s v="NA"/>
    <s v="NA"/>
    <s v="NA"/>
    <s v="NA"/>
    <s v="NA"/>
    <s v="NA"/>
    <s v="NA"/>
    <s v="NA"/>
    <s v="NA"/>
    <s v="NA"/>
  </r>
  <r>
    <s v="A9EQ4FWCUQVBL"/>
    <s v="english"/>
    <n v="56"/>
    <s v="female"/>
    <s v="consent"/>
    <x v="0"/>
    <n v="34466"/>
    <s v="NA"/>
    <s v="NA"/>
    <s v="NA"/>
    <s v="NA"/>
    <s v="NA"/>
    <s v="NA"/>
    <s v="NA"/>
    <s v="NA"/>
    <s v="NA"/>
    <s v="NA"/>
    <s v="NA"/>
    <s v="NA"/>
    <s v="NA"/>
    <s v="NA"/>
    <s v="NA"/>
    <s v="NA"/>
    <s v="NA"/>
    <s v="NA"/>
    <s v="NA"/>
    <s v="NA"/>
    <s v="NA"/>
    <s v="NA"/>
    <s v="NA"/>
    <s v="NA"/>
  </r>
  <r>
    <s v="A9EQ4FWCUQVBL"/>
    <s v="english"/>
    <n v="56"/>
    <s v="female"/>
    <s v="train"/>
    <x v="2"/>
    <n v="69610"/>
    <n v="0"/>
    <n v="0"/>
    <n v="0"/>
    <n v="1"/>
    <s v="NA"/>
    <s v="NA"/>
    <s v="NA"/>
    <s v="NA"/>
    <s v="NA"/>
    <s v="NA"/>
    <s v="NA"/>
    <s v="NA"/>
    <s v="NA"/>
    <s v="NA"/>
    <s v="NA"/>
    <s v="NA"/>
    <s v="NA"/>
    <s v="NA"/>
    <s v="NA"/>
    <s v="NA"/>
    <s v="NA"/>
    <s v="NA"/>
    <s v="NA"/>
    <s v="NA"/>
  </r>
  <r>
    <s v="A9EQ4FWCUQVBL"/>
    <s v="english"/>
    <n v="56"/>
    <s v="female"/>
    <s v="train"/>
    <x v="1"/>
    <n v="82299"/>
    <n v="0"/>
    <n v="0"/>
    <n v="1"/>
    <n v="0"/>
    <s v="NA"/>
    <s v="NA"/>
    <s v="NA"/>
    <s v="NA"/>
    <s v="NA"/>
    <s v="NA"/>
    <s v="NA"/>
    <s v="NA"/>
    <s v="NA"/>
    <s v="NA"/>
    <s v="NA"/>
    <s v="NA"/>
    <s v="NA"/>
    <s v="NA"/>
    <s v="NA"/>
    <s v="NA"/>
    <s v="NA"/>
    <s v="NA"/>
    <s v="NA"/>
    <s v="NA"/>
  </r>
  <r>
    <s v="A9EQ4FWCUQVBL"/>
    <s v="english"/>
    <n v="56"/>
    <s v="female"/>
    <s v="test"/>
    <x v="6"/>
    <n v="79978"/>
    <n v="0"/>
    <n v="0"/>
    <n v="0"/>
    <n v="1"/>
    <s v="Cafes A, B, C, D and E."/>
    <s v="Cafes D and E."/>
    <s v="Cafes A and B."/>
    <s v="exh"/>
    <s v="ms-l"/>
    <s v="ms-h"/>
    <n v="1"/>
    <n v="0"/>
    <n v="0"/>
    <n v="1"/>
    <n v="1"/>
    <n v="0"/>
    <n v="1"/>
    <n v="0"/>
    <n v="0"/>
    <n v="0"/>
    <n v="0"/>
    <n v="0"/>
    <n v="0"/>
    <n v="1"/>
  </r>
  <r>
    <s v="A9EQ4FWCUQVBL"/>
    <s v="english"/>
    <n v="56"/>
    <s v="female"/>
    <s v="control"/>
    <x v="12"/>
    <n v="61684"/>
    <n v="1"/>
    <n v="0"/>
    <n v="0"/>
    <n v="0"/>
    <s v="NA"/>
    <s v="NA"/>
    <s v="NA"/>
    <s v="NA"/>
    <s v="NA"/>
    <s v="NA"/>
    <s v="NA"/>
    <n v="0"/>
    <n v="0"/>
    <n v="1"/>
    <n v="1"/>
    <n v="0"/>
    <n v="1"/>
    <n v="0"/>
    <n v="0"/>
    <n v="0"/>
    <n v="0"/>
    <n v="0"/>
    <n v="0"/>
    <n v="1"/>
  </r>
  <r>
    <s v="A9EQ4FWCUQVBL"/>
    <s v="english"/>
    <n v="56"/>
    <s v="female"/>
    <s v="test"/>
    <x v="4"/>
    <n v="63563"/>
    <n v="1"/>
    <n v="0"/>
    <n v="0"/>
    <n v="0"/>
    <s v="Dentists A and B."/>
    <s v="Dentists D and E."/>
    <s v="Dentist E."/>
    <s v="ms-h"/>
    <s v="ms-l"/>
    <s v="mo-l"/>
    <n v="0"/>
    <n v="0"/>
    <n v="1"/>
    <n v="1"/>
    <n v="1"/>
    <n v="0"/>
    <n v="1"/>
    <n v="0"/>
    <n v="0"/>
    <n v="0"/>
    <n v="1"/>
    <n v="0"/>
    <n v="0"/>
    <n v="0"/>
  </r>
  <r>
    <s v="A9EQ4FWCUQVBL"/>
    <s v="english"/>
    <n v="56"/>
    <s v="female"/>
    <s v="test"/>
    <x v="9"/>
    <n v="55074"/>
    <n v="0"/>
    <n v="0"/>
    <n v="0"/>
    <n v="1"/>
    <s v="Stalls A, B, C, D and E."/>
    <s v="Stalls A and B."/>
    <s v="Stall E."/>
    <s v="exh"/>
    <s v="ms-h"/>
    <s v="mo-l"/>
    <n v="1"/>
    <n v="0"/>
    <n v="1"/>
    <n v="1"/>
    <n v="0"/>
    <n v="0"/>
    <n v="1"/>
    <n v="0"/>
    <n v="0"/>
    <n v="0"/>
    <n v="0"/>
    <n v="0"/>
    <n v="0"/>
    <n v="1"/>
  </r>
  <r>
    <s v="A9EQ4FWCUQVBL"/>
    <s v="english"/>
    <n v="56"/>
    <s v="female"/>
    <s v="control"/>
    <x v="5"/>
    <n v="145969"/>
    <n v="0"/>
    <n v="0"/>
    <n v="0"/>
    <n v="1"/>
    <s v="NA"/>
    <s v="NA"/>
    <s v="NA"/>
    <s v="NA"/>
    <s v="NA"/>
    <s v="NA"/>
    <s v="NA"/>
    <n v="0"/>
    <n v="1"/>
    <n v="1"/>
    <n v="0"/>
    <n v="0"/>
    <n v="1"/>
    <n v="0"/>
    <n v="0"/>
    <n v="0"/>
    <n v="0"/>
    <n v="0"/>
    <n v="0"/>
    <n v="1"/>
  </r>
  <r>
    <s v="A9EQ4FWCUQVBL"/>
    <s v="english"/>
    <n v="56"/>
    <s v="female"/>
    <s v="test"/>
    <x v="8"/>
    <n v="56397"/>
    <n v="0"/>
    <n v="0"/>
    <n v="0"/>
    <n v="1"/>
    <s v="Stylist E."/>
    <s v="Stylists D and E."/>
    <s v="Stylists A and B."/>
    <s v="mo-l"/>
    <s v="ms-l"/>
    <s v="ms-h"/>
    <n v="0"/>
    <n v="0"/>
    <n v="1"/>
    <n v="1"/>
    <n v="1"/>
    <n v="0"/>
    <n v="1"/>
    <n v="0"/>
    <n v="0"/>
    <n v="0"/>
    <n v="0"/>
    <n v="0"/>
    <n v="0"/>
    <n v="1"/>
  </r>
  <r>
    <s v="A9EQ4FWCUQVBL"/>
    <s v="english"/>
    <n v="56"/>
    <s v="female"/>
    <s v="control"/>
    <x v="10"/>
    <n v="82314"/>
    <n v="0"/>
    <n v="1"/>
    <n v="1"/>
    <n v="0"/>
    <s v="NA"/>
    <s v="NA"/>
    <s v="NA"/>
    <s v="NA"/>
    <s v="NA"/>
    <s v="NA"/>
    <s v="NA"/>
    <n v="0"/>
    <n v="1"/>
    <n v="1"/>
    <n v="1"/>
    <n v="0"/>
    <n v="1"/>
    <n v="0"/>
    <n v="0"/>
    <n v="0"/>
    <n v="0"/>
    <n v="0"/>
    <n v="0"/>
    <n v="1"/>
  </r>
  <r>
    <s v="A9EQ4FWCUQVBL"/>
    <s v="english"/>
    <n v="56"/>
    <s v="female"/>
    <s v="test"/>
    <x v="11"/>
    <n v="36126"/>
    <n v="0"/>
    <n v="0"/>
    <n v="0"/>
    <n v="1"/>
    <s v="Store A."/>
    <s v="Stores A and B."/>
    <s v="Store E."/>
    <s v="mo-h"/>
    <s v="ms-h"/>
    <s v="mo-l"/>
    <n v="0"/>
    <n v="1"/>
    <n v="1"/>
    <n v="1"/>
    <n v="0"/>
    <n v="0"/>
    <n v="1"/>
    <n v="0"/>
    <n v="0"/>
    <n v="0"/>
    <n v="0"/>
    <n v="0"/>
    <n v="0"/>
    <n v="1"/>
  </r>
  <r>
    <s v="A9EQ4FWCUQVBL"/>
    <s v="english"/>
    <n v="56"/>
    <s v="female"/>
    <s v="test"/>
    <x v="3"/>
    <n v="19953"/>
    <n v="1"/>
    <n v="1"/>
    <n v="1"/>
    <n v="0"/>
    <s v="Bookstores D and E."/>
    <s v="Bookstore F."/>
    <s v="Bookstore A."/>
    <s v="ms-l"/>
    <s v="fa"/>
    <s v="mo-h"/>
    <n v="0"/>
    <n v="1"/>
    <n v="0"/>
    <n v="0"/>
    <n v="1"/>
    <n v="0"/>
    <n v="1"/>
    <n v="0"/>
    <n v="1"/>
    <n v="0"/>
    <n v="0"/>
    <n v="1"/>
    <n v="0"/>
    <n v="0"/>
  </r>
  <r>
    <s v="A9EQ4FWCUQVBL"/>
    <s v="english"/>
    <n v="56"/>
    <s v="female"/>
    <s v="control"/>
    <x v="7"/>
    <n v="43998"/>
    <n v="0"/>
    <n v="0"/>
    <n v="0"/>
    <n v="1"/>
    <s v="NA"/>
    <s v="NA"/>
    <s v="NA"/>
    <s v="NA"/>
    <s v="NA"/>
    <s v="NA"/>
    <s v="NA"/>
    <n v="1"/>
    <n v="0"/>
    <n v="0"/>
    <n v="1"/>
    <n v="0"/>
    <n v="1"/>
    <n v="0"/>
    <n v="1"/>
    <n v="0"/>
    <n v="0"/>
    <n v="1"/>
    <n v="0"/>
    <n v="0"/>
  </r>
  <r>
    <s v="A9EQ4FWCUQVBL"/>
    <s v="english"/>
    <n v="56"/>
    <s v="female"/>
    <s v="exit_quest"/>
    <x v="0"/>
    <n v="86326"/>
    <s v="yes i would answer different because i have many options to say in the second question."/>
    <s v="no it was really fun and easy to understand "/>
    <s v="no%2C thank you "/>
    <s v="NA"/>
    <s v="NA"/>
    <s v="NA"/>
    <s v="NA"/>
    <s v="NA"/>
    <s v="NA"/>
    <s v="NA"/>
    <s v="NA"/>
    <s v="NA"/>
    <s v="NA"/>
    <s v="NA"/>
    <s v="NA"/>
    <s v="NA"/>
    <s v="NA"/>
    <s v="NA"/>
    <s v="NA"/>
    <s v="NA"/>
    <s v="NA"/>
    <s v="NA"/>
    <s v="NA"/>
    <s v="NA"/>
  </r>
  <r>
    <s v="A3908297ZI3LES"/>
    <s v="english"/>
    <n v="56"/>
    <s v="female"/>
    <s v="consent"/>
    <x v="0"/>
    <n v="777808"/>
    <s v="NA"/>
    <s v="NA"/>
    <s v="NA"/>
    <s v="NA"/>
    <s v="NA"/>
    <s v="NA"/>
    <s v="NA"/>
    <s v="NA"/>
    <s v="NA"/>
    <s v="NA"/>
    <s v="NA"/>
    <s v="NA"/>
    <s v="NA"/>
    <s v="NA"/>
    <s v="NA"/>
    <s v="NA"/>
    <s v="NA"/>
    <s v="NA"/>
    <s v="NA"/>
    <s v="NA"/>
    <s v="NA"/>
    <s v="NA"/>
    <s v="NA"/>
    <s v="NA"/>
  </r>
  <r>
    <s v="A3908297ZI3LES"/>
    <s v="english"/>
    <n v="56"/>
    <s v="female"/>
    <s v="train"/>
    <x v="2"/>
    <n v="357813"/>
    <n v="0"/>
    <n v="0"/>
    <n v="0"/>
    <n v="1"/>
    <s v="NA"/>
    <s v="NA"/>
    <s v="NA"/>
    <s v="NA"/>
    <s v="NA"/>
    <s v="NA"/>
    <s v="NA"/>
    <s v="NA"/>
    <s v="NA"/>
    <s v="NA"/>
    <s v="NA"/>
    <s v="NA"/>
    <s v="NA"/>
    <s v="NA"/>
    <s v="NA"/>
    <s v="NA"/>
    <s v="NA"/>
    <s v="NA"/>
    <s v="NA"/>
    <s v="NA"/>
  </r>
  <r>
    <s v="A3908297ZI3LES"/>
    <s v="english"/>
    <n v="56"/>
    <s v="female"/>
    <s v="train"/>
    <x v="1"/>
    <n v="37197"/>
    <n v="0"/>
    <n v="1"/>
    <n v="1"/>
    <n v="0"/>
    <s v="NA"/>
    <s v="NA"/>
    <s v="NA"/>
    <s v="NA"/>
    <s v="NA"/>
    <s v="NA"/>
    <s v="NA"/>
    <s v="NA"/>
    <s v="NA"/>
    <s v="NA"/>
    <s v="NA"/>
    <s v="NA"/>
    <s v="NA"/>
    <s v="NA"/>
    <s v="NA"/>
    <s v="NA"/>
    <s v="NA"/>
    <s v="NA"/>
    <s v="NA"/>
    <s v="NA"/>
  </r>
  <r>
    <s v="A3908297ZI3LES"/>
    <s v="english"/>
    <n v="56"/>
    <s v="female"/>
    <s v="test"/>
    <x v="11"/>
    <n v="35877"/>
    <n v="0"/>
    <n v="0"/>
    <n v="1"/>
    <n v="0"/>
    <s v="Stores D and E."/>
    <s v="Store F."/>
    <s v="Stores A and B."/>
    <s v="ms-l"/>
    <s v="fa"/>
    <s v="ms-h"/>
    <n v="0"/>
    <n v="0"/>
    <n v="0"/>
    <n v="1"/>
    <n v="1"/>
    <n v="0"/>
    <n v="1"/>
    <n v="0"/>
    <n v="0"/>
    <n v="0"/>
    <n v="1"/>
    <n v="0"/>
    <n v="0"/>
    <n v="0"/>
  </r>
  <r>
    <s v="A3908297ZI3LES"/>
    <s v="english"/>
    <n v="56"/>
    <s v="female"/>
    <s v="test"/>
    <x v="3"/>
    <n v="19735"/>
    <n v="0"/>
    <n v="0"/>
    <n v="1"/>
    <n v="0"/>
    <s v="Bookstores A, B, C, D and E."/>
    <s v="Bookstore E."/>
    <s v="Bookstores A and B."/>
    <s v="exh"/>
    <s v="mo-l"/>
    <s v="ms-h"/>
    <n v="1"/>
    <n v="0"/>
    <n v="1"/>
    <n v="1"/>
    <n v="0"/>
    <n v="0"/>
    <n v="1"/>
    <n v="0"/>
    <n v="0"/>
    <n v="0"/>
    <n v="1"/>
    <n v="0"/>
    <n v="0"/>
    <n v="0"/>
  </r>
  <r>
    <s v="A3908297ZI3LES"/>
    <s v="english"/>
    <n v="56"/>
    <s v="female"/>
    <s v="control"/>
    <x v="12"/>
    <n v="19014"/>
    <n v="1"/>
    <n v="0"/>
    <n v="0"/>
    <n v="0"/>
    <s v="NA"/>
    <s v="NA"/>
    <s v="NA"/>
    <s v="NA"/>
    <s v="NA"/>
    <s v="NA"/>
    <s v="NA"/>
    <n v="0"/>
    <n v="1"/>
    <n v="1"/>
    <n v="0"/>
    <n v="0"/>
    <n v="1"/>
    <n v="0"/>
    <n v="0"/>
    <n v="0"/>
    <n v="1"/>
    <n v="0"/>
    <n v="0"/>
    <n v="0"/>
  </r>
  <r>
    <s v="A3908297ZI3LES"/>
    <s v="english"/>
    <n v="56"/>
    <s v="female"/>
    <s v="test"/>
    <x v="9"/>
    <n v="19502"/>
    <n v="1"/>
    <n v="0"/>
    <n v="0"/>
    <n v="0"/>
    <s v="Stalls D and E."/>
    <s v="Stall E."/>
    <s v="Stall F."/>
    <s v="ms-l"/>
    <s v="mo-l"/>
    <s v="fa"/>
    <n v="0"/>
    <n v="0"/>
    <n v="1"/>
    <n v="0"/>
    <n v="1"/>
    <n v="0"/>
    <n v="1"/>
    <n v="0"/>
    <n v="0"/>
    <n v="0"/>
    <n v="0"/>
    <n v="1"/>
    <n v="0"/>
    <n v="0"/>
  </r>
  <r>
    <s v="A3908297ZI3LES"/>
    <s v="english"/>
    <n v="56"/>
    <s v="female"/>
    <s v="test"/>
    <x v="4"/>
    <n v="77278"/>
    <n v="0"/>
    <n v="0"/>
    <n v="0"/>
    <n v="1"/>
    <s v="Dentist F."/>
    <s v="Dentist A."/>
    <s v="Dentists D and E."/>
    <s v="fa"/>
    <s v="mo-h"/>
    <s v="ms-l"/>
    <n v="0"/>
    <n v="1"/>
    <n v="0"/>
    <n v="0"/>
    <n v="1"/>
    <n v="0"/>
    <n v="1"/>
    <n v="0"/>
    <n v="0"/>
    <n v="0"/>
    <n v="0"/>
    <n v="0"/>
    <n v="0"/>
    <n v="1"/>
  </r>
  <r>
    <s v="A3908297ZI3LES"/>
    <s v="english"/>
    <n v="56"/>
    <s v="female"/>
    <s v="control"/>
    <x v="10"/>
    <n v="1249686"/>
    <n v="0"/>
    <n v="0"/>
    <n v="1"/>
    <n v="0"/>
    <s v="NA"/>
    <s v="NA"/>
    <s v="NA"/>
    <s v="NA"/>
    <s v="NA"/>
    <s v="NA"/>
    <s v="NA"/>
    <n v="1"/>
    <n v="0"/>
    <n v="0"/>
    <n v="1"/>
    <n v="0"/>
    <n v="1"/>
    <n v="0"/>
    <n v="0"/>
    <n v="0"/>
    <n v="0"/>
    <n v="0"/>
    <n v="0"/>
    <n v="1"/>
  </r>
  <r>
    <s v="A3908297ZI3LES"/>
    <s v="english"/>
    <n v="56"/>
    <s v="female"/>
    <s v="test"/>
    <x v="8"/>
    <n v="12829"/>
    <n v="0"/>
    <n v="1"/>
    <n v="0"/>
    <n v="0"/>
    <s v="Stylists A, B, C, D and E."/>
    <s v="Stylist A."/>
    <s v="Stylists A and B."/>
    <s v="exh"/>
    <s v="mo-h"/>
    <s v="ms-h"/>
    <n v="1"/>
    <n v="1"/>
    <n v="0"/>
    <n v="1"/>
    <n v="0"/>
    <n v="0"/>
    <n v="1"/>
    <n v="0"/>
    <n v="1"/>
    <n v="0"/>
    <n v="0"/>
    <n v="0"/>
    <n v="0"/>
    <n v="0"/>
  </r>
  <r>
    <s v="A3908297ZI3LES"/>
    <s v="english"/>
    <n v="56"/>
    <s v="female"/>
    <s v="control"/>
    <x v="7"/>
    <n v="16951"/>
    <n v="1"/>
    <n v="1"/>
    <n v="0"/>
    <n v="0"/>
    <s v="NA"/>
    <s v="NA"/>
    <s v="NA"/>
    <s v="NA"/>
    <s v="NA"/>
    <s v="NA"/>
    <s v="NA"/>
    <n v="1"/>
    <n v="0"/>
    <n v="1"/>
    <n v="0"/>
    <n v="0"/>
    <n v="1"/>
    <n v="0"/>
    <n v="1"/>
    <n v="0"/>
    <n v="0"/>
    <n v="0"/>
    <n v="0"/>
    <n v="0"/>
  </r>
  <r>
    <s v="A3908297ZI3LES"/>
    <s v="english"/>
    <n v="56"/>
    <s v="female"/>
    <s v="test"/>
    <x v="6"/>
    <n v="82367"/>
    <n v="1"/>
    <n v="1"/>
    <n v="0"/>
    <n v="0"/>
    <s v="Cafe A."/>
    <s v="Cafes A, B, C, D and E."/>
    <s v="Cafes D and E."/>
    <s v="mo-h"/>
    <s v="exh"/>
    <s v="ms-l"/>
    <n v="1"/>
    <n v="1"/>
    <n v="0"/>
    <n v="0"/>
    <n v="1"/>
    <n v="0"/>
    <n v="1"/>
    <n v="1"/>
    <n v="1"/>
    <n v="0"/>
    <n v="0"/>
    <n v="0"/>
    <n v="0"/>
    <n v="0"/>
  </r>
  <r>
    <s v="A3908297ZI3LES"/>
    <s v="english"/>
    <n v="56"/>
    <s v="female"/>
    <s v="control"/>
    <x v="5"/>
    <n v="77941"/>
    <n v="0"/>
    <n v="1"/>
    <n v="0"/>
    <n v="0"/>
    <s v="NA"/>
    <s v="NA"/>
    <s v="NA"/>
    <s v="NA"/>
    <s v="NA"/>
    <s v="NA"/>
    <s v="NA"/>
    <n v="1"/>
    <n v="0"/>
    <n v="0"/>
    <n v="1"/>
    <n v="0"/>
    <n v="1"/>
    <n v="1"/>
    <n v="1"/>
    <n v="0"/>
    <n v="0"/>
    <n v="0"/>
    <n v="0"/>
    <n v="0"/>
  </r>
  <r>
    <s v="A3908297ZI3LES"/>
    <s v="english"/>
    <n v="56"/>
    <s v="female"/>
    <s v="exit_quest"/>
    <x v="0"/>
    <n v="80757"/>
    <s v="maybe if there was a bar or the hotel served brunch"/>
    <s v="medium%2C took some thought"/>
    <s v="thanx"/>
    <s v="NA"/>
    <s v="NA"/>
    <s v="NA"/>
    <s v="NA"/>
    <s v="NA"/>
    <s v="NA"/>
    <s v="NA"/>
    <s v="NA"/>
    <s v="NA"/>
    <s v="NA"/>
    <s v="NA"/>
    <s v="NA"/>
    <s v="NA"/>
    <s v="NA"/>
    <s v="NA"/>
    <s v="NA"/>
    <s v="NA"/>
    <s v="NA"/>
    <s v="NA"/>
    <s v="NA"/>
    <s v="NA"/>
  </r>
  <r>
    <s v="A6EJ7EU0KMGPL"/>
    <s v="english"/>
    <n v="32"/>
    <s v="male"/>
    <s v="consent"/>
    <x v="0"/>
    <n v="89649"/>
    <s v="NA"/>
    <s v="NA"/>
    <s v="NA"/>
    <s v="NA"/>
    <s v="NA"/>
    <s v="NA"/>
    <s v="NA"/>
    <s v="NA"/>
    <s v="NA"/>
    <s v="NA"/>
    <s v="NA"/>
    <s v="NA"/>
    <s v="NA"/>
    <s v="NA"/>
    <s v="NA"/>
    <s v="NA"/>
    <s v="NA"/>
    <s v="NA"/>
    <s v="NA"/>
    <s v="NA"/>
    <s v="NA"/>
    <s v="NA"/>
    <s v="NA"/>
    <s v="NA"/>
  </r>
  <r>
    <s v="A6EJ7EU0KMGPL"/>
    <s v="english"/>
    <n v="32"/>
    <s v="male"/>
    <s v="train"/>
    <x v="2"/>
    <n v="30037"/>
    <n v="0"/>
    <n v="0"/>
    <n v="0"/>
    <n v="1"/>
    <s v="NA"/>
    <s v="NA"/>
    <s v="NA"/>
    <s v="NA"/>
    <s v="NA"/>
    <s v="NA"/>
    <s v="NA"/>
    <s v="NA"/>
    <s v="NA"/>
    <s v="NA"/>
    <s v="NA"/>
    <s v="NA"/>
    <s v="NA"/>
    <s v="NA"/>
    <s v="NA"/>
    <s v="NA"/>
    <s v="NA"/>
    <s v="NA"/>
    <s v="NA"/>
    <s v="NA"/>
  </r>
  <r>
    <s v="A6EJ7EU0KMGPL"/>
    <s v="english"/>
    <n v="32"/>
    <s v="male"/>
    <s v="train"/>
    <x v="1"/>
    <n v="29027"/>
    <n v="0"/>
    <n v="0"/>
    <n v="1"/>
    <n v="0"/>
    <s v="NA"/>
    <s v="NA"/>
    <s v="NA"/>
    <s v="NA"/>
    <s v="NA"/>
    <s v="NA"/>
    <s v="NA"/>
    <s v="NA"/>
    <s v="NA"/>
    <s v="NA"/>
    <s v="NA"/>
    <s v="NA"/>
    <s v="NA"/>
    <s v="NA"/>
    <s v="NA"/>
    <s v="NA"/>
    <s v="NA"/>
    <s v="NA"/>
    <s v="NA"/>
    <s v="NA"/>
  </r>
  <r>
    <s v="A6EJ7EU0KMGPL"/>
    <s v="english"/>
    <n v="32"/>
    <s v="male"/>
    <s v="test"/>
    <x v="6"/>
    <n v="45184"/>
    <n v="1"/>
    <n v="0"/>
    <n v="1"/>
    <n v="0"/>
    <s v="Cafes A and B."/>
    <s v="Cafes D and E."/>
    <s v="Cafe A."/>
    <s v="ms-h"/>
    <s v="ms-l"/>
    <s v="mo-h"/>
    <n v="0"/>
    <n v="1"/>
    <n v="0"/>
    <n v="1"/>
    <n v="1"/>
    <n v="0"/>
    <n v="1"/>
    <n v="0"/>
    <n v="1"/>
    <n v="0"/>
    <n v="1"/>
    <n v="0"/>
    <n v="0"/>
    <n v="0"/>
  </r>
  <r>
    <s v="A6EJ7EU0KMGPL"/>
    <s v="english"/>
    <n v="32"/>
    <s v="male"/>
    <s v="control"/>
    <x v="7"/>
    <n v="21483"/>
    <n v="1"/>
    <n v="1"/>
    <n v="0"/>
    <n v="0"/>
    <s v="NA"/>
    <s v="NA"/>
    <s v="NA"/>
    <s v="NA"/>
    <s v="NA"/>
    <s v="NA"/>
    <s v="NA"/>
    <n v="1"/>
    <n v="0"/>
    <n v="1"/>
    <n v="1"/>
    <n v="0"/>
    <n v="1"/>
    <n v="0"/>
    <n v="1"/>
    <n v="0"/>
    <n v="1"/>
    <n v="0"/>
    <n v="0"/>
    <n v="0"/>
  </r>
  <r>
    <s v="A6EJ7EU0KMGPL"/>
    <s v="english"/>
    <n v="32"/>
    <s v="male"/>
    <s v="test"/>
    <x v="9"/>
    <n v="26630"/>
    <n v="0"/>
    <n v="0"/>
    <n v="1"/>
    <n v="0"/>
    <s v="Stalls D and E."/>
    <s v="Stall E."/>
    <s v="Stall A."/>
    <s v="ms-l"/>
    <s v="mo-l"/>
    <s v="mo-h"/>
    <n v="0"/>
    <n v="1"/>
    <n v="1"/>
    <n v="0"/>
    <n v="1"/>
    <n v="0"/>
    <n v="1"/>
    <n v="0"/>
    <n v="1"/>
    <n v="0"/>
    <n v="0"/>
    <n v="0"/>
    <n v="0"/>
    <n v="0"/>
  </r>
  <r>
    <s v="A6EJ7EU0KMGPL"/>
    <s v="english"/>
    <n v="32"/>
    <s v="male"/>
    <s v="test"/>
    <x v="8"/>
    <n v="26493"/>
    <n v="0"/>
    <n v="0"/>
    <n v="1"/>
    <n v="0"/>
    <s v="Stylists D and E."/>
    <s v="Stylist E."/>
    <s v="Stylists A and B."/>
    <s v="ms-l"/>
    <s v="mo-l"/>
    <s v="ms-h"/>
    <n v="0"/>
    <n v="0"/>
    <n v="1"/>
    <n v="1"/>
    <n v="1"/>
    <n v="0"/>
    <n v="1"/>
    <n v="0"/>
    <n v="0"/>
    <n v="0"/>
    <n v="1"/>
    <n v="0"/>
    <n v="0"/>
    <n v="0"/>
  </r>
  <r>
    <s v="A6EJ7EU0KMGPL"/>
    <s v="english"/>
    <n v="32"/>
    <s v="male"/>
    <s v="control"/>
    <x v="5"/>
    <n v="34594"/>
    <n v="0"/>
    <n v="0"/>
    <n v="0"/>
    <n v="1"/>
    <s v="NA"/>
    <s v="NA"/>
    <s v="NA"/>
    <s v="NA"/>
    <s v="NA"/>
    <s v="NA"/>
    <s v="NA"/>
    <n v="0"/>
    <n v="1"/>
    <n v="1"/>
    <n v="1"/>
    <n v="0"/>
    <n v="1"/>
    <n v="0"/>
    <n v="0"/>
    <n v="0"/>
    <n v="1"/>
    <n v="0"/>
    <n v="0"/>
    <n v="0"/>
  </r>
  <r>
    <s v="A6EJ7EU0KMGPL"/>
    <s v="english"/>
    <n v="32"/>
    <s v="male"/>
    <s v="test"/>
    <x v="3"/>
    <n v="19325"/>
    <n v="0"/>
    <n v="0"/>
    <n v="1"/>
    <n v="0"/>
    <s v="Bookstores D and E."/>
    <s v="Bookstore E."/>
    <s v="Bookstores A and B."/>
    <s v="ms-l"/>
    <s v="mo-l"/>
    <s v="ms-h"/>
    <n v="0"/>
    <n v="0"/>
    <n v="1"/>
    <n v="1"/>
    <n v="1"/>
    <n v="0"/>
    <n v="1"/>
    <n v="0"/>
    <n v="0"/>
    <n v="0"/>
    <n v="1"/>
    <n v="0"/>
    <n v="0"/>
    <n v="0"/>
  </r>
  <r>
    <s v="A6EJ7EU0KMGPL"/>
    <s v="english"/>
    <n v="32"/>
    <s v="male"/>
    <s v="control"/>
    <x v="10"/>
    <n v="49395"/>
    <n v="0"/>
    <n v="1"/>
    <n v="0"/>
    <n v="0"/>
    <s v="NA"/>
    <s v="NA"/>
    <s v="NA"/>
    <s v="NA"/>
    <s v="NA"/>
    <s v="NA"/>
    <s v="NA"/>
    <n v="0"/>
    <n v="1"/>
    <n v="1"/>
    <n v="1"/>
    <n v="0"/>
    <n v="1"/>
    <n v="0"/>
    <n v="0"/>
    <n v="0"/>
    <n v="1"/>
    <n v="0"/>
    <n v="0"/>
    <n v="0"/>
  </r>
  <r>
    <s v="A6EJ7EU0KMGPL"/>
    <s v="english"/>
    <n v="32"/>
    <s v="male"/>
    <s v="test"/>
    <x v="4"/>
    <n v="20119"/>
    <n v="1"/>
    <n v="0"/>
    <n v="0"/>
    <n v="0"/>
    <s v="Dentists A and B."/>
    <s v="Dentists A, B, C, D and E."/>
    <s v="Dentist F."/>
    <s v="ms-h"/>
    <s v="exh"/>
    <s v="fa"/>
    <n v="1"/>
    <n v="0"/>
    <n v="0"/>
    <n v="1"/>
    <n v="0"/>
    <n v="0"/>
    <n v="1"/>
    <n v="0"/>
    <n v="0"/>
    <n v="0"/>
    <n v="1"/>
    <n v="0"/>
    <n v="0"/>
    <n v="0"/>
  </r>
  <r>
    <s v="A6EJ7EU0KMGPL"/>
    <s v="english"/>
    <n v="32"/>
    <s v="male"/>
    <s v="test"/>
    <x v="11"/>
    <n v="38254"/>
    <n v="1"/>
    <n v="1"/>
    <n v="0"/>
    <n v="0"/>
    <s v="Stores A and B."/>
    <s v="Store A."/>
    <s v="Stores D and E."/>
    <s v="ms-h"/>
    <s v="mo-h"/>
    <s v="ms-l"/>
    <n v="0"/>
    <n v="1"/>
    <n v="0"/>
    <n v="1"/>
    <n v="1"/>
    <n v="0"/>
    <n v="1"/>
    <n v="0"/>
    <n v="1"/>
    <n v="0"/>
    <n v="1"/>
    <n v="0"/>
    <n v="0"/>
    <n v="0"/>
  </r>
  <r>
    <s v="A6EJ7EU0KMGPL"/>
    <s v="english"/>
    <n v="32"/>
    <s v="male"/>
    <s v="control"/>
    <x v="12"/>
    <n v="35914"/>
    <n v="1"/>
    <n v="1"/>
    <n v="0"/>
    <n v="0"/>
    <s v="NA"/>
    <s v="NA"/>
    <s v="NA"/>
    <s v="NA"/>
    <s v="NA"/>
    <s v="NA"/>
    <s v="NA"/>
    <n v="1"/>
    <n v="0"/>
    <n v="1"/>
    <n v="1"/>
    <n v="0"/>
    <n v="1"/>
    <n v="0"/>
    <n v="1"/>
    <n v="0"/>
    <n v="1"/>
    <n v="0"/>
    <n v="0"/>
    <n v="0"/>
  </r>
  <r>
    <s v="A6EJ7EU0KMGPL"/>
    <s v="english"/>
    <n v="32"/>
    <s v="male"/>
    <s v="exit_quest"/>
    <x v="0"/>
    <n v="81060"/>
    <s v="No%2C they are both the same question asking about availability. Neither one ask for recommendations which is a different answer."/>
    <s v="No. All of the text was self-explanatory."/>
    <s v="No"/>
    <s v="NA"/>
    <s v="NA"/>
    <s v="NA"/>
    <s v="NA"/>
    <s v="NA"/>
    <s v="NA"/>
    <s v="NA"/>
    <s v="NA"/>
    <s v="NA"/>
    <s v="NA"/>
    <s v="NA"/>
    <s v="NA"/>
    <s v="NA"/>
    <s v="NA"/>
    <s v="NA"/>
    <s v="NA"/>
    <s v="NA"/>
    <s v="NA"/>
    <s v="NA"/>
    <s v="NA"/>
    <s v="NA"/>
  </r>
  <r>
    <s v="A1IJ9VL8YPIE3T"/>
    <s v="English "/>
    <n v="28"/>
    <s v="prefernot"/>
    <s v="consent"/>
    <x v="0"/>
    <n v="1378718"/>
    <s v="NA"/>
    <s v="NA"/>
    <s v="NA"/>
    <s v="NA"/>
    <s v="NA"/>
    <s v="NA"/>
    <s v="NA"/>
    <s v="NA"/>
    <s v="NA"/>
    <s v="NA"/>
    <s v="NA"/>
    <s v="NA"/>
    <s v="NA"/>
    <s v="NA"/>
    <s v="NA"/>
    <s v="NA"/>
    <s v="NA"/>
    <s v="NA"/>
    <s v="NA"/>
    <s v="NA"/>
    <s v="NA"/>
    <s v="NA"/>
    <s v="NA"/>
    <s v="NA"/>
  </r>
  <r>
    <s v="A1IJ9VL8YPIE3T"/>
    <s v="English "/>
    <n v="28"/>
    <s v="prefernot"/>
    <s v="train"/>
    <x v="2"/>
    <n v="78254"/>
    <n v="0"/>
    <n v="1"/>
    <n v="1"/>
    <n v="0"/>
    <s v="NA"/>
    <s v="NA"/>
    <s v="NA"/>
    <s v="NA"/>
    <s v="NA"/>
    <s v="NA"/>
    <s v="NA"/>
    <s v="NA"/>
    <s v="NA"/>
    <s v="NA"/>
    <s v="NA"/>
    <s v="NA"/>
    <s v="NA"/>
    <s v="NA"/>
    <s v="NA"/>
    <s v="NA"/>
    <s v="NA"/>
    <s v="NA"/>
    <s v="NA"/>
    <s v="NA"/>
  </r>
  <r>
    <s v="A1IJ9VL8YPIE3T"/>
    <s v="English "/>
    <n v="28"/>
    <s v="prefernot"/>
    <s v="train"/>
    <x v="1"/>
    <n v="114814"/>
    <n v="0"/>
    <n v="0"/>
    <n v="1"/>
    <n v="0"/>
    <s v="NA"/>
    <s v="NA"/>
    <s v="NA"/>
    <s v="NA"/>
    <s v="NA"/>
    <s v="NA"/>
    <s v="NA"/>
    <s v="NA"/>
    <s v="NA"/>
    <s v="NA"/>
    <s v="NA"/>
    <s v="NA"/>
    <s v="NA"/>
    <s v="NA"/>
    <s v="NA"/>
    <s v="NA"/>
    <s v="NA"/>
    <s v="NA"/>
    <s v="NA"/>
    <s v="NA"/>
  </r>
  <r>
    <s v="A1IJ9VL8YPIE3T"/>
    <s v="English "/>
    <n v="28"/>
    <s v="prefernot"/>
    <s v="test"/>
    <x v="6"/>
    <n v="209759"/>
    <n v="1"/>
    <n v="0"/>
    <n v="0"/>
    <n v="0"/>
    <s v="Cafes D and E."/>
    <s v="Cafe F."/>
    <s v="Cafes A and B."/>
    <s v="ms-l"/>
    <s v="fa"/>
    <s v="ms-h"/>
    <n v="0"/>
    <n v="0"/>
    <n v="0"/>
    <n v="1"/>
    <n v="1"/>
    <n v="0"/>
    <n v="1"/>
    <n v="0"/>
    <n v="0"/>
    <n v="0"/>
    <n v="0"/>
    <n v="1"/>
    <n v="0"/>
    <n v="0"/>
  </r>
  <r>
    <s v="A1IJ9VL8YPIE3T"/>
    <s v="English "/>
    <n v="28"/>
    <s v="prefernot"/>
    <s v="test"/>
    <x v="4"/>
    <n v="41612"/>
    <n v="0"/>
    <n v="0"/>
    <n v="0"/>
    <n v="1"/>
    <s v="Dentist F."/>
    <s v="Dentists D and E."/>
    <s v="Dentists A, B, C, D and E."/>
    <s v="fa"/>
    <s v="ms-l"/>
    <s v="exh"/>
    <n v="1"/>
    <n v="0"/>
    <n v="0"/>
    <n v="0"/>
    <n v="1"/>
    <n v="0"/>
    <n v="1"/>
    <n v="0"/>
    <n v="0"/>
    <n v="0"/>
    <n v="0"/>
    <n v="0"/>
    <n v="0"/>
    <n v="1"/>
  </r>
  <r>
    <s v="A1IJ9VL8YPIE3T"/>
    <s v="English "/>
    <n v="28"/>
    <s v="prefernot"/>
    <s v="control"/>
    <x v="7"/>
    <n v="24679"/>
    <n v="1"/>
    <n v="1"/>
    <n v="0"/>
    <n v="0"/>
    <s v="NA"/>
    <s v="NA"/>
    <s v="NA"/>
    <s v="NA"/>
    <s v="NA"/>
    <s v="NA"/>
    <s v="NA"/>
    <n v="0"/>
    <n v="0"/>
    <n v="0"/>
    <n v="1"/>
    <n v="0"/>
    <n v="1"/>
    <n v="0"/>
    <n v="0"/>
    <n v="0"/>
    <n v="0"/>
    <n v="0"/>
    <n v="0"/>
    <n v="1"/>
  </r>
  <r>
    <s v="A1IJ9VL8YPIE3T"/>
    <s v="English "/>
    <n v="28"/>
    <s v="prefernot"/>
    <s v="test"/>
    <x v="3"/>
    <n v="10313"/>
    <n v="0"/>
    <n v="1"/>
    <n v="0"/>
    <n v="0"/>
    <s v="Bookstore F."/>
    <s v="Bookstore A."/>
    <s v="Bookstores A and B."/>
    <s v="fa"/>
    <s v="mo-h"/>
    <s v="ms-h"/>
    <n v="0"/>
    <n v="1"/>
    <n v="0"/>
    <n v="1"/>
    <n v="0"/>
    <n v="0"/>
    <n v="1"/>
    <n v="0"/>
    <n v="1"/>
    <n v="0"/>
    <n v="0"/>
    <n v="0"/>
    <n v="0"/>
    <n v="0"/>
  </r>
  <r>
    <s v="A1IJ9VL8YPIE3T"/>
    <s v="English "/>
    <n v="28"/>
    <s v="prefernot"/>
    <s v="test"/>
    <x v="8"/>
    <n v="16117"/>
    <n v="0"/>
    <n v="0"/>
    <n v="1"/>
    <n v="0"/>
    <s v="Stylists A and B."/>
    <s v="Stylists D and E."/>
    <s v="Stylist A."/>
    <s v="ms-h"/>
    <s v="ms-l"/>
    <s v="mo-h"/>
    <n v="0"/>
    <n v="1"/>
    <n v="0"/>
    <n v="1"/>
    <n v="1"/>
    <n v="0"/>
    <n v="1"/>
    <n v="0"/>
    <n v="1"/>
    <n v="0"/>
    <n v="0"/>
    <n v="0"/>
    <n v="0"/>
    <n v="0"/>
  </r>
  <r>
    <s v="A1IJ9VL8YPIE3T"/>
    <s v="English "/>
    <n v="28"/>
    <s v="prefernot"/>
    <s v="control"/>
    <x v="5"/>
    <n v="34055"/>
    <n v="1"/>
    <n v="0"/>
    <n v="1"/>
    <n v="0"/>
    <s v="NA"/>
    <s v="NA"/>
    <s v="NA"/>
    <s v="NA"/>
    <s v="NA"/>
    <s v="NA"/>
    <s v="NA"/>
    <n v="1"/>
    <n v="0"/>
    <n v="1"/>
    <n v="1"/>
    <n v="0"/>
    <n v="1"/>
    <n v="0"/>
    <n v="1"/>
    <n v="0"/>
    <n v="0"/>
    <n v="0"/>
    <n v="0"/>
    <n v="0"/>
  </r>
  <r>
    <s v="A1IJ9VL8YPIE3T"/>
    <s v="English "/>
    <n v="28"/>
    <s v="prefernot"/>
    <s v="test"/>
    <x v="11"/>
    <n v="8366"/>
    <n v="1"/>
    <n v="0"/>
    <n v="0"/>
    <n v="0"/>
    <s v="Store F."/>
    <s v="Stores A and B."/>
    <s v="Stores A, B, C, D and E."/>
    <s v="fa"/>
    <s v="ms-h"/>
    <s v="exh"/>
    <n v="1"/>
    <n v="0"/>
    <n v="0"/>
    <n v="1"/>
    <n v="0"/>
    <n v="0"/>
    <n v="1"/>
    <n v="0"/>
    <n v="0"/>
    <n v="0"/>
    <n v="0"/>
    <n v="0"/>
    <n v="0"/>
    <n v="0"/>
  </r>
  <r>
    <s v="A1IJ9VL8YPIE3T"/>
    <s v="English "/>
    <n v="28"/>
    <s v="prefernot"/>
    <s v="control"/>
    <x v="12"/>
    <n v="39548"/>
    <n v="1"/>
    <n v="0"/>
    <n v="0"/>
    <n v="0"/>
    <s v="NA"/>
    <s v="NA"/>
    <s v="NA"/>
    <s v="NA"/>
    <s v="NA"/>
    <s v="NA"/>
    <s v="NA"/>
    <n v="0"/>
    <n v="0"/>
    <n v="1"/>
    <n v="0"/>
    <n v="0"/>
    <n v="1"/>
    <n v="0"/>
    <n v="0"/>
    <n v="0"/>
    <n v="0"/>
    <n v="0"/>
    <n v="0"/>
    <n v="0"/>
  </r>
  <r>
    <s v="A1IJ9VL8YPIE3T"/>
    <s v="English "/>
    <n v="28"/>
    <s v="prefernot"/>
    <s v="test"/>
    <x v="9"/>
    <n v="8252"/>
    <n v="1"/>
    <n v="0"/>
    <n v="0"/>
    <n v="0"/>
    <s v="Stall E."/>
    <s v="Stalls D and E."/>
    <s v="Stalls A and B."/>
    <s v="mo-l"/>
    <s v="ms-l"/>
    <s v="ms-h"/>
    <n v="0"/>
    <n v="0"/>
    <n v="1"/>
    <n v="1"/>
    <n v="1"/>
    <n v="0"/>
    <n v="1"/>
    <n v="0"/>
    <n v="0"/>
    <n v="1"/>
    <n v="0"/>
    <n v="0"/>
    <n v="0"/>
    <n v="0"/>
  </r>
  <r>
    <s v="A1IJ9VL8YPIE3T"/>
    <s v="English "/>
    <n v="28"/>
    <s v="prefernot"/>
    <s v="control"/>
    <x v="10"/>
    <n v="9007"/>
    <n v="0"/>
    <n v="1"/>
    <n v="0"/>
    <n v="0"/>
    <s v="NA"/>
    <s v="NA"/>
    <s v="NA"/>
    <s v="NA"/>
    <s v="NA"/>
    <s v="NA"/>
    <s v="NA"/>
    <n v="0"/>
    <n v="1"/>
    <n v="1"/>
    <n v="1"/>
    <n v="0"/>
    <n v="1"/>
    <n v="0"/>
    <n v="0"/>
    <n v="1"/>
    <n v="0"/>
    <n v="0"/>
    <n v="0"/>
    <n v="0"/>
  </r>
  <r>
    <s v="A1IJ9VL8YPIE3T"/>
    <s v="English "/>
    <n v="28"/>
    <s v="prefernot"/>
    <s v="exit_quest"/>
    <x v="0"/>
    <n v="93440"/>
    <s v="go to top rated restaurants "/>
    <s v="no"/>
    <s v="good"/>
    <s v="NA"/>
    <s v="NA"/>
    <s v="NA"/>
    <s v="NA"/>
    <s v="NA"/>
    <s v="NA"/>
    <s v="NA"/>
    <s v="NA"/>
    <s v="NA"/>
    <s v="NA"/>
    <s v="NA"/>
    <s v="NA"/>
    <s v="NA"/>
    <s v="NA"/>
    <s v="NA"/>
    <s v="NA"/>
    <s v="NA"/>
    <s v="NA"/>
    <s v="NA"/>
    <s v="NA"/>
    <s v="NA"/>
  </r>
  <r>
    <s v="A3IYDY7TO808Z3"/>
    <s v="english"/>
    <n v="32"/>
    <s v="female"/>
    <s v="consent"/>
    <x v="0"/>
    <n v="74052"/>
    <s v="NA"/>
    <s v="NA"/>
    <s v="NA"/>
    <s v="NA"/>
    <s v="NA"/>
    <s v="NA"/>
    <s v="NA"/>
    <s v="NA"/>
    <s v="NA"/>
    <s v="NA"/>
    <s v="NA"/>
    <s v="NA"/>
    <s v="NA"/>
    <s v="NA"/>
    <s v="NA"/>
    <s v="NA"/>
    <s v="NA"/>
    <s v="NA"/>
    <s v="NA"/>
    <s v="NA"/>
    <s v="NA"/>
    <s v="NA"/>
    <s v="NA"/>
    <s v="NA"/>
  </r>
  <r>
    <s v="A3IYDY7TO808Z3"/>
    <s v="english"/>
    <n v="32"/>
    <s v="female"/>
    <s v="train"/>
    <x v="2"/>
    <n v="35808"/>
    <n v="0"/>
    <n v="0"/>
    <n v="0"/>
    <n v="1"/>
    <s v="NA"/>
    <s v="NA"/>
    <s v="NA"/>
    <s v="NA"/>
    <s v="NA"/>
    <s v="NA"/>
    <s v="NA"/>
    <s v="NA"/>
    <s v="NA"/>
    <s v="NA"/>
    <s v="NA"/>
    <s v="NA"/>
    <s v="NA"/>
    <s v="NA"/>
    <s v="NA"/>
    <s v="NA"/>
    <s v="NA"/>
    <s v="NA"/>
    <s v="NA"/>
    <s v="NA"/>
  </r>
  <r>
    <s v="A3IYDY7TO808Z3"/>
    <s v="english"/>
    <n v="32"/>
    <s v="female"/>
    <s v="train"/>
    <x v="1"/>
    <n v="37824"/>
    <n v="0"/>
    <n v="0"/>
    <n v="1"/>
    <n v="0"/>
    <s v="NA"/>
    <s v="NA"/>
    <s v="NA"/>
    <s v="NA"/>
    <s v="NA"/>
    <s v="NA"/>
    <s v="NA"/>
    <s v="NA"/>
    <s v="NA"/>
    <s v="NA"/>
    <s v="NA"/>
    <s v="NA"/>
    <s v="NA"/>
    <s v="NA"/>
    <s v="NA"/>
    <s v="NA"/>
    <s v="NA"/>
    <s v="NA"/>
    <s v="NA"/>
    <s v="NA"/>
  </r>
  <r>
    <s v="A3IYDY7TO808Z3"/>
    <s v="english"/>
    <n v="32"/>
    <s v="female"/>
    <s v="test"/>
    <x v="3"/>
    <n v="55769"/>
    <n v="0"/>
    <n v="0"/>
    <n v="0"/>
    <n v="1"/>
    <s v="Bookstores A and B."/>
    <s v="Bookstore E."/>
    <s v="Bookstores D and E."/>
    <s v="ms-h"/>
    <s v="mo-l"/>
    <s v="ms-l"/>
    <n v="0"/>
    <n v="0"/>
    <n v="1"/>
    <n v="1"/>
    <n v="1"/>
    <n v="0"/>
    <n v="1"/>
    <n v="0"/>
    <n v="0"/>
    <n v="0"/>
    <n v="0"/>
    <n v="0"/>
    <n v="0"/>
    <n v="1"/>
  </r>
  <r>
    <s v="A3IYDY7TO808Z3"/>
    <s v="english"/>
    <n v="32"/>
    <s v="female"/>
    <s v="test"/>
    <x v="6"/>
    <n v="27325"/>
    <n v="0"/>
    <n v="1"/>
    <n v="0"/>
    <n v="0"/>
    <s v="Cafe E."/>
    <s v="Cafe A."/>
    <s v="Cafe F."/>
    <s v="mo-l"/>
    <s v="mo-h"/>
    <s v="fa"/>
    <n v="0"/>
    <n v="1"/>
    <n v="1"/>
    <n v="0"/>
    <n v="0"/>
    <n v="0"/>
    <n v="1"/>
    <n v="0"/>
    <n v="1"/>
    <n v="0"/>
    <n v="0"/>
    <n v="0"/>
    <n v="0"/>
    <n v="0"/>
  </r>
  <r>
    <s v="A3IYDY7TO808Z3"/>
    <s v="english"/>
    <n v="32"/>
    <s v="female"/>
    <s v="control"/>
    <x v="10"/>
    <n v="31164"/>
    <n v="0"/>
    <n v="0"/>
    <n v="1"/>
    <n v="0"/>
    <s v="NA"/>
    <s v="NA"/>
    <s v="NA"/>
    <s v="NA"/>
    <s v="NA"/>
    <s v="NA"/>
    <s v="NA"/>
    <n v="1"/>
    <n v="1"/>
    <n v="0"/>
    <n v="0"/>
    <n v="0"/>
    <n v="1"/>
    <n v="0"/>
    <n v="1"/>
    <n v="0"/>
    <n v="0"/>
    <n v="0"/>
    <n v="0"/>
    <n v="0"/>
  </r>
  <r>
    <s v="A3IYDY7TO808Z3"/>
    <s v="english"/>
    <n v="32"/>
    <s v="female"/>
    <s v="test"/>
    <x v="4"/>
    <n v="25655"/>
    <n v="0"/>
    <n v="1"/>
    <n v="0"/>
    <n v="0"/>
    <s v="Dentist E."/>
    <s v="Dentist A."/>
    <s v="Dentist F."/>
    <s v="mo-l"/>
    <s v="mo-h"/>
    <s v="fa"/>
    <n v="0"/>
    <n v="1"/>
    <n v="1"/>
    <n v="0"/>
    <n v="0"/>
    <n v="0"/>
    <n v="1"/>
    <n v="0"/>
    <n v="1"/>
    <n v="0"/>
    <n v="0"/>
    <n v="0"/>
    <n v="0"/>
    <n v="0"/>
  </r>
  <r>
    <s v="A3IYDY7TO808Z3"/>
    <s v="english"/>
    <n v="32"/>
    <s v="female"/>
    <s v="test"/>
    <x v="11"/>
    <n v="23382"/>
    <n v="0"/>
    <n v="1"/>
    <n v="1"/>
    <n v="0"/>
    <s v="Store E."/>
    <s v="Store A."/>
    <s v="Stores A, B, C, D and E."/>
    <s v="mo-l"/>
    <s v="mo-h"/>
    <s v="exh"/>
    <n v="1"/>
    <n v="1"/>
    <n v="1"/>
    <n v="0"/>
    <n v="0"/>
    <n v="0"/>
    <n v="1"/>
    <n v="1"/>
    <n v="1"/>
    <n v="0"/>
    <n v="0"/>
    <n v="0"/>
    <n v="0"/>
    <n v="0"/>
  </r>
  <r>
    <s v="A3IYDY7TO808Z3"/>
    <s v="english"/>
    <n v="32"/>
    <s v="female"/>
    <s v="control"/>
    <x v="7"/>
    <n v="32477"/>
    <n v="1"/>
    <n v="1"/>
    <n v="0"/>
    <n v="0"/>
    <s v="NA"/>
    <s v="NA"/>
    <s v="NA"/>
    <s v="NA"/>
    <s v="NA"/>
    <s v="NA"/>
    <s v="NA"/>
    <n v="1"/>
    <n v="1"/>
    <n v="0"/>
    <n v="0"/>
    <n v="0"/>
    <n v="1"/>
    <n v="1"/>
    <n v="1"/>
    <n v="0"/>
    <n v="0"/>
    <n v="0"/>
    <n v="0"/>
    <n v="0"/>
  </r>
  <r>
    <s v="A3IYDY7TO808Z3"/>
    <s v="english"/>
    <n v="32"/>
    <s v="female"/>
    <s v="test"/>
    <x v="9"/>
    <n v="38483"/>
    <n v="0"/>
    <n v="1"/>
    <n v="0"/>
    <n v="0"/>
    <s v="Stalls D and E."/>
    <s v="Stall A."/>
    <s v="Stall F."/>
    <s v="ms-l"/>
    <s v="mo-h"/>
    <s v="fa"/>
    <n v="0"/>
    <n v="1"/>
    <n v="0"/>
    <n v="0"/>
    <n v="1"/>
    <n v="0"/>
    <n v="1"/>
    <n v="0"/>
    <n v="1"/>
    <n v="0"/>
    <n v="0"/>
    <n v="0"/>
    <n v="0"/>
    <n v="0"/>
  </r>
  <r>
    <s v="A3IYDY7TO808Z3"/>
    <s v="english"/>
    <n v="32"/>
    <s v="female"/>
    <s v="control"/>
    <x v="12"/>
    <n v="20221"/>
    <n v="1"/>
    <n v="1"/>
    <n v="0"/>
    <n v="0"/>
    <s v="NA"/>
    <s v="NA"/>
    <s v="NA"/>
    <s v="NA"/>
    <s v="NA"/>
    <s v="NA"/>
    <s v="NA"/>
    <n v="1"/>
    <n v="0"/>
    <n v="0"/>
    <n v="1"/>
    <n v="0"/>
    <n v="1"/>
    <n v="0"/>
    <n v="1"/>
    <n v="0"/>
    <n v="0"/>
    <n v="0"/>
    <n v="0"/>
    <n v="0"/>
  </r>
  <r>
    <s v="A3IYDY7TO808Z3"/>
    <s v="english"/>
    <n v="32"/>
    <s v="female"/>
    <s v="test"/>
    <x v="8"/>
    <n v="52007"/>
    <n v="0"/>
    <n v="0"/>
    <n v="1"/>
    <n v="0"/>
    <s v="Stylists A and B."/>
    <s v="Stylists A, B, C, D and E."/>
    <s v="Stylist A."/>
    <s v="ms-h"/>
    <s v="exh"/>
    <s v="mo-h"/>
    <n v="1"/>
    <n v="1"/>
    <n v="0"/>
    <n v="1"/>
    <n v="0"/>
    <n v="0"/>
    <n v="1"/>
    <n v="0"/>
    <n v="1"/>
    <n v="0"/>
    <n v="0"/>
    <n v="0"/>
    <n v="0"/>
    <n v="0"/>
  </r>
  <r>
    <s v="A3IYDY7TO808Z3"/>
    <s v="english"/>
    <n v="32"/>
    <s v="female"/>
    <s v="control"/>
    <x v="5"/>
    <n v="40887"/>
    <n v="1"/>
    <n v="1"/>
    <n v="1"/>
    <n v="0"/>
    <s v="NA"/>
    <s v="NA"/>
    <s v="NA"/>
    <s v="NA"/>
    <s v="NA"/>
    <s v="NA"/>
    <s v="NA"/>
    <n v="1"/>
    <n v="0"/>
    <n v="1"/>
    <n v="0"/>
    <n v="0"/>
    <n v="1"/>
    <n v="0"/>
    <n v="1"/>
    <n v="0"/>
    <n v="0"/>
    <n v="0"/>
    <n v="0"/>
    <n v="0"/>
  </r>
  <r>
    <s v="A3IYDY7TO808Z3"/>
    <s v="english"/>
    <n v="32"/>
    <s v="female"/>
    <s v="exit_quest"/>
    <x v="0"/>
    <n v="49559"/>
    <s v="No%2C because both are asking for where brunch is served in town"/>
    <s v="Yes%2C because it's hard to infer context in so few sentences"/>
    <s v="No."/>
    <s v="NA"/>
    <s v="NA"/>
    <s v="NA"/>
    <s v="NA"/>
    <s v="NA"/>
    <s v="NA"/>
    <s v="NA"/>
    <s v="NA"/>
    <s v="NA"/>
    <s v="NA"/>
    <s v="NA"/>
    <s v="NA"/>
    <s v="NA"/>
    <s v="NA"/>
    <s v="NA"/>
    <s v="NA"/>
    <s v="NA"/>
    <s v="NA"/>
    <s v="NA"/>
    <s v="NA"/>
    <s v="NA"/>
  </r>
  <r>
    <s v="A3DEG7PE4RFCWB"/>
    <s v="english"/>
    <n v="76"/>
    <s v="female"/>
    <s v="consent"/>
    <x v="0"/>
    <n v="144168"/>
    <s v="NA"/>
    <s v="NA"/>
    <s v="NA"/>
    <s v="NA"/>
    <s v="NA"/>
    <s v="NA"/>
    <s v="NA"/>
    <s v="NA"/>
    <s v="NA"/>
    <s v="NA"/>
    <s v="NA"/>
    <s v="NA"/>
    <s v="NA"/>
    <s v="NA"/>
    <s v="NA"/>
    <s v="NA"/>
    <s v="NA"/>
    <s v="NA"/>
    <s v="NA"/>
    <s v="NA"/>
    <s v="NA"/>
    <s v="NA"/>
    <s v="NA"/>
    <s v="NA"/>
  </r>
  <r>
    <s v="A3DEG7PE4RFCWB"/>
    <s v="english"/>
    <n v="76"/>
    <s v="female"/>
    <s v="train"/>
    <x v="2"/>
    <n v="112435"/>
    <n v="0"/>
    <n v="1"/>
    <n v="1"/>
    <n v="0"/>
    <s v="NA"/>
    <s v="NA"/>
    <s v="NA"/>
    <s v="NA"/>
    <s v="NA"/>
    <s v="NA"/>
    <s v="NA"/>
    <s v="NA"/>
    <s v="NA"/>
    <s v="NA"/>
    <s v="NA"/>
    <s v="NA"/>
    <s v="NA"/>
    <s v="NA"/>
    <s v="NA"/>
    <s v="NA"/>
    <s v="NA"/>
    <s v="NA"/>
    <s v="NA"/>
    <s v="NA"/>
  </r>
  <r>
    <s v="A3DEG7PE4RFCWB"/>
    <s v="english"/>
    <n v="76"/>
    <s v="female"/>
    <s v="train"/>
    <x v="1"/>
    <n v="94331"/>
    <n v="0"/>
    <n v="0"/>
    <n v="1"/>
    <n v="0"/>
    <s v="NA"/>
    <s v="NA"/>
    <s v="NA"/>
    <s v="NA"/>
    <s v="NA"/>
    <s v="NA"/>
    <s v="NA"/>
    <s v="NA"/>
    <s v="NA"/>
    <s v="NA"/>
    <s v="NA"/>
    <s v="NA"/>
    <s v="NA"/>
    <s v="NA"/>
    <s v="NA"/>
    <s v="NA"/>
    <s v="NA"/>
    <s v="NA"/>
    <s v="NA"/>
    <s v="NA"/>
  </r>
  <r>
    <s v="A3DEG7PE4RFCWB"/>
    <s v="english"/>
    <n v="76"/>
    <s v="female"/>
    <s v="test"/>
    <x v="3"/>
    <n v="161769"/>
    <n v="0"/>
    <n v="0"/>
    <n v="0"/>
    <n v="1"/>
    <s v="Bookstores A, B, C, D and E."/>
    <s v="Bookstore E."/>
    <s v="Bookstores D and E."/>
    <s v="exh"/>
    <s v="mo-l"/>
    <s v="ms-l"/>
    <n v="1"/>
    <n v="0"/>
    <n v="1"/>
    <n v="0"/>
    <n v="1"/>
    <n v="0"/>
    <n v="1"/>
    <n v="0"/>
    <n v="0"/>
    <n v="0"/>
    <n v="0"/>
    <n v="0"/>
    <n v="0"/>
    <n v="1"/>
  </r>
  <r>
    <s v="A3DEG7PE4RFCWB"/>
    <s v="english"/>
    <n v="76"/>
    <s v="female"/>
    <s v="test"/>
    <x v="8"/>
    <n v="140383"/>
    <n v="1"/>
    <n v="0"/>
    <n v="0"/>
    <n v="0"/>
    <s v="Stylists D and E."/>
    <s v="Stylist F."/>
    <s v="Stylists A and B."/>
    <s v="ms-l"/>
    <s v="fa"/>
    <s v="ms-h"/>
    <n v="0"/>
    <n v="0"/>
    <n v="0"/>
    <n v="1"/>
    <n v="1"/>
    <n v="0"/>
    <n v="1"/>
    <n v="0"/>
    <n v="0"/>
    <n v="0"/>
    <n v="0"/>
    <n v="1"/>
    <n v="0"/>
    <n v="0"/>
  </r>
  <r>
    <s v="A3DEG7PE4RFCWB"/>
    <s v="english"/>
    <n v="76"/>
    <s v="female"/>
    <s v="control"/>
    <x v="5"/>
    <n v="113751"/>
    <n v="1"/>
    <n v="0"/>
    <n v="0"/>
    <n v="0"/>
    <s v="NA"/>
    <s v="NA"/>
    <s v="NA"/>
    <s v="NA"/>
    <s v="NA"/>
    <s v="NA"/>
    <s v="NA"/>
    <n v="0"/>
    <n v="0"/>
    <n v="1"/>
    <n v="1"/>
    <n v="0"/>
    <n v="1"/>
    <n v="0"/>
    <n v="0"/>
    <n v="0"/>
    <n v="0"/>
    <n v="1"/>
    <n v="0"/>
    <n v="0"/>
  </r>
  <r>
    <s v="A3DEG7PE4RFCWB"/>
    <s v="english"/>
    <n v="76"/>
    <s v="female"/>
    <s v="test"/>
    <x v="9"/>
    <n v="15501"/>
    <n v="0"/>
    <n v="1"/>
    <n v="0"/>
    <n v="0"/>
    <s v="Stalls D and E."/>
    <s v="Stalls A, B, C, D and E."/>
    <s v="Stall F."/>
    <s v="ms-l"/>
    <s v="exh"/>
    <s v="fa"/>
    <n v="1"/>
    <n v="0"/>
    <n v="0"/>
    <n v="0"/>
    <n v="1"/>
    <n v="0"/>
    <n v="1"/>
    <n v="1"/>
    <n v="0"/>
    <n v="0"/>
    <n v="0"/>
    <n v="0"/>
    <n v="0"/>
    <n v="0"/>
  </r>
  <r>
    <s v="A3DEG7PE4RFCWB"/>
    <s v="english"/>
    <n v="76"/>
    <s v="female"/>
    <s v="control"/>
    <x v="10"/>
    <n v="12907"/>
    <n v="0"/>
    <n v="0"/>
    <n v="1"/>
    <n v="0"/>
    <s v="NA"/>
    <s v="NA"/>
    <s v="NA"/>
    <s v="NA"/>
    <s v="NA"/>
    <s v="NA"/>
    <s v="NA"/>
    <n v="0"/>
    <n v="0"/>
    <n v="0"/>
    <n v="1"/>
    <n v="0"/>
    <n v="1"/>
    <n v="1"/>
    <n v="0"/>
    <n v="0"/>
    <n v="0"/>
    <n v="0"/>
    <n v="0"/>
    <n v="0"/>
  </r>
  <r>
    <s v="A3DEG7PE4RFCWB"/>
    <s v="english"/>
    <n v="76"/>
    <s v="female"/>
    <s v="test"/>
    <x v="6"/>
    <n v="11227"/>
    <n v="0"/>
    <n v="1"/>
    <n v="0"/>
    <n v="0"/>
    <s v="Cafes A, B, C, D and E."/>
    <s v="Cafe A."/>
    <s v="Cafe E."/>
    <s v="exh"/>
    <s v="mo-h"/>
    <s v="mo-l"/>
    <n v="1"/>
    <n v="1"/>
    <n v="1"/>
    <n v="0"/>
    <n v="0"/>
    <n v="0"/>
    <n v="1"/>
    <n v="0"/>
    <n v="1"/>
    <n v="0"/>
    <n v="0"/>
    <n v="0"/>
    <n v="0"/>
    <n v="0"/>
  </r>
  <r>
    <s v="A3DEG7PE4RFCWB"/>
    <s v="english"/>
    <n v="76"/>
    <s v="female"/>
    <s v="test"/>
    <x v="4"/>
    <n v="6453"/>
    <n v="0"/>
    <n v="1"/>
    <n v="0"/>
    <n v="0"/>
    <s v="Dentists A and B."/>
    <s v="Dentist A."/>
    <s v="Dentists D and E."/>
    <s v="ms-h"/>
    <s v="mo-h"/>
    <s v="ms-l"/>
    <n v="0"/>
    <n v="1"/>
    <n v="0"/>
    <n v="1"/>
    <n v="1"/>
    <n v="0"/>
    <n v="1"/>
    <n v="0"/>
    <n v="1"/>
    <n v="0"/>
    <n v="0"/>
    <n v="0"/>
    <n v="0"/>
    <n v="0"/>
  </r>
  <r>
    <s v="A3DEG7PE4RFCWB"/>
    <s v="english"/>
    <n v="76"/>
    <s v="female"/>
    <s v="control"/>
    <x v="7"/>
    <n v="3331"/>
    <n v="0"/>
    <n v="0"/>
    <n v="1"/>
    <n v="0"/>
    <s v="NA"/>
    <s v="NA"/>
    <s v="NA"/>
    <s v="NA"/>
    <s v="NA"/>
    <s v="NA"/>
    <s v="NA"/>
    <n v="1"/>
    <n v="0"/>
    <n v="1"/>
    <n v="1"/>
    <n v="0"/>
    <n v="1"/>
    <n v="0"/>
    <n v="1"/>
    <n v="0"/>
    <n v="0"/>
    <n v="0"/>
    <n v="0"/>
    <n v="0"/>
  </r>
  <r>
    <s v="A3DEG7PE4RFCWB"/>
    <s v="english"/>
    <n v="76"/>
    <s v="female"/>
    <s v="test"/>
    <x v="11"/>
    <n v="2778"/>
    <n v="0"/>
    <n v="1"/>
    <n v="0"/>
    <n v="0"/>
    <s v="Store E."/>
    <s v="Store A."/>
    <s v="Stores A, B, C, D and E."/>
    <s v="mo-l"/>
    <s v="mo-h"/>
    <s v="exh"/>
    <n v="1"/>
    <n v="1"/>
    <n v="1"/>
    <n v="0"/>
    <n v="0"/>
    <n v="0"/>
    <n v="1"/>
    <n v="0"/>
    <n v="1"/>
    <n v="0"/>
    <n v="0"/>
    <n v="0"/>
    <n v="0"/>
    <n v="0"/>
  </r>
  <r>
    <s v="A3DEG7PE4RFCWB"/>
    <s v="english"/>
    <n v="76"/>
    <s v="female"/>
    <s v="control"/>
    <x v="12"/>
    <n v="3835"/>
    <n v="0"/>
    <n v="1"/>
    <n v="0"/>
    <n v="0"/>
    <s v="NA"/>
    <s v="NA"/>
    <s v="NA"/>
    <s v="NA"/>
    <s v="NA"/>
    <s v="NA"/>
    <s v="NA"/>
    <n v="1"/>
    <n v="1"/>
    <n v="0"/>
    <n v="0"/>
    <n v="0"/>
    <n v="1"/>
    <n v="0"/>
    <n v="1"/>
    <n v="0"/>
    <n v="0"/>
    <n v="0"/>
    <n v="0"/>
    <n v="0"/>
  </r>
  <r>
    <s v="A3DEG7PE4RFCWB"/>
    <s v="english"/>
    <n v="76"/>
    <s v="female"/>
    <s v="exit_quest"/>
    <x v="0"/>
    <n v="261219"/>
    <s v="we would go for the famous restaurant in this place for brunch in town."/>
    <s v="Its very difficult to decide."/>
    <s v="nice"/>
    <s v="NA"/>
    <s v="NA"/>
    <s v="NA"/>
    <s v="NA"/>
    <s v="NA"/>
    <s v="NA"/>
    <s v="NA"/>
    <s v="NA"/>
    <s v="NA"/>
    <s v="NA"/>
    <s v="NA"/>
    <s v="NA"/>
    <s v="NA"/>
    <s v="NA"/>
    <s v="NA"/>
    <s v="NA"/>
    <s v="NA"/>
    <s v="NA"/>
    <s v="NA"/>
    <s v="NA"/>
    <s v="NA"/>
  </r>
  <r>
    <s v="AHZ7C7ETHYX3N"/>
    <s v="english"/>
    <n v="60"/>
    <s v="male"/>
    <s v="consent"/>
    <x v="0"/>
    <n v="19078"/>
    <s v="NA"/>
    <s v="NA"/>
    <s v="NA"/>
    <s v="NA"/>
    <s v="NA"/>
    <s v="NA"/>
    <s v="NA"/>
    <s v="NA"/>
    <s v="NA"/>
    <s v="NA"/>
    <s v="NA"/>
    <s v="NA"/>
    <s v="NA"/>
    <s v="NA"/>
    <s v="NA"/>
    <s v="NA"/>
    <s v="NA"/>
    <s v="NA"/>
    <s v="NA"/>
    <s v="NA"/>
    <s v="NA"/>
    <s v="NA"/>
    <s v="NA"/>
    <s v="NA"/>
  </r>
  <r>
    <s v="AHZ7C7ETHYX3N"/>
    <s v="english"/>
    <n v="60"/>
    <s v="male"/>
    <s v="train"/>
    <x v="2"/>
    <n v="36576"/>
    <n v="0"/>
    <n v="0"/>
    <n v="0"/>
    <n v="1"/>
    <s v="NA"/>
    <s v="NA"/>
    <s v="NA"/>
    <s v="NA"/>
    <s v="NA"/>
    <s v="NA"/>
    <s v="NA"/>
    <s v="NA"/>
    <s v="NA"/>
    <s v="NA"/>
    <s v="NA"/>
    <s v="NA"/>
    <s v="NA"/>
    <s v="NA"/>
    <s v="NA"/>
    <s v="NA"/>
    <s v="NA"/>
    <s v="NA"/>
    <s v="NA"/>
    <s v="NA"/>
  </r>
  <r>
    <s v="AHZ7C7ETHYX3N"/>
    <s v="english"/>
    <n v="60"/>
    <s v="male"/>
    <s v="train"/>
    <x v="1"/>
    <n v="24344"/>
    <n v="0"/>
    <n v="0"/>
    <n v="1"/>
    <n v="0"/>
    <s v="NA"/>
    <s v="NA"/>
    <s v="NA"/>
    <s v="NA"/>
    <s v="NA"/>
    <s v="NA"/>
    <s v="NA"/>
    <s v="NA"/>
    <s v="NA"/>
    <s v="NA"/>
    <s v="NA"/>
    <s v="NA"/>
    <s v="NA"/>
    <s v="NA"/>
    <s v="NA"/>
    <s v="NA"/>
    <s v="NA"/>
    <s v="NA"/>
    <s v="NA"/>
    <s v="NA"/>
  </r>
  <r>
    <s v="AHZ7C7ETHYX3N"/>
    <s v="english"/>
    <n v="60"/>
    <s v="male"/>
    <s v="test"/>
    <x v="8"/>
    <n v="52190"/>
    <n v="0"/>
    <n v="0"/>
    <n v="0"/>
    <n v="1"/>
    <s v="Stylists D and E."/>
    <s v="Stylists A, B, C, D and E."/>
    <s v="Stylists A and B."/>
    <s v="ms-l"/>
    <s v="exh"/>
    <s v="ms-h"/>
    <n v="1"/>
    <n v="0"/>
    <n v="0"/>
    <n v="1"/>
    <n v="1"/>
    <n v="0"/>
    <n v="1"/>
    <n v="0"/>
    <n v="0"/>
    <n v="0"/>
    <n v="0"/>
    <n v="0"/>
    <n v="0"/>
    <n v="1"/>
  </r>
  <r>
    <s v="AHZ7C7ETHYX3N"/>
    <s v="english"/>
    <n v="60"/>
    <s v="male"/>
    <s v="test"/>
    <x v="6"/>
    <n v="50710"/>
    <n v="1"/>
    <n v="1"/>
    <n v="1"/>
    <n v="0"/>
    <s v="Cafe E."/>
    <s v="Cafes A and B."/>
    <s v="Cafe A."/>
    <s v="mo-l"/>
    <s v="ms-h"/>
    <s v="mo-h"/>
    <n v="0"/>
    <n v="1"/>
    <n v="1"/>
    <n v="1"/>
    <n v="0"/>
    <n v="0"/>
    <n v="1"/>
    <n v="0"/>
    <n v="1"/>
    <n v="1"/>
    <n v="1"/>
    <n v="0"/>
    <n v="0"/>
    <n v="0"/>
  </r>
  <r>
    <s v="AHZ7C7ETHYX3N"/>
    <s v="english"/>
    <n v="60"/>
    <s v="male"/>
    <s v="control"/>
    <x v="10"/>
    <n v="26632"/>
    <n v="1"/>
    <n v="1"/>
    <n v="1"/>
    <n v="0"/>
    <s v="NA"/>
    <s v="NA"/>
    <s v="NA"/>
    <s v="NA"/>
    <s v="NA"/>
    <s v="NA"/>
    <s v="NA"/>
    <n v="1"/>
    <n v="1"/>
    <n v="1"/>
    <n v="0"/>
    <n v="0"/>
    <n v="1"/>
    <n v="0"/>
    <n v="1"/>
    <n v="1"/>
    <n v="1"/>
    <n v="0"/>
    <n v="0"/>
    <n v="0"/>
  </r>
  <r>
    <s v="AHZ7C7ETHYX3N"/>
    <s v="english"/>
    <n v="60"/>
    <s v="male"/>
    <s v="test"/>
    <x v="4"/>
    <n v="23448"/>
    <n v="0"/>
    <n v="0"/>
    <n v="0"/>
    <n v="1"/>
    <s v="Dentists A and B."/>
    <s v="Dentist E."/>
    <s v="Dentist A."/>
    <s v="ms-h"/>
    <s v="mo-l"/>
    <s v="mo-h"/>
    <n v="0"/>
    <n v="1"/>
    <n v="1"/>
    <n v="1"/>
    <n v="0"/>
    <n v="0"/>
    <n v="1"/>
    <n v="0"/>
    <n v="0"/>
    <n v="0"/>
    <n v="0"/>
    <n v="0"/>
    <n v="0"/>
    <n v="1"/>
  </r>
  <r>
    <s v="AHZ7C7ETHYX3N"/>
    <s v="english"/>
    <n v="60"/>
    <s v="male"/>
    <s v="control"/>
    <x v="7"/>
    <n v="13192"/>
    <n v="1"/>
    <n v="1"/>
    <n v="0"/>
    <n v="0"/>
    <s v="NA"/>
    <s v="NA"/>
    <s v="NA"/>
    <s v="NA"/>
    <s v="NA"/>
    <s v="NA"/>
    <s v="NA"/>
    <n v="1"/>
    <n v="1"/>
    <n v="1"/>
    <n v="0"/>
    <n v="0"/>
    <n v="1"/>
    <n v="0"/>
    <n v="0"/>
    <n v="0"/>
    <n v="0"/>
    <n v="0"/>
    <n v="0"/>
    <n v="1"/>
  </r>
  <r>
    <s v="AHZ7C7ETHYX3N"/>
    <s v="english"/>
    <n v="60"/>
    <s v="male"/>
    <s v="test"/>
    <x v="9"/>
    <n v="24292"/>
    <n v="1"/>
    <n v="1"/>
    <n v="1"/>
    <n v="0"/>
    <s v="Stalls A and B."/>
    <s v="Stalls D and E."/>
    <s v="Stalls A, B, C, D and E."/>
    <s v="ms-h"/>
    <s v="ms-l"/>
    <s v="exh"/>
    <n v="1"/>
    <n v="0"/>
    <n v="0"/>
    <n v="1"/>
    <n v="1"/>
    <n v="0"/>
    <n v="1"/>
    <n v="1"/>
    <n v="0"/>
    <n v="0"/>
    <n v="1"/>
    <n v="1"/>
    <n v="0"/>
    <n v="0"/>
  </r>
  <r>
    <s v="AHZ7C7ETHYX3N"/>
    <s v="english"/>
    <n v="60"/>
    <s v="male"/>
    <s v="test"/>
    <x v="3"/>
    <n v="32230"/>
    <n v="1"/>
    <n v="1"/>
    <n v="1"/>
    <n v="0"/>
    <s v="Bookstore A."/>
    <s v="Bookstores A, B, C, D and E."/>
    <s v="Bookstore E."/>
    <s v="mo-h"/>
    <s v="exh"/>
    <s v="mo-l"/>
    <n v="1"/>
    <n v="1"/>
    <n v="1"/>
    <n v="0"/>
    <n v="0"/>
    <n v="0"/>
    <n v="1"/>
    <n v="1"/>
    <n v="1"/>
    <n v="1"/>
    <n v="0"/>
    <n v="0"/>
    <n v="0"/>
    <n v="0"/>
  </r>
  <r>
    <s v="AHZ7C7ETHYX3N"/>
    <s v="english"/>
    <n v="60"/>
    <s v="male"/>
    <s v="control"/>
    <x v="12"/>
    <n v="18070"/>
    <n v="1"/>
    <n v="0"/>
    <n v="0"/>
    <n v="0"/>
    <s v="NA"/>
    <s v="NA"/>
    <s v="NA"/>
    <s v="NA"/>
    <s v="NA"/>
    <s v="NA"/>
    <s v="NA"/>
    <n v="1"/>
    <n v="1"/>
    <n v="0"/>
    <n v="0"/>
    <n v="0"/>
    <n v="1"/>
    <n v="1"/>
    <n v="1"/>
    <n v="1"/>
    <n v="0"/>
    <n v="0"/>
    <n v="0"/>
    <n v="0"/>
  </r>
  <r>
    <s v="AHZ7C7ETHYX3N"/>
    <s v="english"/>
    <n v="60"/>
    <s v="male"/>
    <s v="test"/>
    <x v="11"/>
    <n v="26118"/>
    <n v="1"/>
    <n v="1"/>
    <n v="1"/>
    <n v="0"/>
    <s v="Stores D and E."/>
    <s v="Store E."/>
    <s v="Stores A and B."/>
    <s v="ms-l"/>
    <s v="mo-l"/>
    <s v="ms-h"/>
    <n v="0"/>
    <n v="0"/>
    <n v="1"/>
    <n v="1"/>
    <n v="1"/>
    <n v="0"/>
    <n v="1"/>
    <n v="0"/>
    <n v="0"/>
    <n v="1"/>
    <n v="1"/>
    <n v="1"/>
    <n v="0"/>
    <n v="0"/>
  </r>
  <r>
    <s v="AHZ7C7ETHYX3N"/>
    <s v="english"/>
    <n v="60"/>
    <s v="male"/>
    <s v="control"/>
    <x v="5"/>
    <n v="29130"/>
    <n v="0"/>
    <n v="0"/>
    <n v="0"/>
    <n v="1"/>
    <s v="NA"/>
    <s v="NA"/>
    <s v="NA"/>
    <s v="NA"/>
    <s v="NA"/>
    <s v="NA"/>
    <s v="NA"/>
    <n v="0"/>
    <n v="1"/>
    <n v="1"/>
    <n v="1"/>
    <n v="0"/>
    <n v="1"/>
    <n v="0"/>
    <n v="0"/>
    <n v="1"/>
    <n v="1"/>
    <n v="1"/>
    <n v="0"/>
    <n v="0"/>
  </r>
  <r>
    <s v="AHZ7C7ETHYX3N"/>
    <s v="english"/>
    <n v="60"/>
    <s v="male"/>
    <s v="exit_quest"/>
    <x v="0"/>
    <n v="67502"/>
    <s v="I would answer the same%2C it the same question asked in two different ways"/>
    <s v="not difficult but a little confusing"/>
    <s v="no"/>
    <s v="NA"/>
    <s v="NA"/>
    <s v="NA"/>
    <s v="NA"/>
    <s v="NA"/>
    <s v="NA"/>
    <s v="NA"/>
    <s v="NA"/>
    <s v="NA"/>
    <s v="NA"/>
    <s v="NA"/>
    <s v="NA"/>
    <s v="NA"/>
    <s v="NA"/>
    <s v="NA"/>
    <s v="NA"/>
    <s v="NA"/>
    <s v="NA"/>
    <s v="NA"/>
    <s v="NA"/>
    <s v="NA"/>
  </r>
  <r>
    <s v="AT13EK8JER5C3"/>
    <s v="english"/>
    <n v="28"/>
    <s v="male"/>
    <s v="consent"/>
    <x v="0"/>
    <n v="23313"/>
    <s v="NA"/>
    <s v="NA"/>
    <s v="NA"/>
    <s v="NA"/>
    <s v="NA"/>
    <s v="NA"/>
    <s v="NA"/>
    <s v="NA"/>
    <s v="NA"/>
    <s v="NA"/>
    <s v="NA"/>
    <s v="NA"/>
    <s v="NA"/>
    <s v="NA"/>
    <s v="NA"/>
    <s v="NA"/>
    <s v="NA"/>
    <s v="NA"/>
    <s v="NA"/>
    <s v="NA"/>
    <s v="NA"/>
    <s v="NA"/>
    <s v="NA"/>
    <s v="NA"/>
  </r>
  <r>
    <s v="AT13EK8JER5C3"/>
    <s v="english"/>
    <n v="28"/>
    <s v="male"/>
    <s v="train"/>
    <x v="1"/>
    <n v="14788"/>
    <n v="0"/>
    <n v="0"/>
    <n v="1"/>
    <n v="0"/>
    <s v="NA"/>
    <s v="NA"/>
    <s v="NA"/>
    <s v="NA"/>
    <s v="NA"/>
    <s v="NA"/>
    <s v="NA"/>
    <s v="NA"/>
    <s v="NA"/>
    <s v="NA"/>
    <s v="NA"/>
    <s v="NA"/>
    <s v="NA"/>
    <s v="NA"/>
    <s v="NA"/>
    <s v="NA"/>
    <s v="NA"/>
    <s v="NA"/>
    <s v="NA"/>
    <s v="NA"/>
  </r>
  <r>
    <s v="AT13EK8JER5C3"/>
    <s v="english"/>
    <n v="28"/>
    <s v="male"/>
    <s v="train"/>
    <x v="2"/>
    <n v="15600"/>
    <n v="0"/>
    <n v="1"/>
    <n v="0"/>
    <n v="0"/>
    <s v="NA"/>
    <s v="NA"/>
    <s v="NA"/>
    <s v="NA"/>
    <s v="NA"/>
    <s v="NA"/>
    <s v="NA"/>
    <s v="NA"/>
    <s v="NA"/>
    <s v="NA"/>
    <s v="NA"/>
    <s v="NA"/>
    <s v="NA"/>
    <s v="NA"/>
    <s v="NA"/>
    <s v="NA"/>
    <s v="NA"/>
    <s v="NA"/>
    <s v="NA"/>
    <s v="NA"/>
  </r>
  <r>
    <s v="AT13EK8JER5C3"/>
    <s v="english"/>
    <n v="28"/>
    <s v="male"/>
    <s v="test"/>
    <x v="8"/>
    <n v="30595"/>
    <n v="0"/>
    <n v="0"/>
    <n v="0"/>
    <n v="1"/>
    <s v="Stylist E."/>
    <s v="Stylists A and B."/>
    <s v="Stylist A."/>
    <s v="mo-l"/>
    <s v="ms-h"/>
    <s v="mo-h"/>
    <n v="0"/>
    <n v="1"/>
    <n v="1"/>
    <n v="1"/>
    <n v="0"/>
    <n v="0"/>
    <n v="1"/>
    <n v="0"/>
    <n v="0"/>
    <n v="0"/>
    <n v="0"/>
    <n v="0"/>
    <n v="0"/>
    <n v="1"/>
  </r>
  <r>
    <s v="AT13EK8JER5C3"/>
    <s v="english"/>
    <n v="28"/>
    <s v="male"/>
    <s v="test"/>
    <x v="4"/>
    <n v="10910"/>
    <n v="0"/>
    <n v="0"/>
    <n v="0"/>
    <n v="1"/>
    <s v="Dentists A and B."/>
    <s v="Dentist E."/>
    <s v="Dentist A."/>
    <s v="ms-h"/>
    <s v="mo-l"/>
    <s v="mo-h"/>
    <n v="0"/>
    <n v="1"/>
    <n v="1"/>
    <n v="1"/>
    <n v="0"/>
    <n v="0"/>
    <n v="1"/>
    <n v="0"/>
    <n v="0"/>
    <n v="0"/>
    <n v="0"/>
    <n v="0"/>
    <n v="0"/>
    <n v="1"/>
  </r>
  <r>
    <s v="AT13EK8JER5C3"/>
    <s v="english"/>
    <n v="28"/>
    <s v="male"/>
    <s v="control"/>
    <x v="5"/>
    <n v="10835"/>
    <n v="0"/>
    <n v="0"/>
    <n v="1"/>
    <n v="0"/>
    <s v="NA"/>
    <s v="NA"/>
    <s v="NA"/>
    <s v="NA"/>
    <s v="NA"/>
    <s v="NA"/>
    <s v="NA"/>
    <n v="1"/>
    <n v="1"/>
    <n v="1"/>
    <n v="0"/>
    <n v="0"/>
    <n v="1"/>
    <n v="0"/>
    <n v="0"/>
    <n v="0"/>
    <n v="0"/>
    <n v="0"/>
    <n v="0"/>
    <n v="1"/>
  </r>
  <r>
    <s v="AT13EK8JER5C3"/>
    <s v="english"/>
    <n v="28"/>
    <s v="male"/>
    <s v="test"/>
    <x v="11"/>
    <n v="4197"/>
    <n v="0"/>
    <n v="0"/>
    <n v="1"/>
    <n v="0"/>
    <s v="Stores A and B."/>
    <s v="Stores D and E."/>
    <s v="Store E."/>
    <s v="ms-h"/>
    <s v="ms-l"/>
    <s v="mo-l"/>
    <n v="0"/>
    <n v="0"/>
    <n v="1"/>
    <n v="1"/>
    <n v="1"/>
    <n v="0"/>
    <n v="1"/>
    <n v="0"/>
    <n v="0"/>
    <n v="1"/>
    <n v="0"/>
    <n v="0"/>
    <n v="0"/>
    <n v="0"/>
  </r>
  <r>
    <s v="AT13EK8JER5C3"/>
    <s v="english"/>
    <n v="28"/>
    <s v="male"/>
    <s v="control"/>
    <x v="12"/>
    <n v="4574"/>
    <n v="0"/>
    <n v="0"/>
    <n v="1"/>
    <n v="0"/>
    <s v="NA"/>
    <s v="NA"/>
    <s v="NA"/>
    <s v="NA"/>
    <s v="NA"/>
    <s v="NA"/>
    <s v="NA"/>
    <n v="0"/>
    <n v="1"/>
    <n v="1"/>
    <n v="1"/>
    <n v="0"/>
    <n v="1"/>
    <n v="0"/>
    <n v="0"/>
    <n v="1"/>
    <n v="0"/>
    <n v="0"/>
    <n v="0"/>
    <n v="0"/>
  </r>
  <r>
    <s v="AT13EK8JER5C3"/>
    <s v="english"/>
    <n v="28"/>
    <s v="male"/>
    <s v="test"/>
    <x v="9"/>
    <n v="5252"/>
    <n v="0"/>
    <n v="1"/>
    <n v="0"/>
    <n v="0"/>
    <s v="Stalls A, B, C, D and E."/>
    <s v="Stall A."/>
    <s v="Stall E."/>
    <s v="exh"/>
    <s v="mo-h"/>
    <s v="mo-l"/>
    <n v="1"/>
    <n v="1"/>
    <n v="1"/>
    <n v="0"/>
    <n v="0"/>
    <n v="0"/>
    <n v="1"/>
    <n v="0"/>
    <n v="1"/>
    <n v="0"/>
    <n v="0"/>
    <n v="0"/>
    <n v="0"/>
    <n v="0"/>
  </r>
  <r>
    <s v="AT13EK8JER5C3"/>
    <s v="english"/>
    <n v="28"/>
    <s v="male"/>
    <s v="test"/>
    <x v="3"/>
    <n v="3094"/>
    <n v="0"/>
    <n v="1"/>
    <n v="0"/>
    <n v="0"/>
    <s v="Bookstore A."/>
    <s v="Bookstores A and B."/>
    <s v="Bookstores D and E."/>
    <s v="mo-h"/>
    <s v="ms-h"/>
    <s v="ms-l"/>
    <n v="0"/>
    <n v="1"/>
    <n v="0"/>
    <n v="1"/>
    <n v="1"/>
    <n v="0"/>
    <n v="1"/>
    <n v="0"/>
    <n v="0"/>
    <n v="0"/>
    <n v="1"/>
    <n v="0"/>
    <n v="0"/>
    <n v="0"/>
  </r>
  <r>
    <s v="AT13EK8JER5C3"/>
    <s v="english"/>
    <n v="28"/>
    <s v="male"/>
    <s v="control"/>
    <x v="10"/>
    <n v="2655"/>
    <n v="0"/>
    <n v="0"/>
    <n v="1"/>
    <n v="0"/>
    <s v="NA"/>
    <s v="NA"/>
    <s v="NA"/>
    <s v="NA"/>
    <s v="NA"/>
    <s v="NA"/>
    <s v="NA"/>
    <n v="1"/>
    <n v="0"/>
    <n v="1"/>
    <n v="1"/>
    <n v="0"/>
    <n v="1"/>
    <n v="0"/>
    <n v="0"/>
    <n v="0"/>
    <n v="1"/>
    <n v="0"/>
    <n v="0"/>
    <n v="0"/>
  </r>
  <r>
    <s v="AT13EK8JER5C3"/>
    <s v="english"/>
    <n v="28"/>
    <s v="male"/>
    <s v="test"/>
    <x v="6"/>
    <n v="5226"/>
    <n v="0"/>
    <n v="0"/>
    <n v="1"/>
    <n v="0"/>
    <s v="Cafes D and E."/>
    <s v="Cafe E."/>
    <s v="Cafe A."/>
    <s v="ms-l"/>
    <s v="mo-l"/>
    <s v="mo-h"/>
    <n v="0"/>
    <n v="1"/>
    <n v="1"/>
    <n v="0"/>
    <n v="1"/>
    <n v="0"/>
    <n v="1"/>
    <n v="0"/>
    <n v="1"/>
    <n v="0"/>
    <n v="0"/>
    <n v="0"/>
    <n v="0"/>
    <n v="0"/>
  </r>
  <r>
    <s v="AT13EK8JER5C3"/>
    <s v="english"/>
    <n v="28"/>
    <s v="male"/>
    <s v="control"/>
    <x v="7"/>
    <n v="2203"/>
    <n v="0"/>
    <n v="1"/>
    <n v="0"/>
    <n v="0"/>
    <s v="NA"/>
    <s v="NA"/>
    <s v="NA"/>
    <s v="NA"/>
    <s v="NA"/>
    <s v="NA"/>
    <s v="NA"/>
    <n v="1"/>
    <n v="1"/>
    <n v="0"/>
    <n v="1"/>
    <n v="0"/>
    <n v="1"/>
    <n v="0"/>
    <n v="1"/>
    <n v="0"/>
    <n v="0"/>
    <n v="0"/>
    <n v="0"/>
    <n v="0"/>
  </r>
  <r>
    <s v="AT13EK8JER5C3"/>
    <s v="english"/>
    <n v="28"/>
    <s v="male"/>
    <s v="exit_quest"/>
    <x v="0"/>
    <n v="5965"/>
    <m/>
    <m/>
    <m/>
    <s v="NA"/>
    <s v="NA"/>
    <s v="NA"/>
    <s v="NA"/>
    <s v="NA"/>
    <s v="NA"/>
    <s v="NA"/>
    <s v="NA"/>
    <s v="NA"/>
    <s v="NA"/>
    <s v="NA"/>
    <s v="NA"/>
    <s v="NA"/>
    <s v="NA"/>
    <s v="NA"/>
    <s v="NA"/>
    <s v="NA"/>
    <s v="NA"/>
    <s v="NA"/>
    <s v="NA"/>
    <s v="NA"/>
  </r>
  <r>
    <s v="A1AWHHBTJF1XCH"/>
    <s v="english"/>
    <n v="44"/>
    <s v="female"/>
    <s v="consent"/>
    <x v="0"/>
    <n v="44657"/>
    <s v="NA"/>
    <s v="NA"/>
    <s v="NA"/>
    <s v="NA"/>
    <s v="NA"/>
    <s v="NA"/>
    <s v="NA"/>
    <s v="NA"/>
    <s v="NA"/>
    <s v="NA"/>
    <s v="NA"/>
    <s v="NA"/>
    <s v="NA"/>
    <s v="NA"/>
    <s v="NA"/>
    <s v="NA"/>
    <s v="NA"/>
    <s v="NA"/>
    <s v="NA"/>
    <s v="NA"/>
    <s v="NA"/>
    <s v="NA"/>
    <s v="NA"/>
    <s v="NA"/>
  </r>
  <r>
    <s v="A1AWHHBTJF1XCH"/>
    <s v="english"/>
    <n v="44"/>
    <s v="female"/>
    <s v="train"/>
    <x v="2"/>
    <n v="63943"/>
    <n v="0"/>
    <n v="0"/>
    <n v="0"/>
    <n v="1"/>
    <s v="NA"/>
    <s v="NA"/>
    <s v="NA"/>
    <s v="NA"/>
    <s v="NA"/>
    <s v="NA"/>
    <s v="NA"/>
    <s v="NA"/>
    <s v="NA"/>
    <s v="NA"/>
    <s v="NA"/>
    <s v="NA"/>
    <s v="NA"/>
    <s v="NA"/>
    <s v="NA"/>
    <s v="NA"/>
    <s v="NA"/>
    <s v="NA"/>
    <s v="NA"/>
    <s v="NA"/>
  </r>
  <r>
    <s v="A1AWHHBTJF1XCH"/>
    <s v="english"/>
    <n v="44"/>
    <s v="female"/>
    <s v="train"/>
    <x v="1"/>
    <n v="102078"/>
    <n v="0"/>
    <n v="0"/>
    <n v="0"/>
    <n v="1"/>
    <s v="NA"/>
    <s v="NA"/>
    <s v="NA"/>
    <s v="NA"/>
    <s v="NA"/>
    <s v="NA"/>
    <s v="NA"/>
    <s v="NA"/>
    <s v="NA"/>
    <s v="NA"/>
    <s v="NA"/>
    <s v="NA"/>
    <s v="NA"/>
    <s v="NA"/>
    <s v="NA"/>
    <s v="NA"/>
    <s v="NA"/>
    <s v="NA"/>
    <s v="NA"/>
    <s v="NA"/>
  </r>
  <r>
    <s v="A1AWHHBTJF1XCH"/>
    <s v="english"/>
    <n v="44"/>
    <s v="female"/>
    <s v="test"/>
    <x v="9"/>
    <n v="93175"/>
    <n v="0"/>
    <n v="0"/>
    <n v="0"/>
    <n v="1"/>
    <s v="Stall A."/>
    <s v="Stall E."/>
    <s v="Stalls D and E."/>
    <s v="mo-h"/>
    <s v="mo-l"/>
    <s v="ms-l"/>
    <n v="0"/>
    <n v="1"/>
    <n v="1"/>
    <n v="0"/>
    <n v="1"/>
    <n v="0"/>
    <n v="1"/>
    <n v="0"/>
    <n v="0"/>
    <n v="0"/>
    <n v="0"/>
    <n v="0"/>
    <n v="0"/>
    <n v="1"/>
  </r>
  <r>
    <s v="A1AWHHBTJF1XCH"/>
    <s v="english"/>
    <n v="44"/>
    <s v="female"/>
    <s v="test"/>
    <x v="6"/>
    <n v="67021"/>
    <n v="0"/>
    <n v="0"/>
    <n v="0"/>
    <n v="1"/>
    <s v="Cafes D and E."/>
    <s v="Cafe A."/>
    <s v="Cafe E."/>
    <s v="ms-l"/>
    <s v="mo-h"/>
    <s v="mo-l"/>
    <n v="0"/>
    <n v="1"/>
    <n v="1"/>
    <n v="0"/>
    <n v="1"/>
    <n v="0"/>
    <n v="1"/>
    <n v="0"/>
    <n v="0"/>
    <n v="0"/>
    <n v="0"/>
    <n v="0"/>
    <n v="0"/>
    <n v="1"/>
  </r>
  <r>
    <s v="A1AWHHBTJF1XCH"/>
    <s v="english"/>
    <n v="44"/>
    <s v="female"/>
    <s v="control"/>
    <x v="12"/>
    <n v="41136"/>
    <n v="1"/>
    <n v="0"/>
    <n v="0"/>
    <n v="0"/>
    <s v="NA"/>
    <s v="NA"/>
    <s v="NA"/>
    <s v="NA"/>
    <s v="NA"/>
    <s v="NA"/>
    <s v="NA"/>
    <n v="1"/>
    <n v="1"/>
    <n v="0"/>
    <n v="1"/>
    <n v="0"/>
    <n v="1"/>
    <n v="0"/>
    <n v="0"/>
    <n v="0"/>
    <n v="0"/>
    <n v="0"/>
    <n v="0"/>
    <n v="1"/>
  </r>
  <r>
    <s v="A1AWHHBTJF1XCH"/>
    <s v="english"/>
    <n v="44"/>
    <s v="female"/>
    <s v="test"/>
    <x v="11"/>
    <n v="98068"/>
    <n v="0"/>
    <n v="0"/>
    <n v="0"/>
    <n v="1"/>
    <s v="Store A."/>
    <s v="Store F."/>
    <s v="Stores A and B."/>
    <s v="mo-h"/>
    <s v="fa"/>
    <s v="ms-h"/>
    <n v="0"/>
    <n v="1"/>
    <n v="0"/>
    <n v="1"/>
    <n v="0"/>
    <n v="0"/>
    <n v="1"/>
    <n v="0"/>
    <n v="0"/>
    <n v="0"/>
    <n v="0"/>
    <n v="0"/>
    <n v="0"/>
    <n v="1"/>
  </r>
  <r>
    <s v="A1AWHHBTJF1XCH"/>
    <s v="english"/>
    <n v="44"/>
    <s v="female"/>
    <s v="control"/>
    <x v="10"/>
    <n v="67003"/>
    <n v="0"/>
    <n v="0"/>
    <n v="1"/>
    <n v="0"/>
    <s v="NA"/>
    <s v="NA"/>
    <s v="NA"/>
    <s v="NA"/>
    <s v="NA"/>
    <s v="NA"/>
    <s v="NA"/>
    <n v="1"/>
    <n v="0"/>
    <n v="1"/>
    <n v="0"/>
    <n v="0"/>
    <n v="1"/>
    <n v="0"/>
    <n v="0"/>
    <n v="0"/>
    <n v="0"/>
    <n v="0"/>
    <n v="0"/>
    <n v="1"/>
  </r>
  <r>
    <s v="A1AWHHBTJF1XCH"/>
    <s v="english"/>
    <n v="44"/>
    <s v="female"/>
    <s v="test"/>
    <x v="4"/>
    <n v="21467"/>
    <n v="0"/>
    <n v="0"/>
    <n v="0"/>
    <n v="1"/>
    <s v="Dentists D and E."/>
    <s v="Dentists A and B."/>
    <s v="Dentists A, B, C, D and E."/>
    <s v="ms-l"/>
    <s v="ms-h"/>
    <s v="exh"/>
    <n v="1"/>
    <n v="0"/>
    <n v="0"/>
    <n v="1"/>
    <n v="1"/>
    <n v="0"/>
    <n v="1"/>
    <n v="0"/>
    <n v="0"/>
    <n v="0"/>
    <n v="0"/>
    <n v="0"/>
    <n v="0"/>
    <n v="1"/>
  </r>
  <r>
    <s v="A1AWHHBTJF1XCH"/>
    <s v="english"/>
    <n v="44"/>
    <s v="female"/>
    <s v="test"/>
    <x v="3"/>
    <n v="23856"/>
    <n v="0"/>
    <n v="0"/>
    <n v="0"/>
    <n v="1"/>
    <s v="Bookstore F."/>
    <s v="Bookstores D and E."/>
    <s v="Bookstores A and B."/>
    <s v="fa"/>
    <s v="ms-l"/>
    <s v="ms-h"/>
    <n v="0"/>
    <n v="0"/>
    <n v="0"/>
    <n v="1"/>
    <n v="1"/>
    <n v="0"/>
    <n v="1"/>
    <n v="0"/>
    <n v="0"/>
    <n v="0"/>
    <n v="0"/>
    <n v="0"/>
    <n v="0"/>
    <n v="1"/>
  </r>
  <r>
    <s v="A1AWHHBTJF1XCH"/>
    <s v="english"/>
    <n v="44"/>
    <s v="female"/>
    <s v="control"/>
    <x v="7"/>
    <n v="30954"/>
    <n v="1"/>
    <n v="0"/>
    <n v="0"/>
    <n v="0"/>
    <s v="NA"/>
    <s v="NA"/>
    <s v="NA"/>
    <s v="NA"/>
    <s v="NA"/>
    <s v="NA"/>
    <s v="NA"/>
    <n v="0"/>
    <n v="0"/>
    <n v="1"/>
    <n v="1"/>
    <n v="0"/>
    <n v="1"/>
    <n v="0"/>
    <n v="0"/>
    <n v="0"/>
    <n v="0"/>
    <n v="0"/>
    <n v="0"/>
    <n v="1"/>
  </r>
  <r>
    <s v="A1AWHHBTJF1XCH"/>
    <s v="english"/>
    <n v="44"/>
    <s v="female"/>
    <s v="test"/>
    <x v="8"/>
    <n v="20441"/>
    <n v="0"/>
    <n v="0"/>
    <n v="0"/>
    <n v="1"/>
    <s v="Stylist F."/>
    <s v="Stylists D and E."/>
    <s v="Stylist E."/>
    <s v="fa"/>
    <s v="ms-l"/>
    <s v="mo-l"/>
    <n v="0"/>
    <n v="0"/>
    <n v="1"/>
    <n v="0"/>
    <n v="1"/>
    <n v="0"/>
    <n v="1"/>
    <n v="0"/>
    <n v="0"/>
    <n v="0"/>
    <n v="0"/>
    <n v="0"/>
    <n v="0"/>
    <n v="1"/>
  </r>
  <r>
    <s v="A1AWHHBTJF1XCH"/>
    <s v="english"/>
    <n v="44"/>
    <s v="female"/>
    <s v="control"/>
    <x v="5"/>
    <n v="47466"/>
    <n v="0"/>
    <n v="0"/>
    <n v="0"/>
    <n v="1"/>
    <s v="NA"/>
    <s v="NA"/>
    <s v="NA"/>
    <s v="NA"/>
    <s v="NA"/>
    <s v="NA"/>
    <s v="NA"/>
    <n v="0"/>
    <n v="1"/>
    <n v="0"/>
    <n v="1"/>
    <n v="0"/>
    <n v="1"/>
    <n v="0"/>
    <n v="0"/>
    <n v="0"/>
    <n v="0"/>
    <n v="0"/>
    <n v="0"/>
    <n v="1"/>
  </r>
  <r>
    <s v="A1AWHHBTJF1XCH"/>
    <s v="english"/>
    <n v="44"/>
    <s v="female"/>
    <s v="exit_quest"/>
    <x v="0"/>
    <n v="583555"/>
    <s v="No. I think they both would have the same answer."/>
    <s v="No. Not difficult just time consuming for such little pay."/>
    <s v="Yes. This survey takes way to long for the amount of pay. It took me 20 minutes (another 6 mins writing this) to take it so would only pay $3.00 an hour which is not appropriate pay obviously. You should state that in your hit information before we start so we can choose whether to waste our time or not beforehand. You also misrepresent the hit saying we only have to read one story and answer questions about it when really it is a whole series of STORIES and questions. BE HONEST from the start or you will get bad reviews from the workers. Also put a bar across the top telling us our progress so we can see how much longer the hit will take. Once we start we never know when it will end so just keep doing it hoping this is the last question but surveys like these never are and next thing you know its been 20 minutes and you don't want to stop after all the time invested and not get paid anything at all  so just keep going to only get paid a whole dollar. YAY! NOT!! :("/>
    <s v="NA"/>
    <s v="NA"/>
    <s v="NA"/>
    <s v="NA"/>
    <s v="NA"/>
    <s v="NA"/>
    <s v="NA"/>
    <s v="NA"/>
    <s v="NA"/>
    <s v="NA"/>
    <s v="NA"/>
    <s v="NA"/>
    <s v="NA"/>
    <s v="NA"/>
    <s v="NA"/>
    <s v="NA"/>
    <s v="NA"/>
    <s v="NA"/>
    <s v="NA"/>
    <s v="NA"/>
    <s v="NA"/>
  </r>
  <r>
    <s v="A3OB6REG5CGHK1"/>
    <s v="english"/>
    <n v="56"/>
    <s v="male"/>
    <s v="consent"/>
    <x v="0"/>
    <n v="24100"/>
    <s v="NA"/>
    <s v="NA"/>
    <s v="NA"/>
    <s v="NA"/>
    <s v="NA"/>
    <s v="NA"/>
    <s v="NA"/>
    <s v="NA"/>
    <s v="NA"/>
    <s v="NA"/>
    <s v="NA"/>
    <s v="NA"/>
    <s v="NA"/>
    <s v="NA"/>
    <s v="NA"/>
    <s v="NA"/>
    <s v="NA"/>
    <s v="NA"/>
    <s v="NA"/>
    <s v="NA"/>
    <s v="NA"/>
    <s v="NA"/>
    <s v="NA"/>
    <s v="NA"/>
  </r>
  <r>
    <s v="A3OB6REG5CGHK1"/>
    <s v="english"/>
    <n v="56"/>
    <s v="male"/>
    <s v="train"/>
    <x v="2"/>
    <n v="23818"/>
    <n v="0"/>
    <n v="0"/>
    <n v="0"/>
    <n v="1"/>
    <s v="NA"/>
    <s v="NA"/>
    <s v="NA"/>
    <s v="NA"/>
    <s v="NA"/>
    <s v="NA"/>
    <s v="NA"/>
    <s v="NA"/>
    <s v="NA"/>
    <s v="NA"/>
    <s v="NA"/>
    <s v="NA"/>
    <s v="NA"/>
    <s v="NA"/>
    <s v="NA"/>
    <s v="NA"/>
    <s v="NA"/>
    <s v="NA"/>
    <s v="NA"/>
    <s v="NA"/>
  </r>
  <r>
    <s v="A3OB6REG5CGHK1"/>
    <s v="english"/>
    <n v="56"/>
    <s v="male"/>
    <s v="train"/>
    <x v="1"/>
    <n v="30059"/>
    <n v="0"/>
    <n v="0"/>
    <n v="1"/>
    <n v="0"/>
    <s v="NA"/>
    <s v="NA"/>
    <s v="NA"/>
    <s v="NA"/>
    <s v="NA"/>
    <s v="NA"/>
    <s v="NA"/>
    <s v="NA"/>
    <s v="NA"/>
    <s v="NA"/>
    <s v="NA"/>
    <s v="NA"/>
    <s v="NA"/>
    <s v="NA"/>
    <s v="NA"/>
    <s v="NA"/>
    <s v="NA"/>
    <s v="NA"/>
    <s v="NA"/>
    <s v="NA"/>
  </r>
  <r>
    <s v="A3OB6REG5CGHK1"/>
    <s v="english"/>
    <n v="56"/>
    <s v="male"/>
    <s v="test"/>
    <x v="4"/>
    <n v="66628"/>
    <n v="0"/>
    <n v="0"/>
    <n v="0"/>
    <n v="1"/>
    <s v="Dentist E."/>
    <s v="Dentists D and E."/>
    <s v="Dentists A, B, C, D and E."/>
    <s v="mo-l"/>
    <s v="ms-l"/>
    <s v="exh"/>
    <n v="1"/>
    <n v="0"/>
    <n v="1"/>
    <n v="0"/>
    <n v="1"/>
    <n v="0"/>
    <n v="1"/>
    <n v="0"/>
    <n v="0"/>
    <n v="0"/>
    <n v="0"/>
    <n v="0"/>
    <n v="0"/>
    <n v="1"/>
  </r>
  <r>
    <s v="A3OB6REG5CGHK1"/>
    <s v="english"/>
    <n v="56"/>
    <s v="male"/>
    <s v="test"/>
    <x v="9"/>
    <n v="17871"/>
    <n v="0"/>
    <n v="0"/>
    <n v="0"/>
    <n v="1"/>
    <s v="Stall E."/>
    <s v="Stalls A and B."/>
    <s v="Stalls D and E."/>
    <s v="mo-l"/>
    <s v="ms-h"/>
    <s v="ms-l"/>
    <n v="0"/>
    <n v="0"/>
    <n v="1"/>
    <n v="1"/>
    <n v="1"/>
    <n v="0"/>
    <n v="1"/>
    <n v="0"/>
    <n v="0"/>
    <n v="0"/>
    <n v="0"/>
    <n v="0"/>
    <n v="0"/>
    <n v="1"/>
  </r>
  <r>
    <s v="A3OB6REG5CGHK1"/>
    <s v="english"/>
    <n v="56"/>
    <s v="male"/>
    <s v="control"/>
    <x v="10"/>
    <n v="21136"/>
    <n v="0"/>
    <n v="0"/>
    <n v="1"/>
    <n v="0"/>
    <s v="NA"/>
    <s v="NA"/>
    <s v="NA"/>
    <s v="NA"/>
    <s v="NA"/>
    <s v="NA"/>
    <s v="NA"/>
    <n v="0"/>
    <n v="1"/>
    <n v="1"/>
    <n v="1"/>
    <n v="0"/>
    <n v="1"/>
    <n v="0"/>
    <n v="0"/>
    <n v="0"/>
    <n v="0"/>
    <n v="0"/>
    <n v="0"/>
    <n v="1"/>
  </r>
  <r>
    <s v="A3OB6REG5CGHK1"/>
    <s v="english"/>
    <n v="56"/>
    <s v="male"/>
    <s v="test"/>
    <x v="3"/>
    <n v="14226"/>
    <n v="0"/>
    <n v="0"/>
    <n v="1"/>
    <n v="0"/>
    <s v="Bookstore A."/>
    <s v="Bookstore E."/>
    <s v="Bookstores A and B."/>
    <s v="mo-h"/>
    <s v="mo-l"/>
    <s v="ms-h"/>
    <n v="0"/>
    <n v="1"/>
    <n v="1"/>
    <n v="1"/>
    <n v="0"/>
    <n v="0"/>
    <n v="1"/>
    <n v="0"/>
    <n v="0"/>
    <n v="0"/>
    <n v="1"/>
    <n v="0"/>
    <n v="0"/>
    <n v="0"/>
  </r>
  <r>
    <s v="A3OB6REG5CGHK1"/>
    <s v="english"/>
    <n v="56"/>
    <s v="male"/>
    <s v="test"/>
    <x v="11"/>
    <n v="14519"/>
    <n v="0"/>
    <n v="0"/>
    <n v="0"/>
    <n v="1"/>
    <s v="Stores A and B."/>
    <s v="Stores D and E."/>
    <s v="Store E."/>
    <s v="ms-h"/>
    <s v="ms-l"/>
    <s v="mo-l"/>
    <n v="0"/>
    <n v="0"/>
    <n v="1"/>
    <n v="1"/>
    <n v="1"/>
    <n v="0"/>
    <n v="1"/>
    <n v="0"/>
    <n v="0"/>
    <n v="0"/>
    <n v="0"/>
    <n v="0"/>
    <n v="0"/>
    <n v="1"/>
  </r>
  <r>
    <s v="A3OB6REG5CGHK1"/>
    <s v="english"/>
    <n v="56"/>
    <s v="male"/>
    <s v="control"/>
    <x v="7"/>
    <n v="22173"/>
    <n v="1"/>
    <n v="0"/>
    <n v="0"/>
    <n v="0"/>
    <s v="NA"/>
    <s v="NA"/>
    <s v="NA"/>
    <s v="NA"/>
    <s v="NA"/>
    <s v="NA"/>
    <s v="NA"/>
    <n v="0"/>
    <n v="1"/>
    <n v="1"/>
    <n v="1"/>
    <n v="0"/>
    <n v="1"/>
    <n v="0"/>
    <n v="0"/>
    <n v="0"/>
    <n v="0"/>
    <n v="0"/>
    <n v="0"/>
    <n v="1"/>
  </r>
  <r>
    <s v="A3OB6REG5CGHK1"/>
    <s v="english"/>
    <n v="56"/>
    <s v="male"/>
    <s v="test"/>
    <x v="8"/>
    <n v="10424"/>
    <n v="0"/>
    <n v="0"/>
    <n v="0"/>
    <n v="1"/>
    <s v="Stylist A."/>
    <s v="Stylist F."/>
    <s v="Stylists D and E."/>
    <s v="mo-h"/>
    <s v="fa"/>
    <s v="ms-l"/>
    <n v="0"/>
    <n v="1"/>
    <n v="0"/>
    <n v="0"/>
    <n v="1"/>
    <n v="0"/>
    <n v="1"/>
    <n v="0"/>
    <n v="0"/>
    <n v="0"/>
    <n v="0"/>
    <n v="0"/>
    <n v="0"/>
    <n v="1"/>
  </r>
  <r>
    <s v="A3OB6REG5CGHK1"/>
    <s v="english"/>
    <n v="56"/>
    <s v="male"/>
    <s v="control"/>
    <x v="12"/>
    <n v="12067"/>
    <n v="1"/>
    <n v="0"/>
    <n v="0"/>
    <n v="0"/>
    <s v="NA"/>
    <s v="NA"/>
    <s v="NA"/>
    <s v="NA"/>
    <s v="NA"/>
    <s v="NA"/>
    <s v="NA"/>
    <n v="1"/>
    <n v="0"/>
    <n v="0"/>
    <n v="1"/>
    <n v="0"/>
    <n v="1"/>
    <n v="0"/>
    <n v="0"/>
    <n v="0"/>
    <n v="0"/>
    <n v="0"/>
    <n v="0"/>
    <n v="1"/>
  </r>
  <r>
    <s v="A3OB6REG5CGHK1"/>
    <s v="english"/>
    <n v="56"/>
    <s v="male"/>
    <s v="test"/>
    <x v="6"/>
    <n v="13655"/>
    <n v="0"/>
    <n v="0"/>
    <n v="1"/>
    <n v="0"/>
    <s v="Cafe E."/>
    <s v="Cafe F."/>
    <s v="Cafe A."/>
    <s v="mo-l"/>
    <s v="fa"/>
    <s v="mo-h"/>
    <n v="0"/>
    <n v="1"/>
    <n v="1"/>
    <n v="0"/>
    <n v="0"/>
    <n v="0"/>
    <n v="1"/>
    <n v="0"/>
    <n v="1"/>
    <n v="0"/>
    <n v="0"/>
    <n v="0"/>
    <n v="0"/>
    <n v="0"/>
  </r>
  <r>
    <s v="A3OB6REG5CGHK1"/>
    <s v="english"/>
    <n v="56"/>
    <s v="male"/>
    <s v="control"/>
    <x v="5"/>
    <n v="21824"/>
    <n v="0"/>
    <n v="1"/>
    <n v="1"/>
    <n v="0"/>
    <s v="NA"/>
    <s v="NA"/>
    <s v="NA"/>
    <s v="NA"/>
    <s v="NA"/>
    <s v="NA"/>
    <s v="NA"/>
    <n v="1"/>
    <n v="1"/>
    <n v="0"/>
    <n v="0"/>
    <n v="0"/>
    <n v="1"/>
    <n v="0"/>
    <n v="1"/>
    <n v="0"/>
    <n v="0"/>
    <n v="0"/>
    <n v="0"/>
    <n v="0"/>
  </r>
  <r>
    <s v="A3OB6REG5CGHK1"/>
    <s v="english"/>
    <n v="56"/>
    <s v="male"/>
    <s v="exit_quest"/>
    <x v="0"/>
    <n v="21148"/>
    <s v="No%2C sounds like the same question"/>
    <s v="no"/>
    <s v="no"/>
    <s v="NA"/>
    <s v="NA"/>
    <s v="NA"/>
    <s v="NA"/>
    <s v="NA"/>
    <s v="NA"/>
    <s v="NA"/>
    <s v="NA"/>
    <s v="NA"/>
    <s v="NA"/>
    <s v="NA"/>
    <s v="NA"/>
    <s v="NA"/>
    <s v="NA"/>
    <s v="NA"/>
    <s v="NA"/>
    <s v="NA"/>
    <s v="NA"/>
    <s v="NA"/>
    <s v="NA"/>
    <s v="NA"/>
  </r>
  <r>
    <s v="A255V2M0CC1G8L"/>
    <s v="english"/>
    <n v="28"/>
    <s v="male"/>
    <s v="consent"/>
    <x v="0"/>
    <n v="41692"/>
    <s v="NA"/>
    <s v="NA"/>
    <s v="NA"/>
    <s v="NA"/>
    <s v="NA"/>
    <s v="NA"/>
    <s v="NA"/>
    <s v="NA"/>
    <s v="NA"/>
    <s v="NA"/>
    <s v="NA"/>
    <s v="NA"/>
    <s v="NA"/>
    <s v="NA"/>
    <s v="NA"/>
    <s v="NA"/>
    <s v="NA"/>
    <s v="NA"/>
    <s v="NA"/>
    <s v="NA"/>
    <s v="NA"/>
    <s v="NA"/>
    <s v="NA"/>
    <s v="NA"/>
  </r>
  <r>
    <s v="A255V2M0CC1G8L"/>
    <s v="english"/>
    <n v="28"/>
    <s v="male"/>
    <s v="train"/>
    <x v="1"/>
    <n v="5457758"/>
    <n v="1"/>
    <n v="0"/>
    <n v="0"/>
    <n v="0"/>
    <s v="NA"/>
    <s v="NA"/>
    <s v="NA"/>
    <s v="NA"/>
    <s v="NA"/>
    <s v="NA"/>
    <s v="NA"/>
    <s v="NA"/>
    <s v="NA"/>
    <s v="NA"/>
    <s v="NA"/>
    <s v="NA"/>
    <s v="NA"/>
    <s v="NA"/>
    <s v="NA"/>
    <s v="NA"/>
    <s v="NA"/>
    <s v="NA"/>
    <s v="NA"/>
    <s v="NA"/>
  </r>
  <r>
    <s v="A255V2M0CC1G8L"/>
    <s v="english"/>
    <n v="28"/>
    <s v="male"/>
    <s v="train"/>
    <x v="2"/>
    <n v="13955"/>
    <n v="0"/>
    <n v="0"/>
    <n v="1"/>
    <n v="0"/>
    <s v="NA"/>
    <s v="NA"/>
    <s v="NA"/>
    <s v="NA"/>
    <s v="NA"/>
    <s v="NA"/>
    <s v="NA"/>
    <s v="NA"/>
    <s v="NA"/>
    <s v="NA"/>
    <s v="NA"/>
    <s v="NA"/>
    <s v="NA"/>
    <s v="NA"/>
    <s v="NA"/>
    <s v="NA"/>
    <s v="NA"/>
    <s v="NA"/>
    <s v="NA"/>
    <s v="NA"/>
  </r>
  <r>
    <s v="A255V2M0CC1G8L"/>
    <s v="english"/>
    <n v="28"/>
    <s v="male"/>
    <s v="test"/>
    <x v="4"/>
    <n v="35245"/>
    <n v="0"/>
    <n v="1"/>
    <n v="0"/>
    <n v="0"/>
    <s v="Dentists A and B."/>
    <s v="Dentist A."/>
    <s v="Dentists A, B, C, D and E."/>
    <s v="ms-h"/>
    <s v="mo-h"/>
    <s v="exh"/>
    <n v="1"/>
    <n v="1"/>
    <n v="0"/>
    <n v="1"/>
    <n v="0"/>
    <n v="0"/>
    <n v="1"/>
    <n v="0"/>
    <n v="1"/>
    <n v="0"/>
    <n v="0"/>
    <n v="0"/>
    <n v="0"/>
    <n v="0"/>
  </r>
  <r>
    <s v="A255V2M0CC1G8L"/>
    <s v="english"/>
    <n v="28"/>
    <s v="male"/>
    <s v="test"/>
    <x v="11"/>
    <n v="5820"/>
    <n v="0"/>
    <n v="1"/>
    <n v="0"/>
    <n v="0"/>
    <s v="Stores D and E."/>
    <s v="Stores A and B."/>
    <s v="Store A."/>
    <s v="ms-l"/>
    <s v="ms-h"/>
    <s v="mo-h"/>
    <n v="0"/>
    <n v="1"/>
    <n v="0"/>
    <n v="1"/>
    <n v="1"/>
    <n v="0"/>
    <n v="1"/>
    <n v="0"/>
    <n v="0"/>
    <n v="0"/>
    <n v="1"/>
    <n v="0"/>
    <n v="0"/>
    <n v="0"/>
  </r>
  <r>
    <s v="A255V2M0CC1G8L"/>
    <s v="english"/>
    <n v="28"/>
    <s v="male"/>
    <s v="control"/>
    <x v="7"/>
    <n v="11886"/>
    <n v="1"/>
    <n v="0"/>
    <n v="0"/>
    <n v="0"/>
    <s v="NA"/>
    <s v="NA"/>
    <s v="NA"/>
    <s v="NA"/>
    <s v="NA"/>
    <s v="NA"/>
    <s v="NA"/>
    <n v="1"/>
    <n v="0"/>
    <n v="1"/>
    <n v="1"/>
    <n v="0"/>
    <n v="1"/>
    <n v="0"/>
    <n v="0"/>
    <n v="0"/>
    <n v="1"/>
    <n v="0"/>
    <n v="0"/>
    <n v="0"/>
  </r>
  <r>
    <s v="A255V2M0CC1G8L"/>
    <s v="english"/>
    <n v="28"/>
    <s v="male"/>
    <s v="test"/>
    <x v="9"/>
    <n v="3644"/>
    <n v="0"/>
    <n v="1"/>
    <n v="0"/>
    <n v="0"/>
    <s v="Stalls A and B."/>
    <s v="Stalls A, B, C, D and E."/>
    <s v="Stall E."/>
    <s v="ms-h"/>
    <s v="exh"/>
    <s v="mo-l"/>
    <n v="1"/>
    <n v="0"/>
    <n v="1"/>
    <n v="1"/>
    <n v="0"/>
    <n v="0"/>
    <n v="1"/>
    <n v="1"/>
    <n v="0"/>
    <n v="0"/>
    <n v="0"/>
    <n v="0"/>
    <n v="0"/>
    <n v="0"/>
  </r>
  <r>
    <s v="A255V2M0CC1G8L"/>
    <s v="english"/>
    <n v="28"/>
    <s v="male"/>
    <s v="test"/>
    <x v="3"/>
    <n v="5918"/>
    <n v="0"/>
    <n v="1"/>
    <n v="0"/>
    <n v="0"/>
    <s v="Bookstores A, B, C, D and E."/>
    <s v="Bookstore E."/>
    <s v="Bookstores D and E."/>
    <s v="exh"/>
    <s v="mo-l"/>
    <s v="ms-l"/>
    <n v="1"/>
    <n v="0"/>
    <n v="1"/>
    <n v="0"/>
    <n v="1"/>
    <n v="0"/>
    <n v="1"/>
    <n v="0"/>
    <n v="0"/>
    <n v="1"/>
    <n v="0"/>
    <n v="0"/>
    <n v="0"/>
    <n v="0"/>
  </r>
  <r>
    <s v="A255V2M0CC1G8L"/>
    <s v="english"/>
    <n v="28"/>
    <s v="male"/>
    <s v="control"/>
    <x v="10"/>
    <n v="1981"/>
    <n v="0"/>
    <n v="1"/>
    <n v="0"/>
    <n v="0"/>
    <s v="NA"/>
    <s v="NA"/>
    <s v="NA"/>
    <s v="NA"/>
    <s v="NA"/>
    <s v="NA"/>
    <s v="NA"/>
    <n v="0"/>
    <n v="1"/>
    <n v="0"/>
    <n v="1"/>
    <n v="0"/>
    <n v="1"/>
    <n v="0"/>
    <n v="0"/>
    <n v="1"/>
    <n v="0"/>
    <n v="0"/>
    <n v="0"/>
    <n v="0"/>
  </r>
  <r>
    <s v="A255V2M0CC1G8L"/>
    <s v="english"/>
    <n v="28"/>
    <s v="male"/>
    <s v="test"/>
    <x v="8"/>
    <n v="2445"/>
    <n v="0"/>
    <n v="1"/>
    <n v="0"/>
    <n v="0"/>
    <s v="Stylist F."/>
    <s v="Stylist A."/>
    <s v="Stylists A, B, C, D and E."/>
    <s v="fa"/>
    <s v="mo-h"/>
    <s v="exh"/>
    <n v="1"/>
    <n v="1"/>
    <n v="0"/>
    <n v="0"/>
    <n v="0"/>
    <n v="0"/>
    <n v="1"/>
    <n v="0"/>
    <n v="1"/>
    <n v="0"/>
    <n v="0"/>
    <n v="0"/>
    <n v="0"/>
    <n v="0"/>
  </r>
  <r>
    <s v="A255V2M0CC1G8L"/>
    <s v="english"/>
    <n v="28"/>
    <s v="male"/>
    <s v="control"/>
    <x v="12"/>
    <n v="1806"/>
    <n v="0"/>
    <n v="1"/>
    <n v="0"/>
    <n v="0"/>
    <s v="NA"/>
    <s v="NA"/>
    <s v="NA"/>
    <s v="NA"/>
    <s v="NA"/>
    <s v="NA"/>
    <s v="NA"/>
    <n v="1"/>
    <n v="0"/>
    <n v="0"/>
    <n v="0"/>
    <n v="0"/>
    <n v="1"/>
    <n v="0"/>
    <n v="1"/>
    <n v="0"/>
    <n v="0"/>
    <n v="0"/>
    <n v="0"/>
    <n v="0"/>
  </r>
  <r>
    <s v="A255V2M0CC1G8L"/>
    <s v="english"/>
    <n v="28"/>
    <s v="male"/>
    <s v="test"/>
    <x v="6"/>
    <n v="2710"/>
    <n v="0"/>
    <n v="0"/>
    <n v="1"/>
    <n v="0"/>
    <s v="Cafes D and E."/>
    <s v="Cafe E."/>
    <s v="Cafe A."/>
    <s v="ms-l"/>
    <s v="mo-l"/>
    <s v="mo-h"/>
    <n v="0"/>
    <n v="1"/>
    <n v="1"/>
    <n v="0"/>
    <n v="1"/>
    <n v="0"/>
    <n v="1"/>
    <n v="0"/>
    <n v="1"/>
    <n v="0"/>
    <n v="0"/>
    <n v="0"/>
    <n v="0"/>
    <n v="0"/>
  </r>
  <r>
    <s v="A255V2M0CC1G8L"/>
    <s v="english"/>
    <n v="28"/>
    <s v="male"/>
    <s v="control"/>
    <x v="5"/>
    <n v="1910"/>
    <n v="0"/>
    <n v="0"/>
    <n v="1"/>
    <n v="0"/>
    <s v="NA"/>
    <s v="NA"/>
    <s v="NA"/>
    <s v="NA"/>
    <s v="NA"/>
    <s v="NA"/>
    <s v="NA"/>
    <n v="1"/>
    <n v="1"/>
    <n v="0"/>
    <n v="1"/>
    <n v="0"/>
    <n v="1"/>
    <n v="0"/>
    <n v="1"/>
    <n v="0"/>
    <n v="0"/>
    <n v="0"/>
    <n v="0"/>
    <n v="0"/>
  </r>
  <r>
    <s v="A255V2M0CC1G8L"/>
    <s v="english"/>
    <n v="28"/>
    <s v="male"/>
    <s v="exit_quest"/>
    <x v="0"/>
    <n v="105142"/>
    <s v="WHERE CAN I GO BRUNCH IN TOWN"/>
    <s v="NO"/>
    <s v="NOTHING"/>
    <s v="NA"/>
    <s v="NA"/>
    <s v="NA"/>
    <s v="NA"/>
    <s v="NA"/>
    <s v="NA"/>
    <s v="NA"/>
    <s v="NA"/>
    <s v="NA"/>
    <s v="NA"/>
    <s v="NA"/>
    <s v="NA"/>
    <s v="NA"/>
    <s v="NA"/>
    <s v="NA"/>
    <s v="NA"/>
    <s v="NA"/>
    <s v="NA"/>
    <s v="NA"/>
    <s v="NA"/>
    <s v="NA"/>
  </r>
  <r>
    <s v="A3RL02A3JRAUS4"/>
    <s v="english"/>
    <n v="39"/>
    <s v="female"/>
    <s v="consent"/>
    <x v="0"/>
    <n v="29816"/>
    <s v="NA"/>
    <s v="NA"/>
    <s v="NA"/>
    <s v="NA"/>
    <s v="NA"/>
    <s v="NA"/>
    <s v="NA"/>
    <s v="NA"/>
    <s v="NA"/>
    <s v="NA"/>
    <s v="NA"/>
    <s v="NA"/>
    <s v="NA"/>
    <s v="NA"/>
    <s v="NA"/>
    <s v="NA"/>
    <s v="NA"/>
    <s v="NA"/>
    <s v="NA"/>
    <s v="NA"/>
    <s v="NA"/>
    <s v="NA"/>
    <s v="NA"/>
    <s v="NA"/>
  </r>
  <r>
    <s v="A3RL02A3JRAUS4"/>
    <s v="english"/>
    <n v="39"/>
    <s v="female"/>
    <s v="train"/>
    <x v="2"/>
    <n v="74578"/>
    <n v="0"/>
    <n v="0"/>
    <n v="0"/>
    <n v="1"/>
    <s v="NA"/>
    <s v="NA"/>
    <s v="NA"/>
    <s v="NA"/>
    <s v="NA"/>
    <s v="NA"/>
    <s v="NA"/>
    <s v="NA"/>
    <s v="NA"/>
    <s v="NA"/>
    <s v="NA"/>
    <s v="NA"/>
    <s v="NA"/>
    <s v="NA"/>
    <s v="NA"/>
    <s v="NA"/>
    <s v="NA"/>
    <s v="NA"/>
    <s v="NA"/>
    <s v="NA"/>
  </r>
  <r>
    <s v="A3RL02A3JRAUS4"/>
    <s v="english"/>
    <n v="39"/>
    <s v="female"/>
    <s v="train"/>
    <x v="1"/>
    <n v="53590"/>
    <n v="0"/>
    <n v="0"/>
    <n v="1"/>
    <n v="0"/>
    <s v="NA"/>
    <s v="NA"/>
    <s v="NA"/>
    <s v="NA"/>
    <s v="NA"/>
    <s v="NA"/>
    <s v="NA"/>
    <s v="NA"/>
    <s v="NA"/>
    <s v="NA"/>
    <s v="NA"/>
    <s v="NA"/>
    <s v="NA"/>
    <s v="NA"/>
    <s v="NA"/>
    <s v="NA"/>
    <s v="NA"/>
    <s v="NA"/>
    <s v="NA"/>
    <s v="NA"/>
  </r>
  <r>
    <s v="A3RL02A3JRAUS4"/>
    <s v="english"/>
    <n v="39"/>
    <s v="female"/>
    <s v="test"/>
    <x v="4"/>
    <n v="81511"/>
    <n v="1"/>
    <n v="0"/>
    <n v="0"/>
    <n v="0"/>
    <s v="Dentists A and B."/>
    <s v="Dentist A."/>
    <s v="Dentist E."/>
    <s v="ms-h"/>
    <s v="mo-h"/>
    <s v="mo-l"/>
    <n v="0"/>
    <n v="1"/>
    <n v="1"/>
    <n v="1"/>
    <n v="0"/>
    <n v="0"/>
    <n v="1"/>
    <n v="0"/>
    <n v="0"/>
    <n v="0"/>
    <n v="1"/>
    <n v="0"/>
    <n v="0"/>
    <n v="0"/>
  </r>
  <r>
    <s v="A3RL02A3JRAUS4"/>
    <s v="english"/>
    <n v="39"/>
    <s v="female"/>
    <s v="test"/>
    <x v="9"/>
    <n v="37119"/>
    <n v="1"/>
    <n v="1"/>
    <n v="1"/>
    <n v="0"/>
    <s v="Stalls A and B."/>
    <s v="Stall A."/>
    <s v="Stall E."/>
    <s v="ms-h"/>
    <s v="mo-h"/>
    <s v="mo-l"/>
    <n v="0"/>
    <n v="1"/>
    <n v="1"/>
    <n v="1"/>
    <n v="0"/>
    <n v="0"/>
    <n v="1"/>
    <n v="0"/>
    <n v="1"/>
    <n v="1"/>
    <n v="1"/>
    <n v="0"/>
    <n v="0"/>
    <n v="0"/>
  </r>
  <r>
    <s v="A3RL02A3JRAUS4"/>
    <s v="english"/>
    <n v="39"/>
    <s v="female"/>
    <s v="control"/>
    <x v="10"/>
    <n v="65792"/>
    <n v="0"/>
    <n v="0"/>
    <n v="1"/>
    <n v="0"/>
    <s v="NA"/>
    <s v="NA"/>
    <s v="NA"/>
    <s v="NA"/>
    <s v="NA"/>
    <s v="NA"/>
    <s v="NA"/>
    <n v="1"/>
    <n v="1"/>
    <n v="1"/>
    <n v="0"/>
    <n v="0"/>
    <n v="1"/>
    <n v="0"/>
    <n v="1"/>
    <n v="1"/>
    <n v="1"/>
    <n v="0"/>
    <n v="0"/>
    <n v="0"/>
  </r>
  <r>
    <s v="A3RL02A3JRAUS4"/>
    <s v="english"/>
    <n v="39"/>
    <s v="female"/>
    <s v="test"/>
    <x v="3"/>
    <n v="65970"/>
    <n v="0"/>
    <n v="0"/>
    <n v="0"/>
    <n v="1"/>
    <s v="Bookstore E."/>
    <s v="Bookstores D and E."/>
    <s v="Bookstore A."/>
    <s v="mo-l"/>
    <s v="ms-l"/>
    <s v="mo-h"/>
    <n v="0"/>
    <n v="1"/>
    <n v="1"/>
    <n v="0"/>
    <n v="1"/>
    <n v="0"/>
    <n v="1"/>
    <n v="0"/>
    <n v="0"/>
    <n v="0"/>
    <n v="0"/>
    <n v="0"/>
    <n v="0"/>
    <n v="1"/>
  </r>
  <r>
    <s v="A3RL02A3JRAUS4"/>
    <s v="english"/>
    <n v="39"/>
    <s v="female"/>
    <s v="control"/>
    <x v="5"/>
    <n v="51514"/>
    <n v="0"/>
    <n v="0"/>
    <n v="0"/>
    <n v="1"/>
    <s v="NA"/>
    <s v="NA"/>
    <s v="NA"/>
    <s v="NA"/>
    <s v="NA"/>
    <s v="NA"/>
    <s v="NA"/>
    <n v="1"/>
    <n v="1"/>
    <n v="0"/>
    <n v="1"/>
    <n v="0"/>
    <n v="1"/>
    <n v="0"/>
    <n v="0"/>
    <n v="0"/>
    <n v="0"/>
    <n v="0"/>
    <n v="0"/>
    <n v="1"/>
  </r>
  <r>
    <s v="A3RL02A3JRAUS4"/>
    <s v="english"/>
    <n v="39"/>
    <s v="female"/>
    <s v="test"/>
    <x v="11"/>
    <n v="31433"/>
    <n v="0"/>
    <n v="0"/>
    <n v="0"/>
    <n v="1"/>
    <s v="Store A."/>
    <s v="Stores A and B."/>
    <s v="Store E."/>
    <s v="mo-h"/>
    <s v="ms-h"/>
    <s v="mo-l"/>
    <n v="0"/>
    <n v="1"/>
    <n v="1"/>
    <n v="1"/>
    <n v="0"/>
    <n v="0"/>
    <n v="1"/>
    <n v="0"/>
    <n v="0"/>
    <n v="0"/>
    <n v="0"/>
    <n v="0"/>
    <n v="0"/>
    <n v="1"/>
  </r>
  <r>
    <s v="A3RL02A3JRAUS4"/>
    <s v="english"/>
    <n v="39"/>
    <s v="female"/>
    <s v="test"/>
    <x v="6"/>
    <n v="68729"/>
    <n v="1"/>
    <n v="1"/>
    <n v="1"/>
    <n v="0"/>
    <s v="Cafe F."/>
    <s v="Cafes A and B."/>
    <s v="Cafe E."/>
    <s v="fa"/>
    <s v="ms-h"/>
    <s v="mo-l"/>
    <n v="0"/>
    <n v="0"/>
    <n v="1"/>
    <n v="1"/>
    <n v="0"/>
    <n v="0"/>
    <n v="1"/>
    <n v="0"/>
    <n v="0"/>
    <n v="1"/>
    <n v="1"/>
    <n v="0"/>
    <n v="0"/>
    <n v="0"/>
  </r>
  <r>
    <s v="A3RL02A3JRAUS4"/>
    <s v="english"/>
    <n v="39"/>
    <s v="female"/>
    <s v="control"/>
    <x v="7"/>
    <n v="38923"/>
    <n v="1"/>
    <n v="1"/>
    <n v="0"/>
    <n v="0"/>
    <s v="NA"/>
    <s v="NA"/>
    <s v="NA"/>
    <s v="NA"/>
    <s v="NA"/>
    <s v="NA"/>
    <s v="NA"/>
    <n v="0"/>
    <n v="1"/>
    <n v="1"/>
    <n v="0"/>
    <n v="0"/>
    <n v="1"/>
    <n v="0"/>
    <n v="0"/>
    <n v="1"/>
    <n v="1"/>
    <n v="0"/>
    <n v="0"/>
    <n v="0"/>
  </r>
  <r>
    <s v="A3RL02A3JRAUS4"/>
    <s v="english"/>
    <n v="39"/>
    <s v="female"/>
    <s v="test"/>
    <x v="8"/>
    <n v="14764"/>
    <n v="0"/>
    <n v="0"/>
    <n v="1"/>
    <n v="0"/>
    <s v="Stylist E."/>
    <s v="Stylist A."/>
    <s v="Stylists A, B, C, D and E."/>
    <s v="mo-l"/>
    <s v="mo-h"/>
    <s v="exh"/>
    <n v="1"/>
    <n v="1"/>
    <n v="1"/>
    <n v="0"/>
    <n v="0"/>
    <n v="0"/>
    <n v="1"/>
    <n v="1"/>
    <n v="0"/>
    <n v="0"/>
    <n v="0"/>
    <n v="0"/>
    <n v="0"/>
    <n v="0"/>
  </r>
  <r>
    <s v="A3RL02A3JRAUS4"/>
    <s v="english"/>
    <n v="39"/>
    <s v="female"/>
    <s v="control"/>
    <x v="12"/>
    <n v="35092"/>
    <n v="1"/>
    <n v="0"/>
    <n v="0"/>
    <n v="0"/>
    <s v="NA"/>
    <s v="NA"/>
    <s v="NA"/>
    <s v="NA"/>
    <s v="NA"/>
    <s v="NA"/>
    <s v="NA"/>
    <n v="1"/>
    <n v="1"/>
    <n v="0"/>
    <n v="0"/>
    <n v="0"/>
    <n v="1"/>
    <n v="1"/>
    <n v="0"/>
    <n v="0"/>
    <n v="0"/>
    <n v="0"/>
    <n v="0"/>
    <n v="0"/>
  </r>
  <r>
    <s v="A3RL02A3JRAUS4"/>
    <s v="english"/>
    <n v="39"/>
    <s v="female"/>
    <s v="exit_quest"/>
    <x v="0"/>
    <n v="113420"/>
    <s v="No%2C they both mean the same thing in the end being both questions are asking where brunch is served."/>
    <s v="Some questions were more difficult than others as the info was a bit confusing."/>
    <s v="N/A"/>
    <s v="NA"/>
    <s v="NA"/>
    <s v="NA"/>
    <s v="NA"/>
    <s v="NA"/>
    <s v="NA"/>
    <s v="NA"/>
    <s v="NA"/>
    <s v="NA"/>
    <s v="NA"/>
    <s v="NA"/>
    <s v="NA"/>
    <s v="NA"/>
    <s v="NA"/>
    <s v="NA"/>
    <s v="NA"/>
    <s v="NA"/>
    <s v="NA"/>
    <s v="NA"/>
    <s v="NA"/>
    <s v="NA"/>
  </r>
  <r>
    <s v="A13FUEPWBCLBUY"/>
    <s v="english"/>
    <n v="34"/>
    <s v="male"/>
    <s v="consent"/>
    <x v="0"/>
    <n v="30291"/>
    <s v="NA"/>
    <s v="NA"/>
    <s v="NA"/>
    <s v="NA"/>
    <s v="NA"/>
    <s v="NA"/>
    <s v="NA"/>
    <s v="NA"/>
    <s v="NA"/>
    <s v="NA"/>
    <s v="NA"/>
    <s v="NA"/>
    <s v="NA"/>
    <s v="NA"/>
    <s v="NA"/>
    <s v="NA"/>
    <s v="NA"/>
    <s v="NA"/>
    <s v="NA"/>
    <s v="NA"/>
    <s v="NA"/>
    <s v="NA"/>
    <s v="NA"/>
    <s v="NA"/>
  </r>
  <r>
    <s v="A13FUEPWBCLBUY"/>
    <s v="english"/>
    <n v="34"/>
    <s v="male"/>
    <s v="train"/>
    <x v="1"/>
    <n v="61218"/>
    <n v="0"/>
    <n v="0"/>
    <n v="1"/>
    <n v="0"/>
    <s v="NA"/>
    <s v="NA"/>
    <s v="NA"/>
    <s v="NA"/>
    <s v="NA"/>
    <s v="NA"/>
    <s v="NA"/>
    <s v="NA"/>
    <s v="NA"/>
    <s v="NA"/>
    <s v="NA"/>
    <s v="NA"/>
    <s v="NA"/>
    <s v="NA"/>
    <s v="NA"/>
    <s v="NA"/>
    <s v="NA"/>
    <s v="NA"/>
    <s v="NA"/>
    <s v="NA"/>
  </r>
  <r>
    <s v="A13FUEPWBCLBUY"/>
    <s v="english"/>
    <n v="34"/>
    <s v="male"/>
    <s v="train"/>
    <x v="2"/>
    <n v="68106"/>
    <n v="0"/>
    <n v="0"/>
    <n v="0"/>
    <n v="1"/>
    <s v="NA"/>
    <s v="NA"/>
    <s v="NA"/>
    <s v="NA"/>
    <s v="NA"/>
    <s v="NA"/>
    <s v="NA"/>
    <s v="NA"/>
    <s v="NA"/>
    <s v="NA"/>
    <s v="NA"/>
    <s v="NA"/>
    <s v="NA"/>
    <s v="NA"/>
    <s v="NA"/>
    <s v="NA"/>
    <s v="NA"/>
    <s v="NA"/>
    <s v="NA"/>
    <s v="NA"/>
  </r>
  <r>
    <s v="A13FUEPWBCLBUY"/>
    <s v="english"/>
    <n v="34"/>
    <s v="male"/>
    <s v="test"/>
    <x v="6"/>
    <n v="70141"/>
    <n v="1"/>
    <n v="1"/>
    <n v="1"/>
    <n v="0"/>
    <s v="Cafe A."/>
    <s v="Cafes A, B, C, D and E."/>
    <s v="Cafe F."/>
    <s v="mo-h"/>
    <s v="exh"/>
    <s v="fa"/>
    <n v="1"/>
    <n v="1"/>
    <n v="0"/>
    <n v="0"/>
    <n v="0"/>
    <n v="0"/>
    <n v="1"/>
    <n v="1"/>
    <n v="1"/>
    <n v="0"/>
    <n v="0"/>
    <n v="0"/>
    <n v="0"/>
    <n v="0"/>
  </r>
  <r>
    <s v="A13FUEPWBCLBUY"/>
    <s v="english"/>
    <n v="34"/>
    <s v="male"/>
    <s v="test"/>
    <x v="9"/>
    <n v="34604"/>
    <n v="1"/>
    <n v="1"/>
    <n v="1"/>
    <n v="0"/>
    <s v="Stalls D and E."/>
    <s v="Stall E."/>
    <s v="Stall F."/>
    <s v="ms-l"/>
    <s v="mo-l"/>
    <s v="fa"/>
    <n v="0"/>
    <n v="0"/>
    <n v="1"/>
    <n v="0"/>
    <n v="1"/>
    <n v="0"/>
    <n v="1"/>
    <n v="0"/>
    <n v="0"/>
    <n v="1"/>
    <n v="0"/>
    <n v="1"/>
    <n v="0"/>
    <n v="0"/>
  </r>
  <r>
    <s v="A13FUEPWBCLBUY"/>
    <s v="english"/>
    <n v="34"/>
    <s v="male"/>
    <s v="control"/>
    <x v="5"/>
    <n v="43593"/>
    <n v="1"/>
    <n v="0"/>
    <n v="1"/>
    <n v="0"/>
    <s v="NA"/>
    <s v="NA"/>
    <s v="NA"/>
    <s v="NA"/>
    <s v="NA"/>
    <s v="NA"/>
    <s v="NA"/>
    <n v="0"/>
    <n v="1"/>
    <n v="0"/>
    <n v="1"/>
    <n v="0"/>
    <n v="1"/>
    <n v="0"/>
    <n v="0"/>
    <n v="1"/>
    <n v="0"/>
    <n v="1"/>
    <n v="0"/>
    <n v="0"/>
  </r>
  <r>
    <s v="A13FUEPWBCLBUY"/>
    <s v="english"/>
    <n v="34"/>
    <s v="male"/>
    <s v="test"/>
    <x v="8"/>
    <n v="22535"/>
    <n v="1"/>
    <n v="1"/>
    <n v="1"/>
    <n v="0"/>
    <s v="Stylist A."/>
    <s v="Stylists A and B."/>
    <s v="Stylists D and E."/>
    <s v="mo-h"/>
    <s v="ms-h"/>
    <s v="ms-l"/>
    <n v="0"/>
    <n v="1"/>
    <n v="0"/>
    <n v="1"/>
    <n v="1"/>
    <n v="0"/>
    <n v="1"/>
    <n v="0"/>
    <n v="1"/>
    <n v="0"/>
    <n v="1"/>
    <n v="1"/>
    <n v="0"/>
    <n v="0"/>
  </r>
  <r>
    <s v="A13FUEPWBCLBUY"/>
    <s v="english"/>
    <n v="34"/>
    <s v="male"/>
    <s v="test"/>
    <x v="11"/>
    <n v="74997"/>
    <n v="1"/>
    <n v="1"/>
    <n v="1"/>
    <n v="0"/>
    <s v="Store E."/>
    <s v="Stores A and B."/>
    <s v="Stores D and E."/>
    <s v="mo-l"/>
    <s v="ms-h"/>
    <s v="ms-l"/>
    <n v="0"/>
    <n v="0"/>
    <n v="1"/>
    <n v="1"/>
    <n v="1"/>
    <n v="0"/>
    <n v="1"/>
    <n v="0"/>
    <n v="0"/>
    <n v="1"/>
    <n v="1"/>
    <n v="1"/>
    <n v="0"/>
    <n v="0"/>
  </r>
  <r>
    <s v="A13FUEPWBCLBUY"/>
    <s v="english"/>
    <n v="34"/>
    <s v="male"/>
    <s v="control"/>
    <x v="7"/>
    <n v="29740"/>
    <n v="1"/>
    <n v="1"/>
    <n v="0"/>
    <n v="0"/>
    <s v="NA"/>
    <s v="NA"/>
    <s v="NA"/>
    <s v="NA"/>
    <s v="NA"/>
    <s v="NA"/>
    <s v="NA"/>
    <n v="0"/>
    <n v="1"/>
    <n v="1"/>
    <n v="1"/>
    <n v="0"/>
    <n v="1"/>
    <n v="0"/>
    <n v="0"/>
    <n v="1"/>
    <n v="1"/>
    <n v="1"/>
    <n v="0"/>
    <n v="0"/>
  </r>
  <r>
    <s v="A13FUEPWBCLBUY"/>
    <s v="english"/>
    <n v="34"/>
    <s v="male"/>
    <s v="test"/>
    <x v="4"/>
    <n v="39383"/>
    <n v="1"/>
    <n v="1"/>
    <n v="1"/>
    <n v="0"/>
    <s v="Dentists A and B."/>
    <s v="Dentist A."/>
    <s v="Dentist F."/>
    <s v="ms-h"/>
    <s v="mo-h"/>
    <s v="fa"/>
    <n v="0"/>
    <n v="1"/>
    <n v="0"/>
    <n v="1"/>
    <n v="0"/>
    <n v="0"/>
    <n v="1"/>
    <n v="0"/>
    <n v="1"/>
    <n v="0"/>
    <n v="1"/>
    <n v="0"/>
    <n v="0"/>
    <n v="0"/>
  </r>
  <r>
    <s v="A13FUEPWBCLBUY"/>
    <s v="english"/>
    <n v="34"/>
    <s v="male"/>
    <s v="control"/>
    <x v="10"/>
    <n v="44760"/>
    <n v="0"/>
    <n v="1"/>
    <n v="1"/>
    <n v="0"/>
    <s v="NA"/>
    <s v="NA"/>
    <s v="NA"/>
    <s v="NA"/>
    <s v="NA"/>
    <s v="NA"/>
    <s v="NA"/>
    <n v="1"/>
    <n v="0"/>
    <n v="1"/>
    <n v="0"/>
    <n v="0"/>
    <n v="1"/>
    <n v="0"/>
    <n v="1"/>
    <n v="0"/>
    <n v="1"/>
    <n v="0"/>
    <n v="0"/>
    <n v="0"/>
  </r>
  <r>
    <s v="A13FUEPWBCLBUY"/>
    <s v="english"/>
    <n v="34"/>
    <s v="male"/>
    <s v="test"/>
    <x v="3"/>
    <n v="28581"/>
    <n v="1"/>
    <n v="1"/>
    <n v="1"/>
    <n v="0"/>
    <s v="Bookstores A and B."/>
    <s v="Bookstore A."/>
    <s v="Bookstore E."/>
    <s v="ms-h"/>
    <s v="mo-h"/>
    <s v="mo-l"/>
    <n v="0"/>
    <n v="1"/>
    <n v="1"/>
    <n v="1"/>
    <n v="0"/>
    <n v="0"/>
    <n v="1"/>
    <n v="0"/>
    <n v="1"/>
    <n v="1"/>
    <n v="1"/>
    <n v="0"/>
    <n v="0"/>
    <n v="0"/>
  </r>
  <r>
    <s v="A13FUEPWBCLBUY"/>
    <s v="english"/>
    <n v="34"/>
    <s v="male"/>
    <s v="control"/>
    <x v="12"/>
    <n v="23516"/>
    <n v="1"/>
    <n v="1"/>
    <n v="0"/>
    <n v="0"/>
    <s v="NA"/>
    <s v="NA"/>
    <s v="NA"/>
    <s v="NA"/>
    <s v="NA"/>
    <s v="NA"/>
    <s v="NA"/>
    <n v="1"/>
    <n v="1"/>
    <n v="1"/>
    <n v="0"/>
    <n v="0"/>
    <n v="1"/>
    <n v="0"/>
    <n v="1"/>
    <n v="1"/>
    <n v="1"/>
    <n v="0"/>
    <n v="0"/>
    <n v="0"/>
  </r>
  <r>
    <s v="A13FUEPWBCLBUY"/>
    <s v="english"/>
    <n v="34"/>
    <s v="male"/>
    <s v="exit_quest"/>
    <x v="0"/>
    <n v="144983"/>
    <s v="No%2C this is asking for the same information but just worded differently."/>
    <s v="No%2C the answers all seemed like common sense."/>
    <s v="Fun task!"/>
    <s v="NA"/>
    <s v="NA"/>
    <s v="NA"/>
    <s v="NA"/>
    <s v="NA"/>
    <s v="NA"/>
    <s v="NA"/>
    <s v="NA"/>
    <s v="NA"/>
    <s v="NA"/>
    <s v="NA"/>
    <s v="NA"/>
    <s v="NA"/>
    <s v="NA"/>
    <s v="NA"/>
    <s v="NA"/>
    <s v="NA"/>
    <s v="NA"/>
    <s v="NA"/>
    <s v="NA"/>
    <s v="NA"/>
  </r>
  <r>
    <s v="A1V2H0UF94ATWY"/>
    <s v="english"/>
    <n v="59"/>
    <s v="male"/>
    <s v="consent"/>
    <x v="0"/>
    <n v="30217"/>
    <s v="NA"/>
    <s v="NA"/>
    <s v="NA"/>
    <s v="NA"/>
    <s v="NA"/>
    <s v="NA"/>
    <s v="NA"/>
    <s v="NA"/>
    <s v="NA"/>
    <s v="NA"/>
    <s v="NA"/>
    <s v="NA"/>
    <s v="NA"/>
    <s v="NA"/>
    <s v="NA"/>
    <s v="NA"/>
    <s v="NA"/>
    <s v="NA"/>
    <s v="NA"/>
    <s v="NA"/>
    <s v="NA"/>
    <s v="NA"/>
    <s v="NA"/>
    <s v="NA"/>
  </r>
  <r>
    <s v="A1V2H0UF94ATWY"/>
    <s v="english"/>
    <n v="59"/>
    <s v="male"/>
    <s v="train"/>
    <x v="1"/>
    <n v="31974"/>
    <n v="0"/>
    <n v="0"/>
    <n v="1"/>
    <n v="0"/>
    <s v="NA"/>
    <s v="NA"/>
    <s v="NA"/>
    <s v="NA"/>
    <s v="NA"/>
    <s v="NA"/>
    <s v="NA"/>
    <s v="NA"/>
    <s v="NA"/>
    <s v="NA"/>
    <s v="NA"/>
    <s v="NA"/>
    <s v="NA"/>
    <s v="NA"/>
    <s v="NA"/>
    <s v="NA"/>
    <s v="NA"/>
    <s v="NA"/>
    <s v="NA"/>
    <s v="NA"/>
  </r>
  <r>
    <s v="A1V2H0UF94ATWY"/>
    <s v="english"/>
    <n v="59"/>
    <s v="male"/>
    <s v="train"/>
    <x v="2"/>
    <n v="38111"/>
    <n v="0"/>
    <n v="0"/>
    <n v="0"/>
    <n v="1"/>
    <s v="NA"/>
    <s v="NA"/>
    <s v="NA"/>
    <s v="NA"/>
    <s v="NA"/>
    <s v="NA"/>
    <s v="NA"/>
    <s v="NA"/>
    <s v="NA"/>
    <s v="NA"/>
    <s v="NA"/>
    <s v="NA"/>
    <s v="NA"/>
    <s v="NA"/>
    <s v="NA"/>
    <s v="NA"/>
    <s v="NA"/>
    <s v="NA"/>
    <s v="NA"/>
    <s v="NA"/>
  </r>
  <r>
    <s v="A1V2H0UF94ATWY"/>
    <s v="english"/>
    <n v="59"/>
    <s v="male"/>
    <s v="test"/>
    <x v="9"/>
    <n v="59358"/>
    <n v="1"/>
    <n v="0"/>
    <n v="0"/>
    <n v="0"/>
    <s v="Stall A."/>
    <s v="Stalls D and E."/>
    <s v="Stall F."/>
    <s v="mo-h"/>
    <s v="ms-l"/>
    <s v="fa"/>
    <n v="0"/>
    <n v="1"/>
    <n v="0"/>
    <n v="0"/>
    <n v="1"/>
    <n v="0"/>
    <n v="1"/>
    <n v="0"/>
    <n v="1"/>
    <n v="0"/>
    <n v="0"/>
    <n v="0"/>
    <n v="0"/>
    <n v="0"/>
  </r>
  <r>
    <s v="A1V2H0UF94ATWY"/>
    <s v="english"/>
    <n v="59"/>
    <s v="male"/>
    <s v="test"/>
    <x v="6"/>
    <n v="22277"/>
    <n v="1"/>
    <n v="0"/>
    <n v="1"/>
    <n v="0"/>
    <s v="Cafe A."/>
    <s v="Cafes D and E."/>
    <s v="Cafes A and B."/>
    <s v="mo-h"/>
    <s v="ms-l"/>
    <s v="ms-h"/>
    <n v="0"/>
    <n v="1"/>
    <n v="0"/>
    <n v="1"/>
    <n v="1"/>
    <n v="0"/>
    <n v="1"/>
    <n v="0"/>
    <n v="1"/>
    <n v="0"/>
    <n v="1"/>
    <n v="0"/>
    <n v="0"/>
    <n v="0"/>
  </r>
  <r>
    <s v="A1V2H0UF94ATWY"/>
    <s v="english"/>
    <n v="59"/>
    <s v="male"/>
    <s v="control"/>
    <x v="5"/>
    <n v="75895"/>
    <n v="0"/>
    <n v="0"/>
    <n v="0"/>
    <n v="1"/>
    <s v="NA"/>
    <s v="NA"/>
    <s v="NA"/>
    <s v="NA"/>
    <s v="NA"/>
    <s v="NA"/>
    <s v="NA"/>
    <n v="1"/>
    <n v="0"/>
    <n v="1"/>
    <n v="1"/>
    <n v="0"/>
    <n v="1"/>
    <n v="0"/>
    <n v="1"/>
    <n v="0"/>
    <n v="1"/>
    <n v="0"/>
    <n v="0"/>
    <n v="0"/>
  </r>
  <r>
    <s v="A1V2H0UF94ATWY"/>
    <s v="english"/>
    <n v="59"/>
    <s v="male"/>
    <s v="test"/>
    <x v="11"/>
    <n v="32372"/>
    <n v="1"/>
    <n v="0"/>
    <n v="0"/>
    <n v="0"/>
    <s v="Store A."/>
    <s v="Stores D and E."/>
    <s v="Store F."/>
    <s v="mo-h"/>
    <s v="ms-l"/>
    <s v="fa"/>
    <n v="0"/>
    <n v="1"/>
    <n v="0"/>
    <n v="0"/>
    <n v="1"/>
    <n v="0"/>
    <n v="1"/>
    <n v="0"/>
    <n v="1"/>
    <n v="0"/>
    <n v="0"/>
    <n v="0"/>
    <n v="0"/>
    <n v="0"/>
  </r>
  <r>
    <s v="A1V2H0UF94ATWY"/>
    <s v="english"/>
    <n v="59"/>
    <s v="male"/>
    <s v="control"/>
    <x v="12"/>
    <n v="26574"/>
    <n v="1"/>
    <n v="0"/>
    <n v="0"/>
    <n v="0"/>
    <s v="NA"/>
    <s v="NA"/>
    <s v="NA"/>
    <s v="NA"/>
    <s v="NA"/>
    <s v="NA"/>
    <s v="NA"/>
    <n v="1"/>
    <n v="0"/>
    <n v="0"/>
    <n v="1"/>
    <n v="0"/>
    <n v="1"/>
    <n v="0"/>
    <n v="1"/>
    <n v="0"/>
    <n v="0"/>
    <n v="0"/>
    <n v="0"/>
    <n v="0"/>
  </r>
  <r>
    <s v="A1V2H0UF94ATWY"/>
    <s v="english"/>
    <n v="59"/>
    <s v="male"/>
    <s v="test"/>
    <x v="3"/>
    <n v="18182"/>
    <n v="1"/>
    <n v="0"/>
    <n v="0"/>
    <n v="0"/>
    <s v="Bookstores A and B."/>
    <s v="Bookstore F."/>
    <s v="Bookstore E."/>
    <s v="ms-h"/>
    <s v="fa"/>
    <s v="mo-l"/>
    <n v="0"/>
    <n v="0"/>
    <n v="1"/>
    <n v="1"/>
    <n v="0"/>
    <n v="0"/>
    <n v="1"/>
    <n v="0"/>
    <n v="0"/>
    <n v="0"/>
    <n v="1"/>
    <n v="0"/>
    <n v="0"/>
    <n v="0"/>
  </r>
  <r>
    <s v="A1V2H0UF94ATWY"/>
    <s v="english"/>
    <n v="59"/>
    <s v="male"/>
    <s v="test"/>
    <x v="4"/>
    <n v="15062"/>
    <n v="0"/>
    <n v="0"/>
    <n v="0"/>
    <n v="1"/>
    <s v="Dentist F."/>
    <s v="Dentists D and E."/>
    <s v="Dentist E."/>
    <s v="fa"/>
    <s v="ms-l"/>
    <s v="mo-l"/>
    <n v="0"/>
    <n v="0"/>
    <n v="1"/>
    <n v="0"/>
    <n v="1"/>
    <n v="0"/>
    <n v="1"/>
    <n v="0"/>
    <n v="0"/>
    <n v="0"/>
    <n v="0"/>
    <n v="0"/>
    <n v="0"/>
    <n v="1"/>
  </r>
  <r>
    <s v="A1V2H0UF94ATWY"/>
    <s v="english"/>
    <n v="59"/>
    <s v="male"/>
    <s v="control"/>
    <x v="10"/>
    <n v="47351"/>
    <n v="0"/>
    <n v="1"/>
    <n v="1"/>
    <n v="0"/>
    <s v="NA"/>
    <s v="NA"/>
    <s v="NA"/>
    <s v="NA"/>
    <s v="NA"/>
    <s v="NA"/>
    <s v="NA"/>
    <n v="0"/>
    <n v="1"/>
    <n v="0"/>
    <n v="1"/>
    <n v="0"/>
    <n v="1"/>
    <n v="0"/>
    <n v="0"/>
    <n v="0"/>
    <n v="0"/>
    <n v="0"/>
    <n v="0"/>
    <n v="1"/>
  </r>
  <r>
    <s v="A1V2H0UF94ATWY"/>
    <s v="english"/>
    <n v="59"/>
    <s v="male"/>
    <s v="test"/>
    <x v="8"/>
    <n v="81854"/>
    <n v="1"/>
    <n v="1"/>
    <n v="0"/>
    <n v="0"/>
    <s v="Stylists A and B."/>
    <s v="Stylists A, B, C, D and E."/>
    <s v="Stylists D and E."/>
    <s v="ms-h"/>
    <s v="exh"/>
    <s v="ms-l"/>
    <n v="1"/>
    <n v="0"/>
    <n v="0"/>
    <n v="1"/>
    <n v="1"/>
    <n v="0"/>
    <n v="1"/>
    <n v="1"/>
    <n v="0"/>
    <n v="0"/>
    <n v="1"/>
    <n v="0"/>
    <n v="0"/>
    <n v="0"/>
  </r>
  <r>
    <s v="A1V2H0UF94ATWY"/>
    <s v="english"/>
    <n v="59"/>
    <s v="male"/>
    <s v="control"/>
    <x v="7"/>
    <n v="63229"/>
    <n v="1"/>
    <n v="1"/>
    <n v="0"/>
    <n v="0"/>
    <s v="NA"/>
    <s v="NA"/>
    <s v="NA"/>
    <s v="NA"/>
    <s v="NA"/>
    <s v="NA"/>
    <s v="NA"/>
    <n v="0"/>
    <n v="0"/>
    <n v="1"/>
    <n v="1"/>
    <n v="0"/>
    <n v="1"/>
    <n v="1"/>
    <n v="0"/>
    <n v="0"/>
    <n v="1"/>
    <n v="0"/>
    <n v="0"/>
    <n v="0"/>
  </r>
  <r>
    <s v="A1V2H0UF94ATWY"/>
    <s v="english"/>
    <n v="59"/>
    <s v="male"/>
    <s v="exit_quest"/>
    <x v="0"/>
    <n v="201039"/>
    <s v="Yes. &quot;Where can I go for brunch in town?&quot; implies &quot;Where should I go for brunch in town?&quot; because of the type of website the question is being asked on. &quot;Which restaurants serve brunch in town?&quot; just means which restaurants are open for brunch."/>
    <s v="I found it a little confusing and ambiguous%2C especially the Star Wars questions."/>
    <s v="no"/>
    <s v="NA"/>
    <s v="NA"/>
    <s v="NA"/>
    <s v="NA"/>
    <s v="NA"/>
    <s v="NA"/>
    <s v="NA"/>
    <s v="NA"/>
    <s v="NA"/>
    <s v="NA"/>
    <s v="NA"/>
    <s v="NA"/>
    <s v="NA"/>
    <s v="NA"/>
    <s v="NA"/>
    <s v="NA"/>
    <s v="NA"/>
    <s v="NA"/>
    <s v="NA"/>
    <s v="NA"/>
    <s v="NA"/>
  </r>
  <r>
    <s v="A2BZY06YRWGEDL"/>
    <s v="english"/>
    <n v="29"/>
    <s v="male"/>
    <s v="consent"/>
    <x v="0"/>
    <n v="58308"/>
    <s v="NA"/>
    <s v="NA"/>
    <s v="NA"/>
    <s v="NA"/>
    <s v="NA"/>
    <s v="NA"/>
    <s v="NA"/>
    <s v="NA"/>
    <s v="NA"/>
    <s v="NA"/>
    <s v="NA"/>
    <s v="NA"/>
    <s v="NA"/>
    <s v="NA"/>
    <s v="NA"/>
    <s v="NA"/>
    <s v="NA"/>
    <s v="NA"/>
    <s v="NA"/>
    <s v="NA"/>
    <s v="NA"/>
    <s v="NA"/>
    <s v="NA"/>
    <s v="NA"/>
  </r>
  <r>
    <s v="A2BZY06YRWGEDL"/>
    <s v="english"/>
    <n v="29"/>
    <s v="male"/>
    <s v="train"/>
    <x v="2"/>
    <n v="33781"/>
    <n v="0"/>
    <n v="0"/>
    <n v="0"/>
    <n v="1"/>
    <s v="NA"/>
    <s v="NA"/>
    <s v="NA"/>
    <s v="NA"/>
    <s v="NA"/>
    <s v="NA"/>
    <s v="NA"/>
    <s v="NA"/>
    <s v="NA"/>
    <s v="NA"/>
    <s v="NA"/>
    <s v="NA"/>
    <s v="NA"/>
    <s v="NA"/>
    <s v="NA"/>
    <s v="NA"/>
    <s v="NA"/>
    <s v="NA"/>
    <s v="NA"/>
    <s v="NA"/>
  </r>
  <r>
    <s v="A2BZY06YRWGEDL"/>
    <s v="english"/>
    <n v="29"/>
    <s v="male"/>
    <s v="train"/>
    <x v="1"/>
    <n v="32109"/>
    <n v="0"/>
    <n v="0"/>
    <n v="1"/>
    <n v="0"/>
    <s v="NA"/>
    <s v="NA"/>
    <s v="NA"/>
    <s v="NA"/>
    <s v="NA"/>
    <s v="NA"/>
    <s v="NA"/>
    <s v="NA"/>
    <s v="NA"/>
    <s v="NA"/>
    <s v="NA"/>
    <s v="NA"/>
    <s v="NA"/>
    <s v="NA"/>
    <s v="NA"/>
    <s v="NA"/>
    <s v="NA"/>
    <s v="NA"/>
    <s v="NA"/>
    <s v="NA"/>
  </r>
  <r>
    <s v="A2BZY06YRWGEDL"/>
    <s v="english"/>
    <n v="29"/>
    <s v="male"/>
    <s v="test"/>
    <x v="11"/>
    <n v="29996"/>
    <n v="1"/>
    <n v="1"/>
    <n v="1"/>
    <n v="0"/>
    <s v="Store E."/>
    <s v="Store A."/>
    <s v="Store F."/>
    <s v="mo-l"/>
    <s v="mo-h"/>
    <s v="fa"/>
    <n v="0"/>
    <n v="1"/>
    <n v="1"/>
    <n v="0"/>
    <n v="0"/>
    <n v="0"/>
    <n v="1"/>
    <n v="0"/>
    <n v="1"/>
    <n v="1"/>
    <n v="0"/>
    <n v="0"/>
    <n v="0"/>
    <n v="0"/>
  </r>
  <r>
    <s v="A2BZY06YRWGEDL"/>
    <s v="english"/>
    <n v="29"/>
    <s v="male"/>
    <s v="test"/>
    <x v="3"/>
    <n v="25908"/>
    <n v="1"/>
    <n v="1"/>
    <n v="1"/>
    <n v="0"/>
    <s v="Bookstores D and E."/>
    <s v="Bookstore E."/>
    <s v="Bookstore A."/>
    <s v="ms-l"/>
    <s v="mo-l"/>
    <s v="mo-h"/>
    <n v="0"/>
    <n v="1"/>
    <n v="1"/>
    <n v="0"/>
    <n v="1"/>
    <n v="0"/>
    <n v="1"/>
    <n v="0"/>
    <n v="1"/>
    <n v="1"/>
    <n v="0"/>
    <n v="1"/>
    <n v="0"/>
    <n v="0"/>
  </r>
  <r>
    <s v="A2BZY06YRWGEDL"/>
    <s v="english"/>
    <n v="29"/>
    <s v="male"/>
    <s v="control"/>
    <x v="5"/>
    <n v="34165"/>
    <n v="0"/>
    <n v="1"/>
    <n v="0"/>
    <n v="0"/>
    <s v="NA"/>
    <s v="NA"/>
    <s v="NA"/>
    <s v="NA"/>
    <s v="NA"/>
    <s v="NA"/>
    <s v="NA"/>
    <n v="1"/>
    <n v="1"/>
    <n v="0"/>
    <n v="1"/>
    <n v="0"/>
    <n v="1"/>
    <n v="0"/>
    <n v="1"/>
    <n v="1"/>
    <n v="0"/>
    <n v="1"/>
    <n v="0"/>
    <n v="0"/>
  </r>
  <r>
    <s v="A2BZY06YRWGEDL"/>
    <s v="english"/>
    <n v="29"/>
    <s v="male"/>
    <s v="test"/>
    <x v="9"/>
    <n v="32325"/>
    <n v="1"/>
    <n v="1"/>
    <n v="1"/>
    <n v="0"/>
    <s v="Stall F."/>
    <s v="Stalls A and B."/>
    <s v="Stalls D and E."/>
    <s v="fa"/>
    <s v="ms-h"/>
    <s v="ms-l"/>
    <n v="0"/>
    <n v="0"/>
    <n v="0"/>
    <n v="1"/>
    <n v="1"/>
    <n v="0"/>
    <n v="1"/>
    <n v="0"/>
    <n v="0"/>
    <n v="0"/>
    <n v="1"/>
    <n v="1"/>
    <n v="0"/>
    <n v="0"/>
  </r>
  <r>
    <s v="A2BZY06YRWGEDL"/>
    <s v="english"/>
    <n v="29"/>
    <s v="male"/>
    <s v="control"/>
    <x v="10"/>
    <n v="45421"/>
    <n v="1"/>
    <n v="1"/>
    <n v="1"/>
    <n v="0"/>
    <s v="NA"/>
    <s v="NA"/>
    <s v="NA"/>
    <s v="NA"/>
    <s v="NA"/>
    <s v="NA"/>
    <s v="NA"/>
    <n v="0"/>
    <n v="0"/>
    <n v="1"/>
    <n v="1"/>
    <n v="0"/>
    <n v="1"/>
    <n v="0"/>
    <n v="0"/>
    <n v="0"/>
    <n v="1"/>
    <n v="1"/>
    <n v="0"/>
    <n v="0"/>
  </r>
  <r>
    <s v="A2BZY06YRWGEDL"/>
    <s v="english"/>
    <n v="29"/>
    <s v="male"/>
    <s v="test"/>
    <x v="6"/>
    <n v="25949"/>
    <n v="1"/>
    <n v="1"/>
    <n v="1"/>
    <n v="0"/>
    <s v="Cafe A."/>
    <s v="Cafe F."/>
    <s v="Cafes A and B."/>
    <s v="mo-h"/>
    <s v="fa"/>
    <s v="ms-h"/>
    <n v="0"/>
    <n v="1"/>
    <n v="0"/>
    <n v="1"/>
    <n v="0"/>
    <n v="0"/>
    <n v="1"/>
    <n v="0"/>
    <n v="1"/>
    <n v="0"/>
    <n v="1"/>
    <n v="0"/>
    <n v="0"/>
    <n v="0"/>
  </r>
  <r>
    <s v="A2BZY06YRWGEDL"/>
    <s v="english"/>
    <n v="29"/>
    <s v="male"/>
    <s v="test"/>
    <x v="8"/>
    <n v="34413"/>
    <n v="1"/>
    <n v="1"/>
    <n v="1"/>
    <n v="0"/>
    <s v="Stylist E."/>
    <s v="Stylists A and B."/>
    <s v="Stylist F."/>
    <s v="mo-l"/>
    <s v="ms-h"/>
    <s v="fa"/>
    <n v="0"/>
    <n v="0"/>
    <n v="1"/>
    <n v="1"/>
    <n v="0"/>
    <n v="0"/>
    <n v="1"/>
    <n v="0"/>
    <n v="0"/>
    <n v="1"/>
    <n v="1"/>
    <n v="0"/>
    <n v="0"/>
    <n v="0"/>
  </r>
  <r>
    <s v="A2BZY06YRWGEDL"/>
    <s v="english"/>
    <n v="29"/>
    <s v="male"/>
    <s v="control"/>
    <x v="7"/>
    <n v="28782"/>
    <n v="1"/>
    <n v="1"/>
    <n v="0"/>
    <n v="0"/>
    <s v="NA"/>
    <s v="NA"/>
    <s v="NA"/>
    <s v="NA"/>
    <s v="NA"/>
    <s v="NA"/>
    <s v="NA"/>
    <n v="0"/>
    <n v="1"/>
    <n v="1"/>
    <n v="0"/>
    <n v="0"/>
    <n v="1"/>
    <n v="0"/>
    <n v="0"/>
    <n v="1"/>
    <n v="1"/>
    <n v="0"/>
    <n v="0"/>
    <n v="0"/>
  </r>
  <r>
    <s v="A2BZY06YRWGEDL"/>
    <s v="english"/>
    <n v="29"/>
    <s v="male"/>
    <s v="test"/>
    <x v="4"/>
    <n v="21500"/>
    <n v="1"/>
    <n v="1"/>
    <n v="1"/>
    <n v="0"/>
    <s v="Dentists D and E."/>
    <s v="Dentist A."/>
    <s v="Dentists A, B, C, D and E."/>
    <s v="ms-l"/>
    <s v="mo-h"/>
    <s v="exh"/>
    <n v="1"/>
    <n v="1"/>
    <n v="0"/>
    <n v="0"/>
    <n v="1"/>
    <n v="0"/>
    <n v="1"/>
    <n v="1"/>
    <n v="1"/>
    <n v="0"/>
    <n v="0"/>
    <n v="1"/>
    <n v="0"/>
    <n v="0"/>
  </r>
  <r>
    <s v="A2BZY06YRWGEDL"/>
    <s v="english"/>
    <n v="29"/>
    <s v="male"/>
    <s v="control"/>
    <x v="12"/>
    <n v="8119"/>
    <n v="1"/>
    <n v="1"/>
    <n v="0"/>
    <n v="0"/>
    <s v="NA"/>
    <s v="NA"/>
    <s v="NA"/>
    <s v="NA"/>
    <s v="NA"/>
    <s v="NA"/>
    <s v="NA"/>
    <n v="1"/>
    <n v="0"/>
    <n v="0"/>
    <n v="1"/>
    <n v="0"/>
    <n v="1"/>
    <n v="1"/>
    <n v="1"/>
    <n v="0"/>
    <n v="0"/>
    <n v="1"/>
    <n v="0"/>
    <n v="0"/>
  </r>
  <r>
    <s v="A2BZY06YRWGEDL"/>
    <s v="english"/>
    <n v="29"/>
    <s v="male"/>
    <s v="exit_quest"/>
    <x v="0"/>
    <n v="25158"/>
    <s v="It would be the same thing really. You are looking for brunch. "/>
    <s v="No. It was just reading an answering questions"/>
    <s v="No"/>
    <s v="NA"/>
    <s v="NA"/>
    <s v="NA"/>
    <s v="NA"/>
    <s v="NA"/>
    <s v="NA"/>
    <s v="NA"/>
    <s v="NA"/>
    <s v="NA"/>
    <s v="NA"/>
    <s v="NA"/>
    <s v="NA"/>
    <s v="NA"/>
    <s v="NA"/>
    <s v="NA"/>
    <s v="NA"/>
    <s v="NA"/>
    <s v="NA"/>
    <s v="NA"/>
    <s v="NA"/>
    <s v="NA"/>
  </r>
  <r>
    <s v="A1EQ1LHEEIQ3UA"/>
    <s v="english"/>
    <n v="26"/>
    <s v="male"/>
    <s v="consent"/>
    <x v="0"/>
    <n v="21578"/>
    <s v="NA"/>
    <s v="NA"/>
    <s v="NA"/>
    <s v="NA"/>
    <s v="NA"/>
    <s v="NA"/>
    <s v="NA"/>
    <s v="NA"/>
    <s v="NA"/>
    <s v="NA"/>
    <s v="NA"/>
    <s v="NA"/>
    <s v="NA"/>
    <s v="NA"/>
    <s v="NA"/>
    <s v="NA"/>
    <s v="NA"/>
    <s v="NA"/>
    <s v="NA"/>
    <s v="NA"/>
    <s v="NA"/>
    <s v="NA"/>
    <s v="NA"/>
    <s v="NA"/>
  </r>
  <r>
    <s v="A1EQ1LHEEIQ3UA"/>
    <s v="english"/>
    <n v="26"/>
    <s v="male"/>
    <s v="train"/>
    <x v="1"/>
    <n v="47039"/>
    <n v="0"/>
    <n v="0"/>
    <n v="0"/>
    <n v="1"/>
    <s v="NA"/>
    <s v="NA"/>
    <s v="NA"/>
    <s v="NA"/>
    <s v="NA"/>
    <s v="NA"/>
    <s v="NA"/>
    <s v="NA"/>
    <s v="NA"/>
    <s v="NA"/>
    <s v="NA"/>
    <s v="NA"/>
    <s v="NA"/>
    <s v="NA"/>
    <s v="NA"/>
    <s v="NA"/>
    <s v="NA"/>
    <s v="NA"/>
    <s v="NA"/>
    <s v="NA"/>
  </r>
  <r>
    <s v="A1EQ1LHEEIQ3UA"/>
    <s v="english"/>
    <n v="26"/>
    <s v="male"/>
    <s v="train"/>
    <x v="2"/>
    <n v="29468"/>
    <n v="0"/>
    <n v="0"/>
    <n v="0"/>
    <n v="1"/>
    <s v="NA"/>
    <s v="NA"/>
    <s v="NA"/>
    <s v="NA"/>
    <s v="NA"/>
    <s v="NA"/>
    <s v="NA"/>
    <s v="NA"/>
    <s v="NA"/>
    <s v="NA"/>
    <s v="NA"/>
    <s v="NA"/>
    <s v="NA"/>
    <s v="NA"/>
    <s v="NA"/>
    <s v="NA"/>
    <s v="NA"/>
    <s v="NA"/>
    <s v="NA"/>
    <s v="NA"/>
  </r>
  <r>
    <s v="A1EQ1LHEEIQ3UA"/>
    <s v="english"/>
    <n v="26"/>
    <s v="male"/>
    <s v="test"/>
    <x v="6"/>
    <n v="37061"/>
    <n v="0"/>
    <n v="0"/>
    <n v="0"/>
    <n v="1"/>
    <s v="Cafe A."/>
    <s v="Cafe E."/>
    <s v="Cafe F."/>
    <s v="mo-h"/>
    <s v="mo-l"/>
    <s v="fa"/>
    <n v="0"/>
    <n v="1"/>
    <n v="1"/>
    <n v="0"/>
    <n v="0"/>
    <n v="0"/>
    <n v="1"/>
    <n v="0"/>
    <n v="0"/>
    <n v="0"/>
    <n v="0"/>
    <n v="0"/>
    <n v="0"/>
    <n v="1"/>
  </r>
  <r>
    <s v="A1EQ1LHEEIQ3UA"/>
    <s v="english"/>
    <n v="26"/>
    <s v="male"/>
    <s v="test"/>
    <x v="11"/>
    <n v="52019"/>
    <n v="0"/>
    <n v="0"/>
    <n v="0"/>
    <n v="1"/>
    <s v="Stores D and E."/>
    <s v="Store F."/>
    <s v="Stores A and B."/>
    <s v="ms-l"/>
    <s v="fa"/>
    <s v="ms-h"/>
    <n v="0"/>
    <n v="0"/>
    <n v="0"/>
    <n v="1"/>
    <n v="1"/>
    <n v="0"/>
    <n v="1"/>
    <n v="0"/>
    <n v="0"/>
    <n v="0"/>
    <n v="0"/>
    <n v="0"/>
    <n v="0"/>
    <n v="1"/>
  </r>
  <r>
    <s v="A1EQ1LHEEIQ3UA"/>
    <s v="english"/>
    <n v="26"/>
    <s v="male"/>
    <s v="control"/>
    <x v="5"/>
    <n v="23139"/>
    <n v="0"/>
    <n v="0"/>
    <n v="0"/>
    <n v="1"/>
    <s v="NA"/>
    <s v="NA"/>
    <s v="NA"/>
    <s v="NA"/>
    <s v="NA"/>
    <s v="NA"/>
    <s v="NA"/>
    <n v="0"/>
    <n v="0"/>
    <n v="1"/>
    <n v="1"/>
    <n v="0"/>
    <n v="1"/>
    <n v="0"/>
    <n v="0"/>
    <n v="0"/>
    <n v="0"/>
    <n v="0"/>
    <n v="0"/>
    <n v="1"/>
  </r>
  <r>
    <s v="A1EQ1LHEEIQ3UA"/>
    <s v="english"/>
    <n v="26"/>
    <s v="male"/>
    <s v="test"/>
    <x v="3"/>
    <n v="32705"/>
    <n v="0"/>
    <n v="0"/>
    <n v="0"/>
    <n v="1"/>
    <s v="Bookstores D and E."/>
    <s v="Bookstore E."/>
    <s v="Bookstores A and B."/>
    <s v="ms-l"/>
    <s v="mo-l"/>
    <s v="ms-h"/>
    <n v="0"/>
    <n v="0"/>
    <n v="1"/>
    <n v="1"/>
    <n v="1"/>
    <n v="0"/>
    <n v="1"/>
    <n v="0"/>
    <n v="0"/>
    <n v="0"/>
    <n v="0"/>
    <n v="0"/>
    <n v="0"/>
    <n v="1"/>
  </r>
  <r>
    <s v="A1EQ1LHEEIQ3UA"/>
    <s v="english"/>
    <n v="26"/>
    <s v="male"/>
    <s v="test"/>
    <x v="9"/>
    <n v="63726"/>
    <n v="0"/>
    <n v="0"/>
    <n v="0"/>
    <n v="1"/>
    <s v="Stalls D and E."/>
    <s v="Stall F."/>
    <s v="Stalls A and B."/>
    <s v="ms-l"/>
    <s v="fa"/>
    <s v="ms-h"/>
    <n v="0"/>
    <n v="0"/>
    <n v="0"/>
    <n v="1"/>
    <n v="1"/>
    <n v="0"/>
    <n v="1"/>
    <n v="0"/>
    <n v="0"/>
    <n v="0"/>
    <n v="0"/>
    <n v="0"/>
    <n v="0"/>
    <n v="1"/>
  </r>
  <r>
    <s v="A1EQ1LHEEIQ3UA"/>
    <s v="english"/>
    <n v="26"/>
    <s v="male"/>
    <s v="control"/>
    <x v="7"/>
    <n v="35144"/>
    <n v="1"/>
    <n v="1"/>
    <n v="0"/>
    <n v="0"/>
    <s v="NA"/>
    <s v="NA"/>
    <s v="NA"/>
    <s v="NA"/>
    <s v="NA"/>
    <s v="NA"/>
    <s v="NA"/>
    <n v="0"/>
    <n v="0"/>
    <n v="1"/>
    <n v="1"/>
    <n v="0"/>
    <n v="1"/>
    <n v="0"/>
    <n v="0"/>
    <n v="0"/>
    <n v="0"/>
    <n v="0"/>
    <n v="0"/>
    <n v="1"/>
  </r>
  <r>
    <s v="A1EQ1LHEEIQ3UA"/>
    <s v="english"/>
    <n v="26"/>
    <s v="male"/>
    <s v="test"/>
    <x v="4"/>
    <n v="15950"/>
    <n v="0"/>
    <n v="0"/>
    <n v="0"/>
    <n v="1"/>
    <s v="Dentist A."/>
    <s v="Dentists A and B."/>
    <s v="Dentists D and E."/>
    <s v="mo-h"/>
    <s v="ms-h"/>
    <s v="ms-l"/>
    <n v="0"/>
    <n v="1"/>
    <n v="0"/>
    <n v="1"/>
    <n v="1"/>
    <n v="0"/>
    <n v="1"/>
    <n v="0"/>
    <n v="0"/>
    <n v="0"/>
    <n v="0"/>
    <n v="0"/>
    <n v="0"/>
    <n v="1"/>
  </r>
  <r>
    <s v="A1EQ1LHEEIQ3UA"/>
    <s v="english"/>
    <n v="26"/>
    <s v="male"/>
    <s v="control"/>
    <x v="12"/>
    <n v="24030"/>
    <n v="1"/>
    <n v="0"/>
    <n v="0"/>
    <n v="0"/>
    <s v="NA"/>
    <s v="NA"/>
    <s v="NA"/>
    <s v="NA"/>
    <s v="NA"/>
    <s v="NA"/>
    <s v="NA"/>
    <n v="1"/>
    <n v="0"/>
    <n v="1"/>
    <n v="1"/>
    <n v="0"/>
    <n v="1"/>
    <n v="0"/>
    <n v="0"/>
    <n v="0"/>
    <n v="0"/>
    <n v="0"/>
    <n v="0"/>
    <n v="1"/>
  </r>
  <r>
    <s v="A1EQ1LHEEIQ3UA"/>
    <s v="english"/>
    <n v="26"/>
    <s v="male"/>
    <s v="test"/>
    <x v="8"/>
    <n v="38336"/>
    <n v="1"/>
    <n v="1"/>
    <n v="1"/>
    <n v="0"/>
    <s v="Stylist A."/>
    <s v="Stylists D and E."/>
    <s v="Stylist E."/>
    <s v="mo-h"/>
    <s v="ms-l"/>
    <s v="mo-l"/>
    <n v="0"/>
    <n v="1"/>
    <n v="1"/>
    <n v="0"/>
    <n v="1"/>
    <n v="0"/>
    <n v="1"/>
    <n v="0"/>
    <n v="1"/>
    <n v="1"/>
    <n v="0"/>
    <n v="1"/>
    <n v="0"/>
    <n v="0"/>
  </r>
  <r>
    <s v="A1EQ1LHEEIQ3UA"/>
    <s v="english"/>
    <n v="26"/>
    <s v="male"/>
    <s v="control"/>
    <x v="10"/>
    <n v="50780"/>
    <n v="0"/>
    <n v="1"/>
    <n v="0"/>
    <n v="0"/>
    <s v="NA"/>
    <s v="NA"/>
    <s v="NA"/>
    <s v="NA"/>
    <s v="NA"/>
    <s v="NA"/>
    <s v="NA"/>
    <n v="1"/>
    <n v="1"/>
    <n v="0"/>
    <n v="1"/>
    <n v="0"/>
    <n v="1"/>
    <n v="0"/>
    <n v="1"/>
    <n v="1"/>
    <n v="0"/>
    <n v="1"/>
    <n v="0"/>
    <n v="0"/>
  </r>
  <r>
    <s v="A1EQ1LHEEIQ3UA"/>
    <s v="english"/>
    <n v="26"/>
    <s v="male"/>
    <s v="exit_quest"/>
    <x v="0"/>
    <n v="75870"/>
    <s v="No%2C she's basically asking the same question."/>
    <s v="A little bit. I wasn't quite sure the answers you were looking for. Most of the questions didn't actually specify where the person went to get something%2C only their recommendations%2C so I usually chose the &quot;No one&quot; option."/>
    <m/>
    <s v="NA"/>
    <s v="NA"/>
    <s v="NA"/>
    <s v="NA"/>
    <s v="NA"/>
    <s v="NA"/>
    <s v="NA"/>
    <s v="NA"/>
    <s v="NA"/>
    <s v="NA"/>
    <s v="NA"/>
    <s v="NA"/>
    <s v="NA"/>
    <s v="NA"/>
    <s v="NA"/>
    <s v="NA"/>
    <s v="NA"/>
    <s v="NA"/>
    <s v="NA"/>
    <s v="NA"/>
    <s v="NA"/>
  </r>
  <r>
    <s v="AJFVK3O1D7SPE"/>
    <s v="english"/>
    <n v="37"/>
    <s v="female"/>
    <s v="consent"/>
    <x v="0"/>
    <n v="67636"/>
    <s v="NA"/>
    <s v="NA"/>
    <s v="NA"/>
    <s v="NA"/>
    <s v="NA"/>
    <s v="NA"/>
    <s v="NA"/>
    <s v="NA"/>
    <s v="NA"/>
    <s v="NA"/>
    <s v="NA"/>
    <s v="NA"/>
    <s v="NA"/>
    <s v="NA"/>
    <s v="NA"/>
    <s v="NA"/>
    <s v="NA"/>
    <s v="NA"/>
    <s v="NA"/>
    <s v="NA"/>
    <s v="NA"/>
    <s v="NA"/>
    <s v="NA"/>
    <s v="NA"/>
  </r>
  <r>
    <s v="AJFVK3O1D7SPE"/>
    <s v="english"/>
    <n v="37"/>
    <s v="female"/>
    <s v="train"/>
    <x v="2"/>
    <n v="37657"/>
    <n v="0"/>
    <n v="0"/>
    <n v="0"/>
    <n v="1"/>
    <s v="NA"/>
    <s v="NA"/>
    <s v="NA"/>
    <s v="NA"/>
    <s v="NA"/>
    <s v="NA"/>
    <s v="NA"/>
    <s v="NA"/>
    <s v="NA"/>
    <s v="NA"/>
    <s v="NA"/>
    <s v="NA"/>
    <s v="NA"/>
    <s v="NA"/>
    <s v="NA"/>
    <s v="NA"/>
    <s v="NA"/>
    <s v="NA"/>
    <s v="NA"/>
    <s v="NA"/>
  </r>
  <r>
    <s v="AJFVK3O1D7SPE"/>
    <s v="english"/>
    <n v="37"/>
    <s v="female"/>
    <s v="train"/>
    <x v="1"/>
    <n v="31131"/>
    <n v="0"/>
    <n v="0"/>
    <n v="1"/>
    <n v="0"/>
    <s v="NA"/>
    <s v="NA"/>
    <s v="NA"/>
    <s v="NA"/>
    <s v="NA"/>
    <s v="NA"/>
    <s v="NA"/>
    <s v="NA"/>
    <s v="NA"/>
    <s v="NA"/>
    <s v="NA"/>
    <s v="NA"/>
    <s v="NA"/>
    <s v="NA"/>
    <s v="NA"/>
    <s v="NA"/>
    <s v="NA"/>
    <s v="NA"/>
    <s v="NA"/>
    <s v="NA"/>
  </r>
  <r>
    <s v="AJFVK3O1D7SPE"/>
    <s v="english"/>
    <n v="37"/>
    <s v="female"/>
    <s v="test"/>
    <x v="4"/>
    <n v="54676"/>
    <n v="0"/>
    <n v="0"/>
    <n v="0"/>
    <n v="1"/>
    <s v="Dentist F."/>
    <s v="Dentists A, B, C, D and E."/>
    <s v="Dentists D and E."/>
    <s v="fa"/>
    <s v="exh"/>
    <s v="ms-l"/>
    <n v="1"/>
    <n v="0"/>
    <n v="0"/>
    <n v="0"/>
    <n v="1"/>
    <n v="0"/>
    <n v="1"/>
    <n v="0"/>
    <n v="0"/>
    <n v="0"/>
    <n v="0"/>
    <n v="0"/>
    <n v="0"/>
    <n v="1"/>
  </r>
  <r>
    <s v="AJFVK3O1D7SPE"/>
    <s v="english"/>
    <n v="37"/>
    <s v="female"/>
    <s v="test"/>
    <x v="11"/>
    <n v="33010"/>
    <n v="0"/>
    <n v="0"/>
    <n v="1"/>
    <n v="0"/>
    <s v="Store E."/>
    <s v="Stores D and E."/>
    <s v="Store A."/>
    <s v="mo-l"/>
    <s v="ms-l"/>
    <s v="mo-h"/>
    <n v="0"/>
    <n v="1"/>
    <n v="1"/>
    <n v="0"/>
    <n v="1"/>
    <n v="0"/>
    <n v="1"/>
    <n v="0"/>
    <n v="1"/>
    <n v="0"/>
    <n v="0"/>
    <n v="0"/>
    <n v="0"/>
    <n v="0"/>
  </r>
  <r>
    <s v="AJFVK3O1D7SPE"/>
    <s v="english"/>
    <n v="37"/>
    <s v="female"/>
    <s v="control"/>
    <x v="5"/>
    <n v="48108"/>
    <n v="0"/>
    <n v="0"/>
    <n v="0"/>
    <n v="1"/>
    <s v="NA"/>
    <s v="NA"/>
    <s v="NA"/>
    <s v="NA"/>
    <s v="NA"/>
    <s v="NA"/>
    <s v="NA"/>
    <n v="1"/>
    <n v="1"/>
    <n v="0"/>
    <n v="1"/>
    <n v="0"/>
    <n v="1"/>
    <n v="0"/>
    <n v="1"/>
    <n v="0"/>
    <n v="0"/>
    <n v="0"/>
    <n v="0"/>
    <n v="0"/>
  </r>
  <r>
    <s v="AJFVK3O1D7SPE"/>
    <s v="english"/>
    <n v="37"/>
    <s v="female"/>
    <s v="test"/>
    <x v="3"/>
    <n v="22869"/>
    <n v="0"/>
    <n v="0"/>
    <n v="0"/>
    <n v="1"/>
    <s v="Bookstores A, B, C, D and E."/>
    <s v="Bookstores D and E."/>
    <s v="Bookstore E."/>
    <s v="exh"/>
    <s v="ms-l"/>
    <s v="mo-l"/>
    <n v="1"/>
    <n v="0"/>
    <n v="1"/>
    <n v="0"/>
    <n v="1"/>
    <n v="0"/>
    <n v="1"/>
    <n v="0"/>
    <n v="0"/>
    <n v="0"/>
    <n v="0"/>
    <n v="0"/>
    <n v="0"/>
    <n v="1"/>
  </r>
  <r>
    <s v="AJFVK3O1D7SPE"/>
    <s v="english"/>
    <n v="37"/>
    <s v="female"/>
    <s v="control"/>
    <x v="10"/>
    <n v="44871"/>
    <n v="0"/>
    <n v="0"/>
    <n v="1"/>
    <n v="0"/>
    <s v="NA"/>
    <s v="NA"/>
    <s v="NA"/>
    <s v="NA"/>
    <s v="NA"/>
    <s v="NA"/>
    <s v="NA"/>
    <n v="0"/>
    <n v="1"/>
    <n v="0"/>
    <n v="1"/>
    <n v="0"/>
    <n v="1"/>
    <n v="0"/>
    <n v="0"/>
    <n v="0"/>
    <n v="0"/>
    <n v="0"/>
    <n v="0"/>
    <n v="1"/>
  </r>
  <r>
    <s v="AJFVK3O1D7SPE"/>
    <s v="english"/>
    <n v="37"/>
    <s v="female"/>
    <s v="test"/>
    <x v="9"/>
    <n v="24014"/>
    <n v="0"/>
    <n v="0"/>
    <n v="1"/>
    <n v="0"/>
    <s v="Stall F."/>
    <s v="Stalls A and B."/>
    <s v="Stall A."/>
    <s v="fa"/>
    <s v="ms-h"/>
    <s v="mo-h"/>
    <n v="0"/>
    <n v="1"/>
    <n v="0"/>
    <n v="1"/>
    <n v="0"/>
    <n v="0"/>
    <n v="1"/>
    <n v="0"/>
    <n v="1"/>
    <n v="0"/>
    <n v="0"/>
    <n v="0"/>
    <n v="0"/>
    <n v="0"/>
  </r>
  <r>
    <s v="AJFVK3O1D7SPE"/>
    <s v="english"/>
    <n v="37"/>
    <s v="female"/>
    <s v="test"/>
    <x v="8"/>
    <n v="19283"/>
    <n v="1"/>
    <n v="0"/>
    <n v="0"/>
    <n v="0"/>
    <s v="Stylist A."/>
    <s v="Stylists A and B."/>
    <s v="Stylist E."/>
    <s v="mo-h"/>
    <s v="ms-h"/>
    <s v="mo-l"/>
    <n v="0"/>
    <n v="1"/>
    <n v="1"/>
    <n v="1"/>
    <n v="0"/>
    <n v="0"/>
    <n v="1"/>
    <n v="0"/>
    <n v="1"/>
    <n v="0"/>
    <n v="0"/>
    <n v="0"/>
    <n v="0"/>
    <n v="0"/>
  </r>
  <r>
    <s v="AJFVK3O1D7SPE"/>
    <s v="english"/>
    <n v="37"/>
    <s v="female"/>
    <s v="control"/>
    <x v="12"/>
    <n v="25686"/>
    <n v="1"/>
    <n v="0"/>
    <n v="0"/>
    <n v="0"/>
    <s v="NA"/>
    <s v="NA"/>
    <s v="NA"/>
    <s v="NA"/>
    <s v="NA"/>
    <s v="NA"/>
    <s v="NA"/>
    <n v="1"/>
    <n v="1"/>
    <n v="1"/>
    <n v="0"/>
    <n v="0"/>
    <n v="1"/>
    <n v="0"/>
    <n v="1"/>
    <n v="0"/>
    <n v="0"/>
    <n v="0"/>
    <n v="0"/>
    <n v="0"/>
  </r>
  <r>
    <s v="AJFVK3O1D7SPE"/>
    <s v="english"/>
    <n v="37"/>
    <s v="female"/>
    <s v="test"/>
    <x v="6"/>
    <n v="23097"/>
    <n v="1"/>
    <n v="1"/>
    <n v="0"/>
    <n v="0"/>
    <s v="Cafes A and B."/>
    <s v="Cafe A."/>
    <s v="Cafe E."/>
    <s v="ms-h"/>
    <s v="mo-h"/>
    <s v="mo-l"/>
    <n v="0"/>
    <n v="1"/>
    <n v="1"/>
    <n v="1"/>
    <n v="0"/>
    <n v="0"/>
    <n v="1"/>
    <n v="0"/>
    <n v="1"/>
    <n v="0"/>
    <n v="1"/>
    <n v="0"/>
    <n v="0"/>
    <n v="0"/>
  </r>
  <r>
    <s v="AJFVK3O1D7SPE"/>
    <s v="english"/>
    <n v="37"/>
    <s v="female"/>
    <s v="control"/>
    <x v="7"/>
    <n v="47463"/>
    <n v="1"/>
    <n v="1"/>
    <n v="0"/>
    <n v="0"/>
    <s v="NA"/>
    <s v="NA"/>
    <s v="NA"/>
    <s v="NA"/>
    <s v="NA"/>
    <s v="NA"/>
    <s v="NA"/>
    <n v="1"/>
    <n v="1"/>
    <n v="1"/>
    <n v="0"/>
    <n v="0"/>
    <n v="1"/>
    <n v="0"/>
    <n v="1"/>
    <n v="0"/>
    <n v="1"/>
    <n v="0"/>
    <n v="0"/>
    <n v="0"/>
  </r>
  <r>
    <s v="AJFVK3O1D7SPE"/>
    <s v="english"/>
    <n v="37"/>
    <s v="female"/>
    <s v="exit_quest"/>
    <x v="0"/>
    <n v="158367"/>
    <s v="No%2C if answer the same because I'm assuming in both instances she's asking for a good place to have brunch and if want to recommend the best I know."/>
    <s v="A little. Some of the questions were ambiguous and it was tough to decide whether to go with the answer that was probably closer to reality or the options that were technically correct."/>
    <m/>
    <s v="NA"/>
    <s v="NA"/>
    <s v="NA"/>
    <s v="NA"/>
    <s v="NA"/>
    <s v="NA"/>
    <s v="NA"/>
    <s v="NA"/>
    <s v="NA"/>
    <s v="NA"/>
    <s v="NA"/>
    <s v="NA"/>
    <s v="NA"/>
    <s v="NA"/>
    <s v="NA"/>
    <s v="NA"/>
    <s v="NA"/>
    <s v="NA"/>
    <s v="NA"/>
    <s v="NA"/>
    <s v="NA"/>
  </r>
  <r>
    <s v="A10T7GP0TH27RB"/>
    <s v="english"/>
    <n v="28"/>
    <s v="male"/>
    <s v="consent"/>
    <x v="0"/>
    <n v="24331"/>
    <s v="NA"/>
    <s v="NA"/>
    <s v="NA"/>
    <s v="NA"/>
    <s v="NA"/>
    <s v="NA"/>
    <s v="NA"/>
    <s v="NA"/>
    <s v="NA"/>
    <s v="NA"/>
    <s v="NA"/>
    <s v="NA"/>
    <s v="NA"/>
    <s v="NA"/>
    <s v="NA"/>
    <s v="NA"/>
    <s v="NA"/>
    <s v="NA"/>
    <s v="NA"/>
    <s v="NA"/>
    <s v="NA"/>
    <s v="NA"/>
    <s v="NA"/>
    <s v="NA"/>
  </r>
  <r>
    <s v="A10T7GP0TH27RB"/>
    <s v="english"/>
    <n v="28"/>
    <s v="male"/>
    <s v="train"/>
    <x v="2"/>
    <n v="10007"/>
    <n v="0"/>
    <n v="1"/>
    <n v="0"/>
    <n v="0"/>
    <s v="NA"/>
    <s v="NA"/>
    <s v="NA"/>
    <s v="NA"/>
    <s v="NA"/>
    <s v="NA"/>
    <s v="NA"/>
    <s v="NA"/>
    <s v="NA"/>
    <s v="NA"/>
    <s v="NA"/>
    <s v="NA"/>
    <s v="NA"/>
    <s v="NA"/>
    <s v="NA"/>
    <s v="NA"/>
    <s v="NA"/>
    <s v="NA"/>
    <s v="NA"/>
    <s v="NA"/>
  </r>
  <r>
    <s v="A10T7GP0TH27RB"/>
    <s v="english"/>
    <n v="28"/>
    <s v="male"/>
    <s v="train"/>
    <x v="1"/>
    <n v="3179"/>
    <n v="1"/>
    <n v="0"/>
    <n v="0"/>
    <n v="0"/>
    <s v="NA"/>
    <s v="NA"/>
    <s v="NA"/>
    <s v="NA"/>
    <s v="NA"/>
    <s v="NA"/>
    <s v="NA"/>
    <s v="NA"/>
    <s v="NA"/>
    <s v="NA"/>
    <s v="NA"/>
    <s v="NA"/>
    <s v="NA"/>
    <s v="NA"/>
    <s v="NA"/>
    <s v="NA"/>
    <s v="NA"/>
    <s v="NA"/>
    <s v="NA"/>
    <s v="NA"/>
  </r>
  <r>
    <s v="A10T7GP0TH27RB"/>
    <s v="english"/>
    <n v="28"/>
    <s v="male"/>
    <s v="test"/>
    <x v="4"/>
    <n v="6165"/>
    <n v="0"/>
    <n v="1"/>
    <n v="0"/>
    <n v="0"/>
    <s v="Dentists A and B."/>
    <s v="Dentist E."/>
    <s v="Dentist A."/>
    <s v="ms-h"/>
    <s v="mo-l"/>
    <s v="mo-h"/>
    <n v="0"/>
    <n v="1"/>
    <n v="1"/>
    <n v="1"/>
    <n v="0"/>
    <n v="0"/>
    <n v="1"/>
    <n v="0"/>
    <n v="0"/>
    <n v="1"/>
    <n v="0"/>
    <n v="0"/>
    <n v="0"/>
    <n v="0"/>
  </r>
  <r>
    <s v="A10T7GP0TH27RB"/>
    <s v="english"/>
    <n v="28"/>
    <s v="male"/>
    <s v="test"/>
    <x v="3"/>
    <n v="3753"/>
    <n v="0"/>
    <n v="1"/>
    <n v="0"/>
    <n v="0"/>
    <s v="Bookstore F."/>
    <s v="Bookstores D and E."/>
    <s v="Bookstore E."/>
    <s v="fa"/>
    <s v="ms-l"/>
    <s v="mo-l"/>
    <n v="0"/>
    <n v="0"/>
    <n v="1"/>
    <n v="0"/>
    <n v="1"/>
    <n v="0"/>
    <n v="1"/>
    <n v="0"/>
    <n v="0"/>
    <n v="0"/>
    <n v="0"/>
    <n v="1"/>
    <n v="0"/>
    <n v="0"/>
  </r>
  <r>
    <s v="A10T7GP0TH27RB"/>
    <s v="english"/>
    <n v="28"/>
    <s v="male"/>
    <s v="control"/>
    <x v="7"/>
    <n v="3169"/>
    <n v="0"/>
    <n v="1"/>
    <n v="0"/>
    <n v="0"/>
    <s v="NA"/>
    <s v="NA"/>
    <s v="NA"/>
    <s v="NA"/>
    <s v="NA"/>
    <s v="NA"/>
    <s v="NA"/>
    <n v="0"/>
    <n v="1"/>
    <n v="0"/>
    <n v="1"/>
    <n v="0"/>
    <n v="1"/>
    <n v="0"/>
    <n v="0"/>
    <n v="0"/>
    <n v="0"/>
    <n v="1"/>
    <n v="0"/>
    <n v="0"/>
  </r>
  <r>
    <s v="A10T7GP0TH27RB"/>
    <s v="english"/>
    <n v="28"/>
    <s v="male"/>
    <s v="test"/>
    <x v="9"/>
    <n v="4389"/>
    <n v="0"/>
    <n v="1"/>
    <n v="0"/>
    <n v="0"/>
    <s v="Stalls A and B."/>
    <s v="Stall A."/>
    <s v="Stall F."/>
    <s v="ms-h"/>
    <s v="mo-h"/>
    <s v="fa"/>
    <n v="0"/>
    <n v="1"/>
    <n v="0"/>
    <n v="1"/>
    <n v="0"/>
    <n v="0"/>
    <n v="1"/>
    <n v="0"/>
    <n v="1"/>
    <n v="0"/>
    <n v="0"/>
    <n v="0"/>
    <n v="0"/>
    <n v="0"/>
  </r>
  <r>
    <s v="A10T7GP0TH27RB"/>
    <s v="english"/>
    <n v="28"/>
    <s v="male"/>
    <s v="control"/>
    <x v="10"/>
    <n v="3595"/>
    <n v="0"/>
    <n v="1"/>
    <n v="0"/>
    <n v="0"/>
    <s v="NA"/>
    <s v="NA"/>
    <s v="NA"/>
    <s v="NA"/>
    <s v="NA"/>
    <s v="NA"/>
    <s v="NA"/>
    <n v="1"/>
    <n v="0"/>
    <n v="1"/>
    <n v="0"/>
    <n v="0"/>
    <n v="1"/>
    <n v="0"/>
    <n v="1"/>
    <n v="0"/>
    <n v="0"/>
    <n v="0"/>
    <n v="0"/>
    <n v="0"/>
  </r>
  <r>
    <s v="A10T7GP0TH27RB"/>
    <s v="english"/>
    <n v="28"/>
    <s v="male"/>
    <s v="test"/>
    <x v="6"/>
    <n v="4231"/>
    <n v="0"/>
    <n v="1"/>
    <n v="0"/>
    <n v="0"/>
    <s v="Cafe A."/>
    <s v="Cafes A and B."/>
    <s v="Cafes A, B, C, D and E."/>
    <s v="mo-h"/>
    <s v="ms-h"/>
    <s v="exh"/>
    <n v="1"/>
    <n v="1"/>
    <n v="0"/>
    <n v="1"/>
    <n v="0"/>
    <n v="0"/>
    <n v="1"/>
    <n v="0"/>
    <n v="0"/>
    <n v="0"/>
    <n v="1"/>
    <n v="0"/>
    <n v="0"/>
    <n v="0"/>
  </r>
  <r>
    <s v="A10T7GP0TH27RB"/>
    <s v="english"/>
    <n v="28"/>
    <s v="male"/>
    <s v="test"/>
    <x v="8"/>
    <n v="2920"/>
    <n v="0"/>
    <n v="1"/>
    <n v="0"/>
    <n v="0"/>
    <s v="Stylists D and E."/>
    <s v="Stylists A, B, C, D and E."/>
    <s v="Stylist A."/>
    <s v="ms-l"/>
    <s v="exh"/>
    <s v="mo-h"/>
    <n v="1"/>
    <n v="1"/>
    <n v="0"/>
    <n v="0"/>
    <n v="1"/>
    <n v="0"/>
    <n v="1"/>
    <n v="1"/>
    <n v="0"/>
    <n v="0"/>
    <n v="0"/>
    <n v="0"/>
    <n v="0"/>
    <n v="0"/>
  </r>
  <r>
    <s v="A10T7GP0TH27RB"/>
    <s v="english"/>
    <n v="28"/>
    <s v="male"/>
    <s v="control"/>
    <x v="12"/>
    <n v="3488"/>
    <n v="0"/>
    <n v="1"/>
    <n v="0"/>
    <n v="0"/>
    <s v="NA"/>
    <s v="NA"/>
    <s v="NA"/>
    <s v="NA"/>
    <s v="NA"/>
    <s v="NA"/>
    <s v="NA"/>
    <n v="1"/>
    <n v="0"/>
    <n v="0"/>
    <n v="1"/>
    <n v="0"/>
    <n v="1"/>
    <n v="1"/>
    <n v="0"/>
    <n v="0"/>
    <n v="0"/>
    <n v="0"/>
    <n v="0"/>
    <n v="0"/>
  </r>
  <r>
    <s v="A10T7GP0TH27RB"/>
    <s v="english"/>
    <n v="28"/>
    <s v="male"/>
    <s v="test"/>
    <x v="11"/>
    <n v="6068"/>
    <n v="1"/>
    <n v="0"/>
    <n v="0"/>
    <n v="0"/>
    <s v="Store F."/>
    <s v="Store A."/>
    <s v="Stores A and B."/>
    <s v="fa"/>
    <s v="mo-h"/>
    <s v="ms-h"/>
    <n v="0"/>
    <n v="1"/>
    <n v="0"/>
    <n v="1"/>
    <n v="0"/>
    <n v="0"/>
    <n v="1"/>
    <n v="0"/>
    <n v="0"/>
    <n v="0"/>
    <n v="0"/>
    <n v="0"/>
    <n v="0"/>
    <n v="0"/>
  </r>
  <r>
    <s v="A10T7GP0TH27RB"/>
    <s v="english"/>
    <n v="28"/>
    <s v="male"/>
    <s v="control"/>
    <x v="5"/>
    <n v="3947"/>
    <n v="1"/>
    <n v="0"/>
    <n v="0"/>
    <n v="0"/>
    <s v="NA"/>
    <s v="NA"/>
    <s v="NA"/>
    <s v="NA"/>
    <s v="NA"/>
    <s v="NA"/>
    <s v="NA"/>
    <n v="1"/>
    <n v="0"/>
    <n v="1"/>
    <n v="0"/>
    <n v="0"/>
    <n v="1"/>
    <n v="0"/>
    <n v="0"/>
    <n v="0"/>
    <n v="0"/>
    <n v="0"/>
    <n v="0"/>
    <n v="0"/>
  </r>
  <r>
    <s v="A10T7GP0TH27RB"/>
    <s v="english"/>
    <n v="28"/>
    <s v="male"/>
    <s v="exit_quest"/>
    <x v="0"/>
    <n v="7591"/>
    <s v="no"/>
    <s v="no"/>
    <s v="no"/>
    <s v="NA"/>
    <s v="NA"/>
    <s v="NA"/>
    <s v="NA"/>
    <s v="NA"/>
    <s v="NA"/>
    <s v="NA"/>
    <s v="NA"/>
    <s v="NA"/>
    <s v="NA"/>
    <s v="NA"/>
    <s v="NA"/>
    <s v="NA"/>
    <s v="NA"/>
    <s v="NA"/>
    <s v="NA"/>
    <s v="NA"/>
    <s v="NA"/>
    <s v="NA"/>
    <s v="NA"/>
    <s v="NA"/>
  </r>
  <r>
    <s v="A1GV1POLY1EHJV"/>
    <s v="english"/>
    <n v="27"/>
    <s v="female"/>
    <s v="consent"/>
    <x v="0"/>
    <n v="20849"/>
    <s v="NA"/>
    <s v="NA"/>
    <s v="NA"/>
    <s v="NA"/>
    <s v="NA"/>
    <s v="NA"/>
    <s v="NA"/>
    <s v="NA"/>
    <s v="NA"/>
    <s v="NA"/>
    <s v="NA"/>
    <s v="NA"/>
    <s v="NA"/>
    <s v="NA"/>
    <s v="NA"/>
    <s v="NA"/>
    <s v="NA"/>
    <s v="NA"/>
    <s v="NA"/>
    <s v="NA"/>
    <s v="NA"/>
    <s v="NA"/>
    <s v="NA"/>
    <s v="NA"/>
  </r>
  <r>
    <s v="A1GV1POLY1EHJV"/>
    <s v="english"/>
    <n v="27"/>
    <s v="female"/>
    <s v="train"/>
    <x v="1"/>
    <n v="28215"/>
    <n v="1"/>
    <n v="1"/>
    <n v="1"/>
    <n v="0"/>
    <s v="NA"/>
    <s v="NA"/>
    <s v="NA"/>
    <s v="NA"/>
    <s v="NA"/>
    <s v="NA"/>
    <s v="NA"/>
    <s v="NA"/>
    <s v="NA"/>
    <s v="NA"/>
    <s v="NA"/>
    <s v="NA"/>
    <s v="NA"/>
    <s v="NA"/>
    <s v="NA"/>
    <s v="NA"/>
    <s v="NA"/>
    <s v="NA"/>
    <s v="NA"/>
    <s v="NA"/>
  </r>
  <r>
    <s v="A1GV1POLY1EHJV"/>
    <s v="english"/>
    <n v="27"/>
    <s v="female"/>
    <s v="train"/>
    <x v="2"/>
    <n v="10524"/>
    <n v="1"/>
    <n v="1"/>
    <n v="1"/>
    <n v="0"/>
    <s v="NA"/>
    <s v="NA"/>
    <s v="NA"/>
    <s v="NA"/>
    <s v="NA"/>
    <s v="NA"/>
    <s v="NA"/>
    <s v="NA"/>
    <s v="NA"/>
    <s v="NA"/>
    <s v="NA"/>
    <s v="NA"/>
    <s v="NA"/>
    <s v="NA"/>
    <s v="NA"/>
    <s v="NA"/>
    <s v="NA"/>
    <s v="NA"/>
    <s v="NA"/>
    <s v="NA"/>
  </r>
  <r>
    <s v="A1GV1POLY1EHJV"/>
    <s v="english"/>
    <n v="27"/>
    <s v="female"/>
    <s v="test"/>
    <x v="3"/>
    <n v="7973"/>
    <n v="1"/>
    <n v="1"/>
    <n v="1"/>
    <n v="0"/>
    <s v="Bookstore F."/>
    <s v="Bookstore E."/>
    <s v="Bookstores A and B."/>
    <s v="fa"/>
    <s v="mo-l"/>
    <s v="ms-h"/>
    <n v="0"/>
    <n v="0"/>
    <n v="1"/>
    <n v="1"/>
    <n v="0"/>
    <n v="0"/>
    <n v="1"/>
    <n v="0"/>
    <n v="0"/>
    <n v="1"/>
    <n v="1"/>
    <n v="0"/>
    <n v="0"/>
    <n v="0"/>
  </r>
  <r>
    <s v="A1GV1POLY1EHJV"/>
    <s v="english"/>
    <n v="27"/>
    <s v="female"/>
    <s v="control"/>
    <x v="12"/>
    <n v="5460"/>
    <n v="1"/>
    <n v="1"/>
    <n v="1"/>
    <n v="0"/>
    <s v="NA"/>
    <s v="NA"/>
    <s v="NA"/>
    <s v="NA"/>
    <s v="NA"/>
    <s v="NA"/>
    <s v="NA"/>
    <n v="0"/>
    <n v="1"/>
    <n v="1"/>
    <n v="0"/>
    <n v="0"/>
    <n v="1"/>
    <n v="0"/>
    <n v="0"/>
    <n v="1"/>
    <n v="1"/>
    <n v="0"/>
    <n v="0"/>
    <n v="0"/>
  </r>
  <r>
    <s v="A1GV1POLY1EHJV"/>
    <s v="english"/>
    <n v="27"/>
    <s v="female"/>
    <s v="test"/>
    <x v="11"/>
    <n v="5149"/>
    <n v="1"/>
    <n v="1"/>
    <n v="1"/>
    <n v="0"/>
    <s v="Stores A and B."/>
    <s v="Store A."/>
    <s v="Store E."/>
    <s v="ms-h"/>
    <s v="mo-h"/>
    <s v="mo-l"/>
    <n v="0"/>
    <n v="1"/>
    <n v="1"/>
    <n v="1"/>
    <n v="0"/>
    <n v="0"/>
    <n v="1"/>
    <n v="0"/>
    <n v="1"/>
    <n v="1"/>
    <n v="1"/>
    <n v="0"/>
    <n v="0"/>
    <n v="0"/>
  </r>
  <r>
    <s v="A1GV1POLY1EHJV"/>
    <s v="english"/>
    <n v="27"/>
    <s v="female"/>
    <s v="test"/>
    <x v="4"/>
    <n v="3059"/>
    <n v="1"/>
    <n v="1"/>
    <n v="0"/>
    <n v="0"/>
    <s v="Dentists A and B."/>
    <s v="Dentists D and E."/>
    <s v="Dentist A."/>
    <s v="ms-h"/>
    <s v="ms-l"/>
    <s v="mo-h"/>
    <n v="0"/>
    <n v="1"/>
    <n v="0"/>
    <n v="1"/>
    <n v="1"/>
    <n v="0"/>
    <n v="1"/>
    <n v="0"/>
    <n v="0"/>
    <n v="0"/>
    <n v="1"/>
    <n v="1"/>
    <n v="0"/>
    <n v="0"/>
  </r>
  <r>
    <s v="A1GV1POLY1EHJV"/>
    <s v="english"/>
    <n v="27"/>
    <s v="female"/>
    <s v="control"/>
    <x v="7"/>
    <n v="4822"/>
    <n v="1"/>
    <n v="1"/>
    <n v="1"/>
    <n v="0"/>
    <s v="NA"/>
    <s v="NA"/>
    <s v="NA"/>
    <s v="NA"/>
    <s v="NA"/>
    <s v="NA"/>
    <s v="NA"/>
    <n v="1"/>
    <n v="0"/>
    <n v="1"/>
    <n v="1"/>
    <n v="0"/>
    <n v="1"/>
    <n v="0"/>
    <n v="0"/>
    <n v="0"/>
    <n v="1"/>
    <n v="1"/>
    <n v="0"/>
    <n v="0"/>
  </r>
  <r>
    <s v="A1GV1POLY1EHJV"/>
    <s v="english"/>
    <n v="27"/>
    <s v="female"/>
    <s v="test"/>
    <x v="8"/>
    <n v="5180"/>
    <n v="1"/>
    <n v="1"/>
    <n v="0"/>
    <n v="0"/>
    <s v="Stylist A."/>
    <s v="Stylists D and E."/>
    <s v="Stylists A, B, C, D and E."/>
    <s v="mo-h"/>
    <s v="ms-l"/>
    <s v="exh"/>
    <n v="1"/>
    <n v="1"/>
    <n v="0"/>
    <n v="0"/>
    <n v="1"/>
    <n v="0"/>
    <n v="1"/>
    <n v="0"/>
    <n v="1"/>
    <n v="0"/>
    <n v="0"/>
    <n v="1"/>
    <n v="0"/>
    <n v="0"/>
  </r>
  <r>
    <s v="A1GV1POLY1EHJV"/>
    <s v="english"/>
    <n v="27"/>
    <s v="female"/>
    <s v="control"/>
    <x v="10"/>
    <n v="5439"/>
    <n v="1"/>
    <n v="0"/>
    <n v="1"/>
    <n v="0"/>
    <s v="NA"/>
    <s v="NA"/>
    <s v="NA"/>
    <s v="NA"/>
    <s v="NA"/>
    <s v="NA"/>
    <s v="NA"/>
    <n v="1"/>
    <n v="0"/>
    <n v="0"/>
    <n v="1"/>
    <n v="0"/>
    <n v="1"/>
    <n v="0"/>
    <n v="1"/>
    <n v="0"/>
    <n v="0"/>
    <n v="1"/>
    <n v="0"/>
    <n v="0"/>
  </r>
  <r>
    <s v="A1GV1POLY1EHJV"/>
    <s v="english"/>
    <n v="27"/>
    <s v="female"/>
    <s v="test"/>
    <x v="6"/>
    <n v="4777"/>
    <n v="1"/>
    <n v="1"/>
    <n v="1"/>
    <n v="0"/>
    <s v="Cafes A and B."/>
    <s v="Cafe A."/>
    <s v="Cafe E."/>
    <s v="ms-h"/>
    <s v="mo-h"/>
    <s v="mo-l"/>
    <n v="0"/>
    <n v="1"/>
    <n v="1"/>
    <n v="1"/>
    <n v="0"/>
    <n v="0"/>
    <n v="1"/>
    <n v="0"/>
    <n v="1"/>
    <n v="1"/>
    <n v="1"/>
    <n v="0"/>
    <n v="0"/>
    <n v="0"/>
  </r>
  <r>
    <s v="A1GV1POLY1EHJV"/>
    <s v="english"/>
    <n v="27"/>
    <s v="female"/>
    <s v="test"/>
    <x v="9"/>
    <n v="5007"/>
    <n v="1"/>
    <n v="1"/>
    <n v="1"/>
    <n v="0"/>
    <s v="Stall E."/>
    <s v="Stalls D and E."/>
    <s v="Stall A."/>
    <s v="mo-l"/>
    <s v="ms-l"/>
    <s v="mo-h"/>
    <n v="0"/>
    <n v="1"/>
    <n v="1"/>
    <n v="0"/>
    <n v="1"/>
    <n v="0"/>
    <n v="1"/>
    <n v="0"/>
    <n v="1"/>
    <n v="1"/>
    <n v="0"/>
    <n v="1"/>
    <n v="0"/>
    <n v="0"/>
  </r>
  <r>
    <s v="A1GV1POLY1EHJV"/>
    <s v="english"/>
    <n v="27"/>
    <s v="female"/>
    <s v="control"/>
    <x v="5"/>
    <n v="4298"/>
    <n v="1"/>
    <n v="1"/>
    <n v="1"/>
    <n v="0"/>
    <s v="NA"/>
    <s v="NA"/>
    <s v="NA"/>
    <s v="NA"/>
    <s v="NA"/>
    <s v="NA"/>
    <s v="NA"/>
    <n v="1"/>
    <n v="1"/>
    <n v="0"/>
    <n v="1"/>
    <n v="0"/>
    <n v="1"/>
    <n v="0"/>
    <n v="1"/>
    <n v="1"/>
    <n v="0"/>
    <n v="1"/>
    <n v="0"/>
    <n v="0"/>
  </r>
  <r>
    <s v="A1GV1POLY1EHJV"/>
    <s v="english"/>
    <n v="27"/>
    <s v="female"/>
    <s v="exit_quest"/>
    <x v="0"/>
    <n v="24951"/>
    <s v="restruant"/>
    <s v="yes"/>
    <s v="nope"/>
    <s v="NA"/>
    <s v="NA"/>
    <s v="NA"/>
    <s v="NA"/>
    <s v="NA"/>
    <s v="NA"/>
    <s v="NA"/>
    <s v="NA"/>
    <s v="NA"/>
    <s v="NA"/>
    <s v="NA"/>
    <s v="NA"/>
    <s v="NA"/>
    <s v="NA"/>
    <s v="NA"/>
    <s v="NA"/>
    <s v="NA"/>
    <s v="NA"/>
    <s v="NA"/>
    <s v="NA"/>
    <s v="NA"/>
  </r>
  <r>
    <s v="A36IYIE23IO4HE"/>
    <s v="english"/>
    <n v="42"/>
    <s v="female"/>
    <s v="consent"/>
    <x v="0"/>
    <n v="35913"/>
    <s v="NA"/>
    <s v="NA"/>
    <s v="NA"/>
    <s v="NA"/>
    <s v="NA"/>
    <s v="NA"/>
    <s v="NA"/>
    <s v="NA"/>
    <s v="NA"/>
    <s v="NA"/>
    <s v="NA"/>
    <s v="NA"/>
    <s v="NA"/>
    <s v="NA"/>
    <s v="NA"/>
    <s v="NA"/>
    <s v="NA"/>
    <s v="NA"/>
    <s v="NA"/>
    <s v="NA"/>
    <s v="NA"/>
    <s v="NA"/>
    <s v="NA"/>
    <s v="NA"/>
  </r>
  <r>
    <s v="A36IYIE23IO4HE"/>
    <s v="english"/>
    <n v="42"/>
    <s v="female"/>
    <s v="train"/>
    <x v="1"/>
    <n v="66815"/>
    <n v="0"/>
    <n v="0"/>
    <n v="1"/>
    <n v="0"/>
    <s v="NA"/>
    <s v="NA"/>
    <s v="NA"/>
    <s v="NA"/>
    <s v="NA"/>
    <s v="NA"/>
    <s v="NA"/>
    <s v="NA"/>
    <s v="NA"/>
    <s v="NA"/>
    <s v="NA"/>
    <s v="NA"/>
    <s v="NA"/>
    <s v="NA"/>
    <s v="NA"/>
    <s v="NA"/>
    <s v="NA"/>
    <s v="NA"/>
    <s v="NA"/>
    <s v="NA"/>
  </r>
  <r>
    <s v="A36IYIE23IO4HE"/>
    <s v="english"/>
    <n v="42"/>
    <s v="female"/>
    <s v="train"/>
    <x v="2"/>
    <n v="40182"/>
    <n v="0"/>
    <n v="0"/>
    <n v="0"/>
    <n v="1"/>
    <s v="NA"/>
    <s v="NA"/>
    <s v="NA"/>
    <s v="NA"/>
    <s v="NA"/>
    <s v="NA"/>
    <s v="NA"/>
    <s v="NA"/>
    <s v="NA"/>
    <s v="NA"/>
    <s v="NA"/>
    <s v="NA"/>
    <s v="NA"/>
    <s v="NA"/>
    <s v="NA"/>
    <s v="NA"/>
    <s v="NA"/>
    <s v="NA"/>
    <s v="NA"/>
    <s v="NA"/>
  </r>
  <r>
    <s v="A36IYIE23IO4HE"/>
    <s v="english"/>
    <n v="42"/>
    <s v="female"/>
    <s v="test"/>
    <x v="4"/>
    <n v="84955"/>
    <n v="0"/>
    <n v="0"/>
    <n v="1"/>
    <n v="0"/>
    <s v="Dentists A and B."/>
    <s v="Dentists D and E."/>
    <s v="Dentist A."/>
    <s v="ms-h"/>
    <s v="ms-l"/>
    <s v="mo-h"/>
    <n v="0"/>
    <n v="1"/>
    <n v="0"/>
    <n v="1"/>
    <n v="1"/>
    <n v="0"/>
    <n v="1"/>
    <n v="0"/>
    <n v="1"/>
    <n v="0"/>
    <n v="0"/>
    <n v="0"/>
    <n v="0"/>
    <n v="0"/>
  </r>
  <r>
    <s v="A36IYIE23IO4HE"/>
    <s v="english"/>
    <n v="42"/>
    <s v="female"/>
    <s v="test"/>
    <x v="3"/>
    <n v="35554"/>
    <n v="1"/>
    <n v="0"/>
    <n v="0"/>
    <n v="0"/>
    <s v="Bookstore A."/>
    <s v="Bookstore E."/>
    <s v="Bookstores A, B, C, D and E."/>
    <s v="mo-h"/>
    <s v="mo-l"/>
    <s v="exh"/>
    <n v="1"/>
    <n v="1"/>
    <n v="1"/>
    <n v="0"/>
    <n v="0"/>
    <n v="0"/>
    <n v="1"/>
    <n v="0"/>
    <n v="1"/>
    <n v="0"/>
    <n v="0"/>
    <n v="0"/>
    <n v="0"/>
    <n v="0"/>
  </r>
  <r>
    <s v="A36IYIE23IO4HE"/>
    <s v="english"/>
    <n v="42"/>
    <s v="female"/>
    <s v="control"/>
    <x v="5"/>
    <n v="57646"/>
    <n v="0"/>
    <n v="1"/>
    <n v="0"/>
    <n v="0"/>
    <s v="NA"/>
    <s v="NA"/>
    <s v="NA"/>
    <s v="NA"/>
    <s v="NA"/>
    <s v="NA"/>
    <s v="NA"/>
    <n v="1"/>
    <n v="1"/>
    <n v="0"/>
    <n v="0"/>
    <n v="0"/>
    <n v="1"/>
    <n v="0"/>
    <n v="1"/>
    <n v="0"/>
    <n v="0"/>
    <n v="0"/>
    <n v="0"/>
    <n v="0"/>
  </r>
  <r>
    <s v="A36IYIE23IO4HE"/>
    <s v="english"/>
    <n v="42"/>
    <s v="female"/>
    <s v="test"/>
    <x v="6"/>
    <n v="55757"/>
    <n v="1"/>
    <n v="1"/>
    <n v="1"/>
    <n v="0"/>
    <s v="Cafe A."/>
    <s v="Cafes A and B."/>
    <s v="Cafes A, B, C, D and E."/>
    <s v="mo-h"/>
    <s v="ms-h"/>
    <s v="exh"/>
    <n v="1"/>
    <n v="1"/>
    <n v="0"/>
    <n v="1"/>
    <n v="0"/>
    <n v="0"/>
    <n v="1"/>
    <n v="1"/>
    <n v="1"/>
    <n v="0"/>
    <n v="1"/>
    <n v="0"/>
    <n v="0"/>
    <n v="0"/>
  </r>
  <r>
    <s v="A36IYIE23IO4HE"/>
    <s v="english"/>
    <n v="42"/>
    <s v="female"/>
    <s v="control"/>
    <x v="12"/>
    <n v="31505"/>
    <n v="1"/>
    <n v="0"/>
    <n v="0"/>
    <n v="0"/>
    <s v="NA"/>
    <s v="NA"/>
    <s v="NA"/>
    <s v="NA"/>
    <s v="NA"/>
    <s v="NA"/>
    <s v="NA"/>
    <n v="1"/>
    <n v="0"/>
    <n v="1"/>
    <n v="0"/>
    <n v="0"/>
    <n v="1"/>
    <n v="1"/>
    <n v="1"/>
    <n v="0"/>
    <n v="1"/>
    <n v="0"/>
    <n v="0"/>
    <n v="0"/>
  </r>
  <r>
    <s v="A36IYIE23IO4HE"/>
    <s v="english"/>
    <n v="42"/>
    <s v="female"/>
    <s v="test"/>
    <x v="8"/>
    <n v="22466"/>
    <n v="0"/>
    <n v="0"/>
    <n v="0"/>
    <n v="1"/>
    <s v="Stylist E."/>
    <s v="Stylist F."/>
    <s v="Stylists D and E."/>
    <s v="mo-l"/>
    <s v="fa"/>
    <s v="ms-l"/>
    <n v="0"/>
    <n v="0"/>
    <n v="1"/>
    <n v="0"/>
    <n v="1"/>
    <n v="0"/>
    <n v="1"/>
    <n v="0"/>
    <n v="0"/>
    <n v="0"/>
    <n v="0"/>
    <n v="0"/>
    <n v="0"/>
    <n v="1"/>
  </r>
  <r>
    <s v="A36IYIE23IO4HE"/>
    <s v="english"/>
    <n v="42"/>
    <s v="female"/>
    <s v="test"/>
    <x v="9"/>
    <n v="15165"/>
    <n v="1"/>
    <n v="0"/>
    <n v="0"/>
    <n v="0"/>
    <s v="Stalls A, B, C, D and E."/>
    <s v="Stall E."/>
    <s v="Stalls D and E."/>
    <s v="exh"/>
    <s v="mo-l"/>
    <s v="ms-l"/>
    <n v="1"/>
    <n v="0"/>
    <n v="1"/>
    <n v="0"/>
    <n v="1"/>
    <n v="0"/>
    <n v="1"/>
    <n v="1"/>
    <n v="0"/>
    <n v="0"/>
    <n v="0"/>
    <n v="0"/>
    <n v="0"/>
    <n v="0"/>
  </r>
  <r>
    <s v="A36IYIE23IO4HE"/>
    <s v="english"/>
    <n v="42"/>
    <s v="female"/>
    <s v="control"/>
    <x v="7"/>
    <n v="25788"/>
    <n v="1"/>
    <n v="1"/>
    <n v="0"/>
    <n v="0"/>
    <s v="NA"/>
    <s v="NA"/>
    <s v="NA"/>
    <s v="NA"/>
    <s v="NA"/>
    <s v="NA"/>
    <s v="NA"/>
    <n v="0"/>
    <n v="1"/>
    <n v="0"/>
    <n v="1"/>
    <n v="0"/>
    <n v="1"/>
    <n v="1"/>
    <n v="0"/>
    <n v="0"/>
    <n v="0"/>
    <n v="0"/>
    <n v="0"/>
    <n v="0"/>
  </r>
  <r>
    <s v="A36IYIE23IO4HE"/>
    <s v="english"/>
    <n v="42"/>
    <s v="female"/>
    <s v="test"/>
    <x v="11"/>
    <n v="10231"/>
    <n v="0"/>
    <n v="1"/>
    <n v="0"/>
    <n v="0"/>
    <s v="Stores D and E."/>
    <s v="Stores A and B."/>
    <s v="Stores A, B, C, D and E."/>
    <s v="ms-l"/>
    <s v="ms-h"/>
    <s v="exh"/>
    <n v="1"/>
    <n v="0"/>
    <n v="0"/>
    <n v="1"/>
    <n v="1"/>
    <n v="0"/>
    <n v="1"/>
    <n v="0"/>
    <n v="0"/>
    <n v="0"/>
    <n v="1"/>
    <n v="0"/>
    <n v="0"/>
    <n v="0"/>
  </r>
  <r>
    <s v="A36IYIE23IO4HE"/>
    <s v="english"/>
    <n v="42"/>
    <s v="female"/>
    <s v="control"/>
    <x v="10"/>
    <n v="38442"/>
    <n v="0"/>
    <n v="0"/>
    <n v="1"/>
    <n v="0"/>
    <s v="NA"/>
    <s v="NA"/>
    <s v="NA"/>
    <s v="NA"/>
    <s v="NA"/>
    <s v="NA"/>
    <s v="NA"/>
    <n v="0"/>
    <n v="0"/>
    <n v="1"/>
    <n v="1"/>
    <n v="0"/>
    <n v="1"/>
    <n v="0"/>
    <n v="0"/>
    <n v="0"/>
    <n v="1"/>
    <n v="0"/>
    <n v="0"/>
    <n v="0"/>
  </r>
  <r>
    <s v="A36IYIE23IO4HE"/>
    <s v="english"/>
    <n v="42"/>
    <s v="female"/>
    <s v="exit_quest"/>
    <x v="0"/>
    <n v="52553"/>
    <s v="no because it is basically asking the same question"/>
    <s v="a little  it was hard to figure out some"/>
    <s v="have a great day"/>
    <s v="NA"/>
    <s v="NA"/>
    <s v="NA"/>
    <s v="NA"/>
    <s v="NA"/>
    <s v="NA"/>
    <s v="NA"/>
    <s v="NA"/>
    <s v="NA"/>
    <s v="NA"/>
    <s v="NA"/>
    <s v="NA"/>
    <s v="NA"/>
    <s v="NA"/>
    <s v="NA"/>
    <s v="NA"/>
    <s v="NA"/>
    <s v="NA"/>
    <s v="NA"/>
    <s v="NA"/>
    <s v="NA"/>
  </r>
  <r>
    <s v="APLBF6JY2C1QZ"/>
    <s v="english"/>
    <n v="50"/>
    <s v="female"/>
    <s v="consent"/>
    <x v="0"/>
    <n v="111334"/>
    <s v="NA"/>
    <s v="NA"/>
    <s v="NA"/>
    <s v="NA"/>
    <s v="NA"/>
    <s v="NA"/>
    <s v="NA"/>
    <s v="NA"/>
    <s v="NA"/>
    <s v="NA"/>
    <s v="NA"/>
    <s v="NA"/>
    <s v="NA"/>
    <s v="NA"/>
    <s v="NA"/>
    <s v="NA"/>
    <s v="NA"/>
    <s v="NA"/>
    <s v="NA"/>
    <s v="NA"/>
    <s v="NA"/>
    <s v="NA"/>
    <s v="NA"/>
    <s v="NA"/>
  </r>
  <r>
    <s v="APLBF6JY2C1QZ"/>
    <s v="english"/>
    <n v="50"/>
    <s v="female"/>
    <s v="train"/>
    <x v="2"/>
    <n v="35642"/>
    <n v="0"/>
    <n v="0"/>
    <n v="0"/>
    <n v="1"/>
    <s v="NA"/>
    <s v="NA"/>
    <s v="NA"/>
    <s v="NA"/>
    <s v="NA"/>
    <s v="NA"/>
    <s v="NA"/>
    <s v="NA"/>
    <s v="NA"/>
    <s v="NA"/>
    <s v="NA"/>
    <s v="NA"/>
    <s v="NA"/>
    <s v="NA"/>
    <s v="NA"/>
    <s v="NA"/>
    <s v="NA"/>
    <s v="NA"/>
    <s v="NA"/>
    <s v="NA"/>
  </r>
  <r>
    <s v="APLBF6JY2C1QZ"/>
    <s v="english"/>
    <n v="50"/>
    <s v="female"/>
    <s v="train"/>
    <x v="1"/>
    <n v="36793"/>
    <n v="0"/>
    <n v="0"/>
    <n v="1"/>
    <n v="0"/>
    <s v="NA"/>
    <s v="NA"/>
    <s v="NA"/>
    <s v="NA"/>
    <s v="NA"/>
    <s v="NA"/>
    <s v="NA"/>
    <s v="NA"/>
    <s v="NA"/>
    <s v="NA"/>
    <s v="NA"/>
    <s v="NA"/>
    <s v="NA"/>
    <s v="NA"/>
    <s v="NA"/>
    <s v="NA"/>
    <s v="NA"/>
    <s v="NA"/>
    <s v="NA"/>
    <s v="NA"/>
  </r>
  <r>
    <s v="APLBF6JY2C1QZ"/>
    <s v="english"/>
    <n v="50"/>
    <s v="female"/>
    <s v="test"/>
    <x v="8"/>
    <n v="221678"/>
    <n v="1"/>
    <n v="1"/>
    <n v="1"/>
    <n v="0"/>
    <s v="Stylist E."/>
    <s v="Stylists D and E."/>
    <s v="Stylist A."/>
    <s v="mo-l"/>
    <s v="ms-l"/>
    <s v="mo-h"/>
    <n v="0"/>
    <n v="1"/>
    <n v="1"/>
    <n v="0"/>
    <n v="1"/>
    <n v="0"/>
    <n v="1"/>
    <n v="0"/>
    <n v="1"/>
    <n v="1"/>
    <n v="0"/>
    <n v="1"/>
    <n v="0"/>
    <n v="0"/>
  </r>
  <r>
    <s v="APLBF6JY2C1QZ"/>
    <s v="english"/>
    <n v="50"/>
    <s v="female"/>
    <s v="test"/>
    <x v="6"/>
    <n v="25194"/>
    <n v="0"/>
    <n v="1"/>
    <n v="1"/>
    <n v="0"/>
    <s v="Cafe F."/>
    <s v="Cafes A and B."/>
    <s v="Cafe A."/>
    <s v="fa"/>
    <s v="ms-h"/>
    <s v="mo-h"/>
    <n v="0"/>
    <n v="1"/>
    <n v="0"/>
    <n v="1"/>
    <n v="0"/>
    <n v="0"/>
    <n v="1"/>
    <n v="0"/>
    <n v="1"/>
    <n v="0"/>
    <n v="1"/>
    <n v="0"/>
    <n v="0"/>
    <n v="0"/>
  </r>
  <r>
    <s v="APLBF6JY2C1QZ"/>
    <s v="english"/>
    <n v="50"/>
    <s v="female"/>
    <s v="control"/>
    <x v="5"/>
    <n v="96625"/>
    <n v="0"/>
    <n v="0"/>
    <n v="0"/>
    <n v="1"/>
    <s v="NA"/>
    <s v="NA"/>
    <s v="NA"/>
    <s v="NA"/>
    <s v="NA"/>
    <s v="NA"/>
    <s v="NA"/>
    <n v="1"/>
    <n v="0"/>
    <n v="1"/>
    <n v="0"/>
    <n v="0"/>
    <n v="1"/>
    <n v="0"/>
    <n v="1"/>
    <n v="0"/>
    <n v="1"/>
    <n v="0"/>
    <n v="0"/>
    <n v="0"/>
  </r>
  <r>
    <s v="APLBF6JY2C1QZ"/>
    <s v="english"/>
    <n v="50"/>
    <s v="female"/>
    <s v="test"/>
    <x v="11"/>
    <n v="20552"/>
    <n v="0"/>
    <n v="1"/>
    <n v="0"/>
    <n v="0"/>
    <s v="Store E."/>
    <s v="Store A."/>
    <s v="Stores D and E."/>
    <s v="mo-l"/>
    <s v="mo-h"/>
    <s v="ms-l"/>
    <n v="0"/>
    <n v="1"/>
    <n v="1"/>
    <n v="0"/>
    <n v="1"/>
    <n v="0"/>
    <n v="1"/>
    <n v="0"/>
    <n v="1"/>
    <n v="0"/>
    <n v="0"/>
    <n v="0"/>
    <n v="0"/>
    <n v="0"/>
  </r>
  <r>
    <s v="APLBF6JY2C1QZ"/>
    <s v="english"/>
    <n v="50"/>
    <s v="female"/>
    <s v="test"/>
    <x v="4"/>
    <n v="27240"/>
    <n v="0"/>
    <n v="0"/>
    <n v="0"/>
    <n v="1"/>
    <s v="Dentists D and E."/>
    <s v="Dentist E."/>
    <s v="Dentists A, B, C, D and E."/>
    <s v="ms-l"/>
    <s v="mo-l"/>
    <s v="exh"/>
    <n v="1"/>
    <n v="0"/>
    <n v="1"/>
    <n v="0"/>
    <n v="1"/>
    <n v="0"/>
    <n v="1"/>
    <n v="0"/>
    <n v="0"/>
    <n v="0"/>
    <n v="0"/>
    <n v="0"/>
    <n v="0"/>
    <n v="1"/>
  </r>
  <r>
    <s v="APLBF6JY2C1QZ"/>
    <s v="english"/>
    <n v="50"/>
    <s v="female"/>
    <s v="control"/>
    <x v="12"/>
    <n v="15157"/>
    <n v="1"/>
    <n v="1"/>
    <n v="0"/>
    <n v="0"/>
    <s v="NA"/>
    <s v="NA"/>
    <s v="NA"/>
    <s v="NA"/>
    <s v="NA"/>
    <s v="NA"/>
    <s v="NA"/>
    <n v="0"/>
    <n v="1"/>
    <n v="0"/>
    <n v="1"/>
    <n v="0"/>
    <n v="1"/>
    <n v="0"/>
    <n v="0"/>
    <n v="0"/>
    <n v="0"/>
    <n v="0"/>
    <n v="0"/>
    <n v="1"/>
  </r>
  <r>
    <s v="APLBF6JY2C1QZ"/>
    <s v="english"/>
    <n v="50"/>
    <s v="female"/>
    <s v="test"/>
    <x v="3"/>
    <n v="35189"/>
    <n v="0"/>
    <n v="0"/>
    <n v="1"/>
    <n v="0"/>
    <s v="Bookstore E."/>
    <s v="Bookstore F."/>
    <s v="Bookstore A."/>
    <s v="mo-l"/>
    <s v="fa"/>
    <s v="mo-h"/>
    <n v="0"/>
    <n v="1"/>
    <n v="1"/>
    <n v="0"/>
    <n v="0"/>
    <n v="0"/>
    <n v="1"/>
    <n v="0"/>
    <n v="1"/>
    <n v="0"/>
    <n v="0"/>
    <n v="0"/>
    <n v="0"/>
    <n v="0"/>
  </r>
  <r>
    <s v="APLBF6JY2C1QZ"/>
    <s v="english"/>
    <n v="50"/>
    <s v="female"/>
    <s v="control"/>
    <x v="7"/>
    <n v="26484"/>
    <n v="1"/>
    <n v="1"/>
    <n v="0"/>
    <n v="0"/>
    <s v="NA"/>
    <s v="NA"/>
    <s v="NA"/>
    <s v="NA"/>
    <s v="NA"/>
    <s v="NA"/>
    <s v="NA"/>
    <n v="1"/>
    <n v="1"/>
    <n v="0"/>
    <n v="0"/>
    <n v="0"/>
    <n v="1"/>
    <n v="0"/>
    <n v="1"/>
    <n v="0"/>
    <n v="0"/>
    <n v="0"/>
    <n v="0"/>
    <n v="0"/>
  </r>
  <r>
    <s v="APLBF6JY2C1QZ"/>
    <s v="english"/>
    <n v="50"/>
    <s v="female"/>
    <s v="test"/>
    <x v="9"/>
    <n v="20754"/>
    <n v="0"/>
    <n v="0"/>
    <n v="1"/>
    <n v="0"/>
    <s v="Stall E."/>
    <s v="Stalls D and E."/>
    <s v="Stall A."/>
    <s v="mo-l"/>
    <s v="ms-l"/>
    <s v="mo-h"/>
    <n v="0"/>
    <n v="1"/>
    <n v="1"/>
    <n v="0"/>
    <n v="1"/>
    <n v="0"/>
    <n v="1"/>
    <n v="0"/>
    <n v="1"/>
    <n v="0"/>
    <n v="0"/>
    <n v="0"/>
    <n v="0"/>
    <n v="0"/>
  </r>
  <r>
    <s v="APLBF6JY2C1QZ"/>
    <s v="english"/>
    <n v="50"/>
    <s v="female"/>
    <s v="control"/>
    <x v="10"/>
    <n v="30325"/>
    <n v="0"/>
    <n v="1"/>
    <n v="1"/>
    <n v="0"/>
    <s v="NA"/>
    <s v="NA"/>
    <s v="NA"/>
    <s v="NA"/>
    <s v="NA"/>
    <s v="NA"/>
    <s v="NA"/>
    <n v="1"/>
    <n v="1"/>
    <n v="0"/>
    <n v="1"/>
    <n v="0"/>
    <n v="1"/>
    <n v="0"/>
    <n v="1"/>
    <n v="0"/>
    <n v="0"/>
    <n v="0"/>
    <n v="0"/>
    <n v="0"/>
  </r>
  <r>
    <s v="APLBF6JY2C1QZ"/>
    <s v="english"/>
    <n v="50"/>
    <s v="female"/>
    <s v="exit_quest"/>
    <x v="0"/>
    <n v="50821"/>
    <s v="I would answer the same for both questions as it is obvious the traveler is asking for recommendations of where to go eat brunch in both questions."/>
    <s v="It was a little long for the pay and there is no progress bar to know how much is left. "/>
    <m/>
    <s v="NA"/>
    <s v="NA"/>
    <s v="NA"/>
    <s v="NA"/>
    <s v="NA"/>
    <s v="NA"/>
    <s v="NA"/>
    <s v="NA"/>
    <s v="NA"/>
    <s v="NA"/>
    <s v="NA"/>
    <s v="NA"/>
    <s v="NA"/>
    <s v="NA"/>
    <s v="NA"/>
    <s v="NA"/>
    <s v="NA"/>
    <s v="NA"/>
    <s v="NA"/>
    <s v="NA"/>
    <s v="NA"/>
  </r>
  <r>
    <s v="AZTHBV93S8U3T"/>
    <s v="english"/>
    <n v="28"/>
    <s v="male"/>
    <s v="consent"/>
    <x v="0"/>
    <n v="895280"/>
    <s v="NA"/>
    <s v="NA"/>
    <s v="NA"/>
    <s v="NA"/>
    <s v="NA"/>
    <s v="NA"/>
    <s v="NA"/>
    <s v="NA"/>
    <s v="NA"/>
    <s v="NA"/>
    <s v="NA"/>
    <s v="NA"/>
    <s v="NA"/>
    <s v="NA"/>
    <s v="NA"/>
    <s v="NA"/>
    <s v="NA"/>
    <s v="NA"/>
    <s v="NA"/>
    <s v="NA"/>
    <s v="NA"/>
    <s v="NA"/>
    <s v="NA"/>
    <s v="NA"/>
  </r>
  <r>
    <s v="AZTHBV93S8U3T"/>
    <s v="english"/>
    <n v="28"/>
    <s v="male"/>
    <s v="train"/>
    <x v="1"/>
    <n v="625734"/>
    <n v="0"/>
    <n v="0"/>
    <n v="1"/>
    <n v="0"/>
    <s v="NA"/>
    <s v="NA"/>
    <s v="NA"/>
    <s v="NA"/>
    <s v="NA"/>
    <s v="NA"/>
    <s v="NA"/>
    <s v="NA"/>
    <s v="NA"/>
    <s v="NA"/>
    <s v="NA"/>
    <s v="NA"/>
    <s v="NA"/>
    <s v="NA"/>
    <s v="NA"/>
    <s v="NA"/>
    <s v="NA"/>
    <s v="NA"/>
    <s v="NA"/>
    <s v="NA"/>
  </r>
  <r>
    <s v="AZTHBV93S8U3T"/>
    <s v="english"/>
    <n v="28"/>
    <s v="male"/>
    <s v="train"/>
    <x v="2"/>
    <n v="812656"/>
    <n v="0"/>
    <n v="0"/>
    <n v="0"/>
    <n v="1"/>
    <s v="NA"/>
    <s v="NA"/>
    <s v="NA"/>
    <s v="NA"/>
    <s v="NA"/>
    <s v="NA"/>
    <s v="NA"/>
    <s v="NA"/>
    <s v="NA"/>
    <s v="NA"/>
    <s v="NA"/>
    <s v="NA"/>
    <s v="NA"/>
    <s v="NA"/>
    <s v="NA"/>
    <s v="NA"/>
    <s v="NA"/>
    <s v="NA"/>
    <s v="NA"/>
    <s v="NA"/>
  </r>
  <r>
    <s v="AZTHBV93S8U3T"/>
    <s v="english"/>
    <n v="28"/>
    <s v="male"/>
    <s v="test"/>
    <x v="9"/>
    <n v="180353"/>
    <n v="0"/>
    <n v="0"/>
    <n v="0"/>
    <n v="1"/>
    <s v="Stall A."/>
    <s v="Stall F."/>
    <s v="Stalls A, B, C, D and E."/>
    <s v="mo-h"/>
    <s v="fa"/>
    <s v="exh"/>
    <n v="1"/>
    <n v="1"/>
    <n v="0"/>
    <n v="0"/>
    <n v="0"/>
    <n v="0"/>
    <n v="1"/>
    <n v="0"/>
    <n v="0"/>
    <n v="0"/>
    <n v="0"/>
    <n v="0"/>
    <n v="0"/>
    <n v="1"/>
  </r>
  <r>
    <s v="AZTHBV93S8U3T"/>
    <s v="english"/>
    <n v="28"/>
    <s v="male"/>
    <s v="control"/>
    <x v="10"/>
    <n v="51870"/>
    <n v="0"/>
    <n v="0"/>
    <n v="1"/>
    <n v="0"/>
    <s v="NA"/>
    <s v="NA"/>
    <s v="NA"/>
    <s v="NA"/>
    <s v="NA"/>
    <s v="NA"/>
    <s v="NA"/>
    <n v="1"/>
    <n v="0"/>
    <n v="0"/>
    <n v="0"/>
    <n v="0"/>
    <n v="1"/>
    <n v="0"/>
    <n v="0"/>
    <n v="0"/>
    <n v="0"/>
    <n v="0"/>
    <n v="0"/>
    <n v="1"/>
  </r>
  <r>
    <s v="AZTHBV93S8U3T"/>
    <s v="english"/>
    <n v="28"/>
    <s v="male"/>
    <s v="test"/>
    <x v="4"/>
    <n v="23543"/>
    <n v="1"/>
    <n v="0"/>
    <n v="0"/>
    <n v="0"/>
    <s v="Dentists A, B, C, D and E."/>
    <s v="Dentist E."/>
    <s v="Dentists D and E."/>
    <s v="exh"/>
    <s v="mo-l"/>
    <s v="ms-l"/>
    <n v="1"/>
    <n v="0"/>
    <n v="1"/>
    <n v="0"/>
    <n v="1"/>
    <n v="0"/>
    <n v="1"/>
    <n v="1"/>
    <n v="0"/>
    <n v="0"/>
    <n v="0"/>
    <n v="0"/>
    <n v="0"/>
    <n v="0"/>
  </r>
  <r>
    <s v="AZTHBV93S8U3T"/>
    <s v="english"/>
    <n v="28"/>
    <s v="male"/>
    <s v="test"/>
    <x v="8"/>
    <n v="29816"/>
    <n v="0"/>
    <n v="0"/>
    <n v="1"/>
    <n v="0"/>
    <s v="Stylists D and E."/>
    <s v="Stylists A and B."/>
    <s v="Stylist A."/>
    <s v="ms-l"/>
    <s v="ms-h"/>
    <s v="mo-h"/>
    <n v="0"/>
    <n v="1"/>
    <n v="0"/>
    <n v="1"/>
    <n v="1"/>
    <n v="0"/>
    <n v="1"/>
    <n v="0"/>
    <n v="1"/>
    <n v="0"/>
    <n v="0"/>
    <n v="0"/>
    <n v="0"/>
    <n v="0"/>
  </r>
  <r>
    <s v="AZTHBV93S8U3T"/>
    <s v="english"/>
    <n v="28"/>
    <s v="male"/>
    <s v="control"/>
    <x v="12"/>
    <n v="25947"/>
    <n v="1"/>
    <n v="0"/>
    <n v="0"/>
    <n v="0"/>
    <s v="NA"/>
    <s v="NA"/>
    <s v="NA"/>
    <s v="NA"/>
    <s v="NA"/>
    <s v="NA"/>
    <s v="NA"/>
    <n v="1"/>
    <n v="0"/>
    <n v="1"/>
    <n v="1"/>
    <n v="0"/>
    <n v="1"/>
    <n v="0"/>
    <n v="1"/>
    <n v="0"/>
    <n v="0"/>
    <n v="0"/>
    <n v="0"/>
    <n v="0"/>
  </r>
  <r>
    <s v="AZTHBV93S8U3T"/>
    <s v="english"/>
    <n v="28"/>
    <s v="male"/>
    <s v="test"/>
    <x v="3"/>
    <n v="23777"/>
    <n v="0"/>
    <n v="0"/>
    <n v="1"/>
    <n v="0"/>
    <s v="Bookstores D and E."/>
    <s v="Bookstores A and B."/>
    <s v="Bookstore A."/>
    <s v="ms-l"/>
    <s v="ms-h"/>
    <s v="mo-h"/>
    <n v="0"/>
    <n v="1"/>
    <n v="0"/>
    <n v="1"/>
    <n v="1"/>
    <n v="0"/>
    <n v="1"/>
    <n v="0"/>
    <n v="1"/>
    <n v="0"/>
    <n v="0"/>
    <n v="0"/>
    <n v="0"/>
    <n v="0"/>
  </r>
  <r>
    <s v="AZTHBV93S8U3T"/>
    <s v="english"/>
    <n v="28"/>
    <s v="male"/>
    <s v="control"/>
    <x v="7"/>
    <n v="34369"/>
    <n v="1"/>
    <n v="1"/>
    <n v="0"/>
    <n v="0"/>
    <s v="NA"/>
    <s v="NA"/>
    <s v="NA"/>
    <s v="NA"/>
    <s v="NA"/>
    <s v="NA"/>
    <s v="NA"/>
    <n v="1"/>
    <n v="0"/>
    <n v="1"/>
    <n v="1"/>
    <n v="0"/>
    <n v="1"/>
    <n v="0"/>
    <n v="1"/>
    <n v="0"/>
    <n v="0"/>
    <n v="0"/>
    <n v="0"/>
    <n v="0"/>
  </r>
  <r>
    <s v="AZTHBV93S8U3T"/>
    <s v="english"/>
    <n v="28"/>
    <s v="male"/>
    <s v="test"/>
    <x v="11"/>
    <n v="10589"/>
    <n v="0"/>
    <n v="1"/>
    <n v="0"/>
    <n v="0"/>
    <s v="Store E."/>
    <s v="Store A."/>
    <s v="Stores A and B."/>
    <s v="mo-l"/>
    <s v="mo-h"/>
    <s v="ms-h"/>
    <n v="0"/>
    <n v="1"/>
    <n v="1"/>
    <n v="1"/>
    <n v="0"/>
    <n v="0"/>
    <n v="1"/>
    <n v="0"/>
    <n v="1"/>
    <n v="0"/>
    <n v="0"/>
    <n v="0"/>
    <n v="0"/>
    <n v="0"/>
  </r>
  <r>
    <s v="AZTHBV93S8U3T"/>
    <s v="english"/>
    <n v="28"/>
    <s v="male"/>
    <s v="test"/>
    <x v="6"/>
    <n v="5689"/>
    <n v="1"/>
    <n v="0"/>
    <n v="0"/>
    <n v="0"/>
    <s v="Cafe A."/>
    <s v="Cafes D and E."/>
    <s v="Cafe E."/>
    <s v="mo-h"/>
    <s v="ms-l"/>
    <s v="mo-l"/>
    <n v="0"/>
    <n v="1"/>
    <n v="1"/>
    <n v="0"/>
    <n v="1"/>
    <n v="0"/>
    <n v="1"/>
    <n v="0"/>
    <n v="1"/>
    <n v="0"/>
    <n v="0"/>
    <n v="0"/>
    <n v="0"/>
    <n v="0"/>
  </r>
  <r>
    <s v="AZTHBV93S8U3T"/>
    <s v="english"/>
    <n v="28"/>
    <s v="male"/>
    <s v="control"/>
    <x v="5"/>
    <n v="18293"/>
    <n v="1"/>
    <n v="0"/>
    <n v="0"/>
    <n v="0"/>
    <s v="NA"/>
    <s v="NA"/>
    <s v="NA"/>
    <s v="NA"/>
    <s v="NA"/>
    <s v="NA"/>
    <s v="NA"/>
    <n v="1"/>
    <n v="1"/>
    <n v="0"/>
    <n v="1"/>
    <n v="0"/>
    <n v="1"/>
    <n v="0"/>
    <n v="1"/>
    <n v="0"/>
    <n v="0"/>
    <n v="0"/>
    <n v="0"/>
    <n v="0"/>
  </r>
  <r>
    <s v="AZTHBV93S8U3T"/>
    <s v="english"/>
    <n v="28"/>
    <s v="male"/>
    <s v="exit_quest"/>
    <x v="0"/>
    <n v="44745"/>
    <s v="No%2C for both questions I would think of restaurants. "/>
    <s v="It didn't involve too much critical thinking"/>
    <m/>
    <s v="NA"/>
    <s v="NA"/>
    <s v="NA"/>
    <s v="NA"/>
    <s v="NA"/>
    <s v="NA"/>
    <s v="NA"/>
    <s v="NA"/>
    <s v="NA"/>
    <s v="NA"/>
    <s v="NA"/>
    <s v="NA"/>
    <s v="NA"/>
    <s v="NA"/>
    <s v="NA"/>
    <s v="NA"/>
    <s v="NA"/>
    <s v="NA"/>
    <s v="NA"/>
    <s v="NA"/>
    <s v="NA"/>
  </r>
  <r>
    <s v="AY43RJRF8IEBN"/>
    <s v="english"/>
    <n v="36"/>
    <s v="female"/>
    <s v="consent"/>
    <x v="0"/>
    <n v="28631"/>
    <s v="NA"/>
    <s v="NA"/>
    <s v="NA"/>
    <s v="NA"/>
    <s v="NA"/>
    <s v="NA"/>
    <s v="NA"/>
    <s v="NA"/>
    <s v="NA"/>
    <s v="NA"/>
    <s v="NA"/>
    <s v="NA"/>
    <s v="NA"/>
    <s v="NA"/>
    <s v="NA"/>
    <s v="NA"/>
    <s v="NA"/>
    <s v="NA"/>
    <s v="NA"/>
    <s v="NA"/>
    <s v="NA"/>
    <s v="NA"/>
    <s v="NA"/>
    <s v="NA"/>
  </r>
  <r>
    <s v="AY43RJRF8IEBN"/>
    <s v="english"/>
    <n v="36"/>
    <s v="female"/>
    <s v="train"/>
    <x v="2"/>
    <n v="25645"/>
    <n v="0"/>
    <n v="0"/>
    <n v="0"/>
    <n v="1"/>
    <s v="NA"/>
    <s v="NA"/>
    <s v="NA"/>
    <s v="NA"/>
    <s v="NA"/>
    <s v="NA"/>
    <s v="NA"/>
    <s v="NA"/>
    <s v="NA"/>
    <s v="NA"/>
    <s v="NA"/>
    <s v="NA"/>
    <s v="NA"/>
    <s v="NA"/>
    <s v="NA"/>
    <s v="NA"/>
    <s v="NA"/>
    <s v="NA"/>
    <s v="NA"/>
    <s v="NA"/>
  </r>
  <r>
    <s v="AY43RJRF8IEBN"/>
    <s v="english"/>
    <n v="36"/>
    <s v="female"/>
    <s v="train"/>
    <x v="1"/>
    <n v="38557"/>
    <n v="0"/>
    <n v="0"/>
    <n v="1"/>
    <n v="0"/>
    <s v="NA"/>
    <s v="NA"/>
    <s v="NA"/>
    <s v="NA"/>
    <s v="NA"/>
    <s v="NA"/>
    <s v="NA"/>
    <s v="NA"/>
    <s v="NA"/>
    <s v="NA"/>
    <s v="NA"/>
    <s v="NA"/>
    <s v="NA"/>
    <s v="NA"/>
    <s v="NA"/>
    <s v="NA"/>
    <s v="NA"/>
    <s v="NA"/>
    <s v="NA"/>
    <s v="NA"/>
  </r>
  <r>
    <s v="AY43RJRF8IEBN"/>
    <s v="english"/>
    <n v="36"/>
    <s v="female"/>
    <s v="test"/>
    <x v="11"/>
    <n v="44004"/>
    <n v="0"/>
    <n v="0"/>
    <n v="0"/>
    <n v="1"/>
    <s v="Stores A and B."/>
    <s v="Stores D and E."/>
    <s v="Store A."/>
    <s v="ms-h"/>
    <s v="ms-l"/>
    <s v="mo-h"/>
    <n v="0"/>
    <n v="1"/>
    <n v="0"/>
    <n v="1"/>
    <n v="1"/>
    <n v="0"/>
    <n v="1"/>
    <n v="0"/>
    <n v="0"/>
    <n v="0"/>
    <n v="0"/>
    <n v="0"/>
    <n v="0"/>
    <n v="1"/>
  </r>
  <r>
    <s v="AY43RJRF8IEBN"/>
    <s v="english"/>
    <n v="36"/>
    <s v="female"/>
    <s v="test"/>
    <x v="6"/>
    <n v="17380"/>
    <n v="0"/>
    <n v="0"/>
    <n v="0"/>
    <n v="1"/>
    <s v="Cafe E."/>
    <s v="Cafes A, B, C, D and E."/>
    <s v="Cafes D and E."/>
    <s v="mo-l"/>
    <s v="exh"/>
    <s v="ms-l"/>
    <n v="1"/>
    <n v="0"/>
    <n v="1"/>
    <n v="0"/>
    <n v="1"/>
    <n v="0"/>
    <n v="1"/>
    <n v="0"/>
    <n v="0"/>
    <n v="0"/>
    <n v="0"/>
    <n v="0"/>
    <n v="0"/>
    <n v="1"/>
  </r>
  <r>
    <s v="AY43RJRF8IEBN"/>
    <s v="english"/>
    <n v="36"/>
    <s v="female"/>
    <s v="control"/>
    <x v="12"/>
    <n v="18670"/>
    <n v="1"/>
    <n v="0"/>
    <n v="0"/>
    <n v="0"/>
    <s v="NA"/>
    <s v="NA"/>
    <s v="NA"/>
    <s v="NA"/>
    <s v="NA"/>
    <s v="NA"/>
    <s v="NA"/>
    <n v="0"/>
    <n v="1"/>
    <n v="0"/>
    <n v="1"/>
    <n v="0"/>
    <n v="1"/>
    <n v="0"/>
    <n v="0"/>
    <n v="0"/>
    <n v="0"/>
    <n v="0"/>
    <n v="0"/>
    <n v="1"/>
  </r>
  <r>
    <s v="AY43RJRF8IEBN"/>
    <s v="english"/>
    <n v="36"/>
    <s v="female"/>
    <s v="test"/>
    <x v="8"/>
    <n v="21860"/>
    <n v="0"/>
    <n v="0"/>
    <n v="0"/>
    <n v="1"/>
    <s v="Stylist A."/>
    <s v="Stylist E."/>
    <s v="Stylists A, B, C, D and E."/>
    <s v="mo-h"/>
    <s v="mo-l"/>
    <s v="exh"/>
    <n v="1"/>
    <n v="1"/>
    <n v="1"/>
    <n v="0"/>
    <n v="0"/>
    <n v="0"/>
    <n v="1"/>
    <n v="0"/>
    <n v="0"/>
    <n v="0"/>
    <n v="0"/>
    <n v="0"/>
    <n v="0"/>
    <n v="1"/>
  </r>
  <r>
    <s v="AY43RJRF8IEBN"/>
    <s v="english"/>
    <n v="36"/>
    <s v="female"/>
    <s v="control"/>
    <x v="10"/>
    <n v="34494"/>
    <n v="0"/>
    <n v="1"/>
    <n v="1"/>
    <n v="0"/>
    <s v="NA"/>
    <s v="NA"/>
    <s v="NA"/>
    <s v="NA"/>
    <s v="NA"/>
    <s v="NA"/>
    <s v="NA"/>
    <n v="1"/>
    <n v="1"/>
    <n v="0"/>
    <n v="0"/>
    <n v="0"/>
    <n v="1"/>
    <n v="0"/>
    <n v="0"/>
    <n v="0"/>
    <n v="0"/>
    <n v="0"/>
    <n v="0"/>
    <n v="1"/>
  </r>
  <r>
    <s v="AY43RJRF8IEBN"/>
    <s v="english"/>
    <n v="36"/>
    <s v="female"/>
    <s v="test"/>
    <x v="3"/>
    <n v="18901"/>
    <n v="0"/>
    <n v="0"/>
    <n v="0"/>
    <n v="1"/>
    <s v="Bookstore A."/>
    <s v="Bookstores D and E."/>
    <s v="Bookstores A, B, C, D and E."/>
    <s v="mo-h"/>
    <s v="ms-l"/>
    <s v="exh"/>
    <n v="1"/>
    <n v="1"/>
    <n v="0"/>
    <n v="0"/>
    <n v="1"/>
    <n v="0"/>
    <n v="1"/>
    <n v="0"/>
    <n v="0"/>
    <n v="0"/>
    <n v="0"/>
    <n v="0"/>
    <n v="0"/>
    <n v="1"/>
  </r>
  <r>
    <s v="AY43RJRF8IEBN"/>
    <s v="english"/>
    <n v="36"/>
    <s v="female"/>
    <s v="test"/>
    <x v="4"/>
    <n v="13732"/>
    <n v="0"/>
    <n v="0"/>
    <n v="0"/>
    <n v="1"/>
    <s v="Dentists A and B."/>
    <s v="Dentist E."/>
    <s v="Dentist A."/>
    <s v="ms-h"/>
    <s v="mo-l"/>
    <s v="mo-h"/>
    <n v="0"/>
    <n v="1"/>
    <n v="1"/>
    <n v="1"/>
    <n v="0"/>
    <n v="0"/>
    <n v="1"/>
    <n v="0"/>
    <n v="0"/>
    <n v="0"/>
    <n v="0"/>
    <n v="0"/>
    <n v="0"/>
    <n v="1"/>
  </r>
  <r>
    <s v="AY43RJRF8IEBN"/>
    <s v="english"/>
    <n v="36"/>
    <s v="female"/>
    <s v="control"/>
    <x v="7"/>
    <n v="19679"/>
    <n v="1"/>
    <n v="1"/>
    <n v="0"/>
    <n v="0"/>
    <s v="NA"/>
    <s v="NA"/>
    <s v="NA"/>
    <s v="NA"/>
    <s v="NA"/>
    <s v="NA"/>
    <s v="NA"/>
    <n v="1"/>
    <n v="1"/>
    <n v="1"/>
    <n v="0"/>
    <n v="0"/>
    <n v="1"/>
    <n v="0"/>
    <n v="0"/>
    <n v="0"/>
    <n v="0"/>
    <n v="0"/>
    <n v="0"/>
    <n v="1"/>
  </r>
  <r>
    <s v="AY43RJRF8IEBN"/>
    <s v="english"/>
    <n v="36"/>
    <s v="female"/>
    <s v="test"/>
    <x v="9"/>
    <n v="17857"/>
    <n v="0"/>
    <n v="0"/>
    <n v="0"/>
    <n v="1"/>
    <s v="Stall F."/>
    <s v="Stalls D and E."/>
    <s v="Stall A."/>
    <s v="fa"/>
    <s v="ms-l"/>
    <s v="mo-h"/>
    <n v="0"/>
    <n v="1"/>
    <n v="0"/>
    <n v="0"/>
    <n v="1"/>
    <n v="0"/>
    <n v="1"/>
    <n v="0"/>
    <n v="0"/>
    <n v="0"/>
    <n v="0"/>
    <n v="0"/>
    <n v="0"/>
    <n v="1"/>
  </r>
  <r>
    <s v="AY43RJRF8IEBN"/>
    <s v="english"/>
    <n v="36"/>
    <s v="female"/>
    <s v="control"/>
    <x v="5"/>
    <n v="23998"/>
    <n v="0"/>
    <n v="0"/>
    <n v="1"/>
    <n v="0"/>
    <s v="NA"/>
    <s v="NA"/>
    <s v="NA"/>
    <s v="NA"/>
    <s v="NA"/>
    <s v="NA"/>
    <s v="NA"/>
    <n v="1"/>
    <n v="0"/>
    <n v="0"/>
    <n v="1"/>
    <n v="0"/>
    <n v="1"/>
    <n v="0"/>
    <n v="0"/>
    <n v="0"/>
    <n v="0"/>
    <n v="0"/>
    <n v="0"/>
    <n v="1"/>
  </r>
  <r>
    <s v="AY43RJRF8IEBN"/>
    <s v="english"/>
    <n v="36"/>
    <s v="female"/>
    <s v="exit_quest"/>
    <x v="0"/>
    <n v="60709"/>
    <s v="Yes. &quot;Where can I go&quot; is asking for the best ones. &quot;Which restaurants&quot; is factual."/>
    <s v="Very. I was never sure what I was supposed to answer."/>
    <s v="no"/>
    <s v="NA"/>
    <s v="NA"/>
    <s v="NA"/>
    <s v="NA"/>
    <s v="NA"/>
    <s v="NA"/>
    <s v="NA"/>
    <s v="NA"/>
    <s v="NA"/>
    <s v="NA"/>
    <s v="NA"/>
    <s v="NA"/>
    <s v="NA"/>
    <s v="NA"/>
    <s v="NA"/>
    <s v="NA"/>
    <s v="NA"/>
    <s v="NA"/>
    <s v="NA"/>
    <s v="NA"/>
    <s v="NA"/>
  </r>
  <r>
    <s v="A35KO5LPASBFI9"/>
    <s v="english"/>
    <n v="24"/>
    <s v="female"/>
    <s v="consent"/>
    <x v="0"/>
    <n v="25316"/>
    <s v="NA"/>
    <s v="NA"/>
    <s v="NA"/>
    <s v="NA"/>
    <s v="NA"/>
    <s v="NA"/>
    <s v="NA"/>
    <s v="NA"/>
    <s v="NA"/>
    <s v="NA"/>
    <s v="NA"/>
    <s v="NA"/>
    <s v="NA"/>
    <s v="NA"/>
    <s v="NA"/>
    <s v="NA"/>
    <s v="NA"/>
    <s v="NA"/>
    <s v="NA"/>
    <s v="NA"/>
    <s v="NA"/>
    <s v="NA"/>
    <s v="NA"/>
    <s v="NA"/>
  </r>
  <r>
    <s v="A35KO5LPASBFI9"/>
    <s v="english"/>
    <n v="24"/>
    <s v="female"/>
    <s v="train"/>
    <x v="1"/>
    <n v="33578"/>
    <n v="0"/>
    <n v="0"/>
    <n v="1"/>
    <n v="0"/>
    <s v="NA"/>
    <s v="NA"/>
    <s v="NA"/>
    <s v="NA"/>
    <s v="NA"/>
    <s v="NA"/>
    <s v="NA"/>
    <s v="NA"/>
    <s v="NA"/>
    <s v="NA"/>
    <s v="NA"/>
    <s v="NA"/>
    <s v="NA"/>
    <s v="NA"/>
    <s v="NA"/>
    <s v="NA"/>
    <s v="NA"/>
    <s v="NA"/>
    <s v="NA"/>
    <s v="NA"/>
  </r>
  <r>
    <s v="A35KO5LPASBFI9"/>
    <s v="english"/>
    <n v="24"/>
    <s v="female"/>
    <s v="train"/>
    <x v="2"/>
    <n v="29929"/>
    <n v="0"/>
    <n v="0"/>
    <n v="0"/>
    <n v="1"/>
    <s v="NA"/>
    <s v="NA"/>
    <s v="NA"/>
    <s v="NA"/>
    <s v="NA"/>
    <s v="NA"/>
    <s v="NA"/>
    <s v="NA"/>
    <s v="NA"/>
    <s v="NA"/>
    <s v="NA"/>
    <s v="NA"/>
    <s v="NA"/>
    <s v="NA"/>
    <s v="NA"/>
    <s v="NA"/>
    <s v="NA"/>
    <s v="NA"/>
    <s v="NA"/>
    <s v="NA"/>
  </r>
  <r>
    <s v="A35KO5LPASBFI9"/>
    <s v="english"/>
    <n v="24"/>
    <s v="female"/>
    <s v="test"/>
    <x v="6"/>
    <n v="56081"/>
    <n v="1"/>
    <n v="1"/>
    <n v="1"/>
    <n v="0"/>
    <s v="Cafes A and B."/>
    <s v="Cafes D and E."/>
    <s v="Cafe A."/>
    <s v="ms-h"/>
    <s v="ms-l"/>
    <s v="mo-h"/>
    <n v="0"/>
    <n v="1"/>
    <n v="0"/>
    <n v="1"/>
    <n v="1"/>
    <n v="0"/>
    <n v="1"/>
    <n v="0"/>
    <n v="1"/>
    <n v="0"/>
    <n v="1"/>
    <n v="1"/>
    <n v="0"/>
    <n v="0"/>
  </r>
  <r>
    <s v="A35KO5LPASBFI9"/>
    <s v="english"/>
    <n v="24"/>
    <s v="female"/>
    <s v="test"/>
    <x v="9"/>
    <n v="25844"/>
    <n v="0"/>
    <n v="1"/>
    <n v="0"/>
    <n v="0"/>
    <s v="Stall F."/>
    <s v="Stall A."/>
    <s v="Stalls D and E."/>
    <s v="fa"/>
    <s v="mo-h"/>
    <s v="ms-l"/>
    <n v="0"/>
    <n v="1"/>
    <n v="0"/>
    <n v="0"/>
    <n v="1"/>
    <n v="0"/>
    <n v="1"/>
    <n v="0"/>
    <n v="1"/>
    <n v="0"/>
    <n v="0"/>
    <n v="0"/>
    <n v="0"/>
    <n v="0"/>
  </r>
  <r>
    <s v="A35KO5LPASBFI9"/>
    <s v="english"/>
    <n v="24"/>
    <s v="female"/>
    <s v="control"/>
    <x v="7"/>
    <n v="19141"/>
    <n v="1"/>
    <n v="1"/>
    <n v="0"/>
    <n v="0"/>
    <s v="NA"/>
    <s v="NA"/>
    <s v="NA"/>
    <s v="NA"/>
    <s v="NA"/>
    <s v="NA"/>
    <s v="NA"/>
    <n v="1"/>
    <n v="0"/>
    <n v="0"/>
    <n v="1"/>
    <n v="0"/>
    <n v="1"/>
    <n v="0"/>
    <n v="1"/>
    <n v="0"/>
    <n v="0"/>
    <n v="0"/>
    <n v="0"/>
    <n v="0"/>
  </r>
  <r>
    <s v="A35KO5LPASBFI9"/>
    <s v="english"/>
    <n v="24"/>
    <s v="female"/>
    <s v="test"/>
    <x v="11"/>
    <n v="22659"/>
    <n v="0"/>
    <n v="1"/>
    <n v="0"/>
    <n v="0"/>
    <s v="Stores D and E."/>
    <s v="Store A."/>
    <s v="Store F."/>
    <s v="ms-l"/>
    <s v="mo-h"/>
    <s v="fa"/>
    <n v="0"/>
    <n v="1"/>
    <n v="0"/>
    <n v="0"/>
    <n v="1"/>
    <n v="0"/>
    <n v="1"/>
    <n v="0"/>
    <n v="1"/>
    <n v="0"/>
    <n v="0"/>
    <n v="0"/>
    <n v="0"/>
    <n v="0"/>
  </r>
  <r>
    <s v="A35KO5LPASBFI9"/>
    <s v="english"/>
    <n v="24"/>
    <s v="female"/>
    <s v="test"/>
    <x v="3"/>
    <n v="21627"/>
    <n v="1"/>
    <n v="1"/>
    <n v="1"/>
    <n v="0"/>
    <s v="Bookstore E."/>
    <s v="Bookstore F."/>
    <s v="Bookstores A, B, C, D and E."/>
    <s v="mo-l"/>
    <s v="fa"/>
    <s v="exh"/>
    <n v="1"/>
    <n v="0"/>
    <n v="1"/>
    <n v="0"/>
    <n v="0"/>
    <n v="0"/>
    <n v="1"/>
    <n v="1"/>
    <n v="0"/>
    <n v="1"/>
    <n v="0"/>
    <n v="0"/>
    <n v="0"/>
    <n v="0"/>
  </r>
  <r>
    <s v="A35KO5LPASBFI9"/>
    <s v="english"/>
    <n v="24"/>
    <s v="female"/>
    <s v="control"/>
    <x v="12"/>
    <n v="19715"/>
    <n v="1"/>
    <n v="0"/>
    <n v="0"/>
    <n v="0"/>
    <s v="NA"/>
    <s v="NA"/>
    <s v="NA"/>
    <s v="NA"/>
    <s v="NA"/>
    <s v="NA"/>
    <s v="NA"/>
    <n v="0"/>
    <n v="1"/>
    <n v="0"/>
    <n v="0"/>
    <n v="0"/>
    <n v="1"/>
    <n v="1"/>
    <n v="0"/>
    <n v="1"/>
    <n v="0"/>
    <n v="0"/>
    <n v="0"/>
    <n v="0"/>
  </r>
  <r>
    <s v="A35KO5LPASBFI9"/>
    <s v="english"/>
    <n v="24"/>
    <s v="female"/>
    <s v="test"/>
    <x v="8"/>
    <n v="14741"/>
    <n v="0"/>
    <n v="0"/>
    <n v="0"/>
    <n v="1"/>
    <s v="Stylist E."/>
    <s v="Stylists A and B."/>
    <s v="Stylists D and E."/>
    <s v="mo-l"/>
    <s v="ms-h"/>
    <s v="ms-l"/>
    <n v="0"/>
    <n v="0"/>
    <n v="1"/>
    <n v="1"/>
    <n v="1"/>
    <n v="0"/>
    <n v="1"/>
    <n v="0"/>
    <n v="0"/>
    <n v="0"/>
    <n v="0"/>
    <n v="0"/>
    <n v="0"/>
    <n v="1"/>
  </r>
  <r>
    <s v="A35KO5LPASBFI9"/>
    <s v="english"/>
    <n v="24"/>
    <s v="female"/>
    <s v="control"/>
    <x v="10"/>
    <n v="28636"/>
    <n v="0"/>
    <n v="0"/>
    <n v="1"/>
    <n v="0"/>
    <s v="NA"/>
    <s v="NA"/>
    <s v="NA"/>
    <s v="NA"/>
    <s v="NA"/>
    <s v="NA"/>
    <s v="NA"/>
    <n v="0"/>
    <n v="1"/>
    <n v="1"/>
    <n v="1"/>
    <n v="0"/>
    <n v="1"/>
    <n v="0"/>
    <n v="0"/>
    <n v="0"/>
    <n v="0"/>
    <n v="0"/>
    <n v="0"/>
    <n v="1"/>
  </r>
  <r>
    <s v="A35KO5LPASBFI9"/>
    <s v="english"/>
    <n v="24"/>
    <s v="female"/>
    <s v="test"/>
    <x v="4"/>
    <n v="14282"/>
    <n v="0"/>
    <n v="0"/>
    <n v="0"/>
    <n v="1"/>
    <s v="Dentist A."/>
    <s v="Dentists A, B, C, D and E."/>
    <s v="Dentists D and E."/>
    <s v="mo-h"/>
    <s v="exh"/>
    <s v="ms-l"/>
    <n v="1"/>
    <n v="1"/>
    <n v="0"/>
    <n v="0"/>
    <n v="1"/>
    <n v="0"/>
    <n v="1"/>
    <n v="0"/>
    <n v="0"/>
    <n v="0"/>
    <n v="0"/>
    <n v="0"/>
    <n v="0"/>
    <n v="1"/>
  </r>
  <r>
    <s v="A35KO5LPASBFI9"/>
    <s v="english"/>
    <n v="24"/>
    <s v="female"/>
    <s v="control"/>
    <x v="5"/>
    <n v="30800"/>
    <n v="0"/>
    <n v="1"/>
    <n v="0"/>
    <n v="0"/>
    <s v="NA"/>
    <s v="NA"/>
    <s v="NA"/>
    <s v="NA"/>
    <s v="NA"/>
    <s v="NA"/>
    <s v="NA"/>
    <n v="1"/>
    <n v="0"/>
    <n v="0"/>
    <n v="1"/>
    <n v="0"/>
    <n v="1"/>
    <n v="0"/>
    <n v="0"/>
    <n v="0"/>
    <n v="0"/>
    <n v="0"/>
    <n v="0"/>
    <n v="1"/>
  </r>
  <r>
    <s v="A35KO5LPASBFI9"/>
    <s v="english"/>
    <n v="24"/>
    <s v="female"/>
    <s v="exit_quest"/>
    <x v="0"/>
    <n v="46578"/>
    <s v="No%2C I think they would be responded to in a similar manner."/>
    <s v="No"/>
    <s v="No"/>
    <s v="NA"/>
    <s v="NA"/>
    <s v="NA"/>
    <s v="NA"/>
    <s v="NA"/>
    <s v="NA"/>
    <s v="NA"/>
    <s v="NA"/>
    <s v="NA"/>
    <s v="NA"/>
    <s v="NA"/>
    <s v="NA"/>
    <s v="NA"/>
    <s v="NA"/>
    <s v="NA"/>
    <s v="NA"/>
    <s v="NA"/>
    <s v="NA"/>
    <s v="NA"/>
    <s v="NA"/>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11"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4:I19" firstHeaderRow="1" firstDataRow="2" firstDataCol="1"/>
  <pivotFields count="31">
    <pivotField showAll="0"/>
    <pivotField showAll="0"/>
    <pivotField showAll="0"/>
    <pivotField showAll="0"/>
    <pivotField showAll="0"/>
    <pivotField axis="axisCol" showAll="0">
      <items count="14">
        <item h="1" x="10"/>
        <item h="1" x="12"/>
        <item h="1" x="5"/>
        <item h="1" x="7"/>
        <item h="1" x="0"/>
        <item x="3"/>
        <item x="6"/>
        <item x="4"/>
        <item x="9"/>
        <item x="8"/>
        <item x="11"/>
        <item h="1" x="2"/>
        <item h="1" x="1"/>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4">
    <i>
      <x/>
    </i>
    <i i="1">
      <x v="1"/>
    </i>
    <i i="2">
      <x v="2"/>
    </i>
    <i i="3">
      <x v="3"/>
    </i>
    <i i="4">
      <x v="4"/>
    </i>
    <i i="5">
      <x v="5"/>
    </i>
    <i i="6">
      <x v="6"/>
    </i>
    <i i="7">
      <x v="7"/>
    </i>
    <i i="8">
      <x v="8"/>
    </i>
    <i i="9">
      <x v="9"/>
    </i>
    <i i="10">
      <x v="10"/>
    </i>
    <i i="11">
      <x v="11"/>
    </i>
    <i i="12">
      <x v="12"/>
    </i>
    <i i="13">
      <x v="13"/>
    </i>
  </rowItems>
  <colFields count="1">
    <field x="5"/>
  </colFields>
  <colItems count="7">
    <i>
      <x v="5"/>
    </i>
    <i>
      <x v="6"/>
    </i>
    <i>
      <x v="7"/>
    </i>
    <i>
      <x v="8"/>
    </i>
    <i>
      <x v="9"/>
    </i>
    <i>
      <x v="10"/>
    </i>
    <i t="grand">
      <x/>
    </i>
  </colItems>
  <dataFields count="14">
    <dataField name="Sum of exhaustive_seen" fld="17" baseField="0" baseItem="0"/>
    <dataField name="Sum of mention_one_high_seen" fld="18" baseField="0" baseItem="0"/>
    <dataField name="Sum of mention_one_low_seen" fld="19" baseField="0" baseItem="0"/>
    <dataField name="Sum of mention_some_high_seen" fld="20" baseField="0" baseItem="0"/>
    <dataField name="Sum of mention_some_low_seen" fld="21" baseField="0" baseItem="0"/>
    <dataField name="Sum of false_report_seen" fld="22" baseField="0" baseItem="0"/>
    <dataField name="Sum of none_of_above_seen" fld="23" baseField="0" baseItem="0"/>
    <dataField name="Sum of exhaustive_chosen" fld="24" baseField="0" baseItem="0"/>
    <dataField name="Sum of mention_one_high_chosen" fld="25" baseField="0" baseItem="0"/>
    <dataField name="Sum of mention_one_low_chosen" fld="26" baseField="0" baseItem="0"/>
    <dataField name="Sum of mention_some_high_chosen" fld="27" baseField="0" baseItem="0"/>
    <dataField name="Sum of mention_some_low_chosen" fld="28" baseField="0" baseItem="0"/>
    <dataField name="Sum of false_report_chosen" fld="29" baseField="0" baseItem="0"/>
    <dataField name="Sum of none_of_above_chosen" fld="3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373"/>
  <sheetViews>
    <sheetView workbookViewId="0">
      <selection activeCell="E6" sqref="A1:AE1373"/>
    </sheetView>
  </sheetViews>
  <sheetFormatPr baseColWidth="10" defaultRowHeight="16" x14ac:dyDescent="0.2"/>
  <sheetData>
    <row r="1" spans="1:3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row>
    <row r="2" spans="1:31" x14ac:dyDescent="0.2">
      <c r="A2" t="s">
        <v>31</v>
      </c>
      <c r="B2" t="s">
        <v>32</v>
      </c>
      <c r="C2">
        <v>21</v>
      </c>
      <c r="D2" t="s">
        <v>33</v>
      </c>
      <c r="E2" t="s">
        <v>34</v>
      </c>
      <c r="F2" t="s">
        <v>35</v>
      </c>
      <c r="G2">
        <v>82756</v>
      </c>
      <c r="H2" t="s">
        <v>35</v>
      </c>
      <c r="I2" t="s">
        <v>35</v>
      </c>
      <c r="J2" t="s">
        <v>35</v>
      </c>
      <c r="K2" t="s">
        <v>35</v>
      </c>
      <c r="L2" t="s">
        <v>35</v>
      </c>
      <c r="M2" t="s">
        <v>35</v>
      </c>
      <c r="N2" t="s">
        <v>35</v>
      </c>
      <c r="O2" t="s">
        <v>35</v>
      </c>
      <c r="P2" t="s">
        <v>35</v>
      </c>
      <c r="Q2" t="s">
        <v>35</v>
      </c>
      <c r="R2" t="s">
        <v>35</v>
      </c>
      <c r="S2" t="s">
        <v>35</v>
      </c>
      <c r="T2" t="s">
        <v>35</v>
      </c>
      <c r="U2" t="s">
        <v>35</v>
      </c>
      <c r="V2" t="s">
        <v>35</v>
      </c>
      <c r="W2" t="s">
        <v>35</v>
      </c>
      <c r="X2" t="s">
        <v>35</v>
      </c>
      <c r="Y2" t="s">
        <v>35</v>
      </c>
      <c r="Z2" t="s">
        <v>35</v>
      </c>
      <c r="AA2" t="s">
        <v>35</v>
      </c>
      <c r="AB2" t="s">
        <v>35</v>
      </c>
      <c r="AC2" t="s">
        <v>35</v>
      </c>
      <c r="AD2" t="s">
        <v>35</v>
      </c>
      <c r="AE2" t="s">
        <v>35</v>
      </c>
    </row>
    <row r="3" spans="1:31" x14ac:dyDescent="0.2">
      <c r="A3" t="s">
        <v>31</v>
      </c>
      <c r="B3" t="s">
        <v>32</v>
      </c>
      <c r="C3">
        <v>21</v>
      </c>
      <c r="D3" t="s">
        <v>33</v>
      </c>
      <c r="E3" t="s">
        <v>36</v>
      </c>
      <c r="F3" t="s">
        <v>37</v>
      </c>
      <c r="G3">
        <v>5812</v>
      </c>
      <c r="H3">
        <v>0</v>
      </c>
      <c r="I3">
        <v>1</v>
      </c>
      <c r="J3">
        <v>0</v>
      </c>
      <c r="K3">
        <v>0</v>
      </c>
      <c r="L3" t="s">
        <v>35</v>
      </c>
      <c r="M3" t="s">
        <v>35</v>
      </c>
      <c r="N3" t="s">
        <v>35</v>
      </c>
      <c r="O3" t="s">
        <v>35</v>
      </c>
      <c r="P3" t="s">
        <v>35</v>
      </c>
      <c r="Q3" t="s">
        <v>35</v>
      </c>
      <c r="R3" t="s">
        <v>35</v>
      </c>
      <c r="S3" t="s">
        <v>35</v>
      </c>
      <c r="T3" t="s">
        <v>35</v>
      </c>
      <c r="U3" t="s">
        <v>35</v>
      </c>
      <c r="V3" t="s">
        <v>35</v>
      </c>
      <c r="W3" t="s">
        <v>35</v>
      </c>
      <c r="X3" t="s">
        <v>35</v>
      </c>
      <c r="Y3" t="s">
        <v>35</v>
      </c>
      <c r="Z3" t="s">
        <v>35</v>
      </c>
      <c r="AA3" t="s">
        <v>35</v>
      </c>
      <c r="AB3" t="s">
        <v>35</v>
      </c>
      <c r="AC3" t="s">
        <v>35</v>
      </c>
      <c r="AD3" t="s">
        <v>35</v>
      </c>
      <c r="AE3" t="s">
        <v>35</v>
      </c>
    </row>
    <row r="4" spans="1:31" x14ac:dyDescent="0.2">
      <c r="A4" t="s">
        <v>31</v>
      </c>
      <c r="B4" t="s">
        <v>32</v>
      </c>
      <c r="C4">
        <v>21</v>
      </c>
      <c r="D4" t="s">
        <v>33</v>
      </c>
      <c r="E4" t="s">
        <v>36</v>
      </c>
      <c r="F4" t="s">
        <v>38</v>
      </c>
      <c r="G4">
        <v>2900</v>
      </c>
      <c r="H4">
        <v>0</v>
      </c>
      <c r="I4">
        <v>1</v>
      </c>
      <c r="J4">
        <v>0</v>
      </c>
      <c r="K4">
        <v>0</v>
      </c>
      <c r="L4" t="s">
        <v>35</v>
      </c>
      <c r="M4" t="s">
        <v>35</v>
      </c>
      <c r="N4" t="s">
        <v>35</v>
      </c>
      <c r="O4" t="s">
        <v>35</v>
      </c>
      <c r="P4" t="s">
        <v>35</v>
      </c>
      <c r="Q4" t="s">
        <v>35</v>
      </c>
      <c r="R4" t="s">
        <v>35</v>
      </c>
      <c r="S4" t="s">
        <v>35</v>
      </c>
      <c r="T4" t="s">
        <v>35</v>
      </c>
      <c r="U4" t="s">
        <v>35</v>
      </c>
      <c r="V4" t="s">
        <v>35</v>
      </c>
      <c r="W4" t="s">
        <v>35</v>
      </c>
      <c r="X4" t="s">
        <v>35</v>
      </c>
      <c r="Y4" t="s">
        <v>35</v>
      </c>
      <c r="Z4" t="s">
        <v>35</v>
      </c>
      <c r="AA4" t="s">
        <v>35</v>
      </c>
      <c r="AB4" t="s">
        <v>35</v>
      </c>
      <c r="AC4" t="s">
        <v>35</v>
      </c>
      <c r="AD4" t="s">
        <v>35</v>
      </c>
      <c r="AE4" t="s">
        <v>35</v>
      </c>
    </row>
    <row r="5" spans="1:31" x14ac:dyDescent="0.2">
      <c r="A5" t="s">
        <v>31</v>
      </c>
      <c r="B5" t="s">
        <v>32</v>
      </c>
      <c r="C5">
        <v>21</v>
      </c>
      <c r="D5" t="s">
        <v>33</v>
      </c>
      <c r="E5" t="s">
        <v>39</v>
      </c>
      <c r="F5" t="s">
        <v>40</v>
      </c>
      <c r="G5">
        <v>4852</v>
      </c>
      <c r="H5">
        <v>1</v>
      </c>
      <c r="I5">
        <v>0</v>
      </c>
      <c r="J5">
        <v>0</v>
      </c>
      <c r="K5">
        <v>0</v>
      </c>
      <c r="L5" t="s">
        <v>41</v>
      </c>
      <c r="M5" t="s">
        <v>42</v>
      </c>
      <c r="N5" t="s">
        <v>43</v>
      </c>
      <c r="O5" t="s">
        <v>44</v>
      </c>
      <c r="P5" t="s">
        <v>45</v>
      </c>
      <c r="Q5" t="s">
        <v>46</v>
      </c>
      <c r="R5">
        <v>0</v>
      </c>
      <c r="S5">
        <v>1</v>
      </c>
      <c r="T5">
        <v>1</v>
      </c>
      <c r="U5">
        <v>0</v>
      </c>
      <c r="V5">
        <v>1</v>
      </c>
      <c r="W5">
        <v>0</v>
      </c>
      <c r="X5">
        <v>1</v>
      </c>
      <c r="Y5">
        <v>0</v>
      </c>
      <c r="Z5">
        <v>1</v>
      </c>
      <c r="AA5">
        <v>0</v>
      </c>
      <c r="AB5">
        <v>0</v>
      </c>
      <c r="AC5">
        <v>0</v>
      </c>
      <c r="AD5">
        <v>0</v>
      </c>
      <c r="AE5">
        <v>0</v>
      </c>
    </row>
    <row r="6" spans="1:31" x14ac:dyDescent="0.2">
      <c r="A6" t="s">
        <v>31</v>
      </c>
      <c r="B6" t="s">
        <v>32</v>
      </c>
      <c r="C6">
        <v>21</v>
      </c>
      <c r="D6" t="s">
        <v>33</v>
      </c>
      <c r="E6" t="s">
        <v>39</v>
      </c>
      <c r="F6" t="s">
        <v>47</v>
      </c>
      <c r="G6">
        <v>2733</v>
      </c>
      <c r="H6">
        <v>1</v>
      </c>
      <c r="I6">
        <v>0</v>
      </c>
      <c r="J6">
        <v>0</v>
      </c>
      <c r="K6">
        <v>0</v>
      </c>
      <c r="L6" t="s">
        <v>48</v>
      </c>
      <c r="M6" t="s">
        <v>49</v>
      </c>
      <c r="N6" t="s">
        <v>50</v>
      </c>
      <c r="O6" t="s">
        <v>46</v>
      </c>
      <c r="P6" t="s">
        <v>44</v>
      </c>
      <c r="Q6" t="s">
        <v>51</v>
      </c>
      <c r="R6">
        <v>0</v>
      </c>
      <c r="S6">
        <v>1</v>
      </c>
      <c r="T6">
        <v>1</v>
      </c>
      <c r="U6">
        <v>0</v>
      </c>
      <c r="V6">
        <v>0</v>
      </c>
      <c r="W6">
        <v>0</v>
      </c>
      <c r="X6">
        <v>1</v>
      </c>
      <c r="Y6">
        <v>0</v>
      </c>
      <c r="Z6">
        <v>0</v>
      </c>
      <c r="AA6">
        <v>1</v>
      </c>
      <c r="AB6">
        <v>0</v>
      </c>
      <c r="AC6">
        <v>0</v>
      </c>
      <c r="AD6">
        <v>0</v>
      </c>
      <c r="AE6">
        <v>0</v>
      </c>
    </row>
    <row r="7" spans="1:31" x14ac:dyDescent="0.2">
      <c r="A7" t="s">
        <v>31</v>
      </c>
      <c r="B7" t="s">
        <v>32</v>
      </c>
      <c r="C7">
        <v>21</v>
      </c>
      <c r="D7" t="s">
        <v>33</v>
      </c>
      <c r="E7" t="s">
        <v>52</v>
      </c>
      <c r="F7" t="s">
        <v>53</v>
      </c>
      <c r="G7">
        <v>2668</v>
      </c>
      <c r="H7">
        <v>1</v>
      </c>
      <c r="I7">
        <v>0</v>
      </c>
      <c r="J7">
        <v>0</v>
      </c>
      <c r="K7">
        <v>0</v>
      </c>
      <c r="L7" t="s">
        <v>35</v>
      </c>
      <c r="M7" t="s">
        <v>35</v>
      </c>
      <c r="N7" t="s">
        <v>35</v>
      </c>
      <c r="O7" t="s">
        <v>35</v>
      </c>
      <c r="P7" t="s">
        <v>35</v>
      </c>
      <c r="Q7" t="s">
        <v>35</v>
      </c>
      <c r="R7" t="s">
        <v>35</v>
      </c>
      <c r="S7">
        <v>1</v>
      </c>
      <c r="T7">
        <v>1</v>
      </c>
      <c r="U7">
        <v>0</v>
      </c>
      <c r="V7">
        <v>0</v>
      </c>
      <c r="W7">
        <v>0</v>
      </c>
      <c r="X7">
        <v>1</v>
      </c>
      <c r="Y7">
        <v>0</v>
      </c>
      <c r="Z7">
        <v>0</v>
      </c>
      <c r="AA7">
        <v>1</v>
      </c>
      <c r="AB7">
        <v>0</v>
      </c>
      <c r="AC7">
        <v>0</v>
      </c>
      <c r="AD7">
        <v>0</v>
      </c>
      <c r="AE7">
        <v>0</v>
      </c>
    </row>
    <row r="8" spans="1:31" x14ac:dyDescent="0.2">
      <c r="A8" t="s">
        <v>31</v>
      </c>
      <c r="B8" t="s">
        <v>32</v>
      </c>
      <c r="C8">
        <v>21</v>
      </c>
      <c r="D8" t="s">
        <v>33</v>
      </c>
      <c r="E8" t="s">
        <v>39</v>
      </c>
      <c r="F8" t="s">
        <v>54</v>
      </c>
      <c r="G8">
        <v>2685</v>
      </c>
      <c r="H8">
        <v>1</v>
      </c>
      <c r="I8">
        <v>0</v>
      </c>
      <c r="J8">
        <v>0</v>
      </c>
      <c r="K8">
        <v>0</v>
      </c>
      <c r="L8" t="s">
        <v>55</v>
      </c>
      <c r="M8" t="s">
        <v>56</v>
      </c>
      <c r="N8" t="s">
        <v>57</v>
      </c>
      <c r="O8" t="s">
        <v>44</v>
      </c>
      <c r="P8" t="s">
        <v>45</v>
      </c>
      <c r="Q8" t="s">
        <v>46</v>
      </c>
      <c r="R8">
        <v>0</v>
      </c>
      <c r="S8">
        <v>1</v>
      </c>
      <c r="T8">
        <v>1</v>
      </c>
      <c r="U8">
        <v>0</v>
      </c>
      <c r="V8">
        <v>1</v>
      </c>
      <c r="W8">
        <v>0</v>
      </c>
      <c r="X8">
        <v>1</v>
      </c>
      <c r="Y8">
        <v>0</v>
      </c>
      <c r="Z8">
        <v>1</v>
      </c>
      <c r="AA8">
        <v>0</v>
      </c>
      <c r="AB8">
        <v>0</v>
      </c>
      <c r="AC8">
        <v>0</v>
      </c>
      <c r="AD8">
        <v>0</v>
      </c>
      <c r="AE8">
        <v>0</v>
      </c>
    </row>
    <row r="9" spans="1:31" x14ac:dyDescent="0.2">
      <c r="A9" t="s">
        <v>31</v>
      </c>
      <c r="B9" t="s">
        <v>32</v>
      </c>
      <c r="C9">
        <v>21</v>
      </c>
      <c r="D9" t="s">
        <v>33</v>
      </c>
      <c r="E9" t="s">
        <v>52</v>
      </c>
      <c r="F9" t="s">
        <v>58</v>
      </c>
      <c r="G9">
        <v>1949</v>
      </c>
      <c r="H9">
        <v>0</v>
      </c>
      <c r="I9">
        <v>0</v>
      </c>
      <c r="J9">
        <v>0</v>
      </c>
      <c r="K9">
        <v>0</v>
      </c>
      <c r="L9" t="s">
        <v>35</v>
      </c>
      <c r="M9" t="s">
        <v>35</v>
      </c>
      <c r="N9" t="s">
        <v>35</v>
      </c>
      <c r="O9" t="s">
        <v>35</v>
      </c>
      <c r="P9" t="s">
        <v>35</v>
      </c>
      <c r="Q9" t="s">
        <v>35</v>
      </c>
      <c r="R9" t="s">
        <v>35</v>
      </c>
      <c r="S9">
        <v>1</v>
      </c>
      <c r="T9">
        <v>1</v>
      </c>
      <c r="U9">
        <v>0</v>
      </c>
      <c r="V9">
        <v>1</v>
      </c>
      <c r="W9">
        <v>0</v>
      </c>
      <c r="X9">
        <v>1</v>
      </c>
      <c r="Y9">
        <v>0</v>
      </c>
      <c r="Z9">
        <v>1</v>
      </c>
      <c r="AA9">
        <v>0</v>
      </c>
      <c r="AB9">
        <v>0</v>
      </c>
      <c r="AC9">
        <v>0</v>
      </c>
      <c r="AD9">
        <v>0</v>
      </c>
      <c r="AE9">
        <v>0</v>
      </c>
    </row>
    <row r="10" spans="1:31" x14ac:dyDescent="0.2">
      <c r="A10" t="s">
        <v>31</v>
      </c>
      <c r="B10" t="s">
        <v>32</v>
      </c>
      <c r="C10">
        <v>21</v>
      </c>
      <c r="D10" t="s">
        <v>33</v>
      </c>
      <c r="E10" t="s">
        <v>39</v>
      </c>
      <c r="F10" t="s">
        <v>59</v>
      </c>
      <c r="G10">
        <v>2957</v>
      </c>
      <c r="H10">
        <v>0</v>
      </c>
      <c r="I10">
        <v>1</v>
      </c>
      <c r="J10">
        <v>0</v>
      </c>
      <c r="K10">
        <v>0</v>
      </c>
      <c r="L10" t="s">
        <v>60</v>
      </c>
      <c r="M10" t="s">
        <v>61</v>
      </c>
      <c r="N10" t="s">
        <v>62</v>
      </c>
      <c r="O10" t="s">
        <v>44</v>
      </c>
      <c r="P10" t="s">
        <v>46</v>
      </c>
      <c r="Q10" t="s">
        <v>45</v>
      </c>
      <c r="R10">
        <v>0</v>
      </c>
      <c r="S10">
        <v>1</v>
      </c>
      <c r="T10">
        <v>1</v>
      </c>
      <c r="U10">
        <v>0</v>
      </c>
      <c r="V10">
        <v>1</v>
      </c>
      <c r="W10">
        <v>0</v>
      </c>
      <c r="X10">
        <v>1</v>
      </c>
      <c r="Y10">
        <v>0</v>
      </c>
      <c r="Z10">
        <v>0</v>
      </c>
      <c r="AA10">
        <v>1</v>
      </c>
      <c r="AB10">
        <v>0</v>
      </c>
      <c r="AC10">
        <v>0</v>
      </c>
      <c r="AD10">
        <v>0</v>
      </c>
      <c r="AE10">
        <v>0</v>
      </c>
    </row>
    <row r="11" spans="1:31" x14ac:dyDescent="0.2">
      <c r="A11" t="s">
        <v>31</v>
      </c>
      <c r="B11" t="s">
        <v>32</v>
      </c>
      <c r="C11">
        <v>21</v>
      </c>
      <c r="D11" t="s">
        <v>33</v>
      </c>
      <c r="E11" t="s">
        <v>39</v>
      </c>
      <c r="F11" t="s">
        <v>63</v>
      </c>
      <c r="G11">
        <v>6229</v>
      </c>
      <c r="H11">
        <v>0</v>
      </c>
      <c r="I11">
        <v>1</v>
      </c>
      <c r="J11">
        <v>0</v>
      </c>
      <c r="K11">
        <v>0</v>
      </c>
      <c r="L11" t="s">
        <v>64</v>
      </c>
      <c r="M11" t="s">
        <v>65</v>
      </c>
      <c r="N11" t="s">
        <v>66</v>
      </c>
      <c r="O11" t="s">
        <v>67</v>
      </c>
      <c r="P11" t="s">
        <v>68</v>
      </c>
      <c r="Q11" t="s">
        <v>45</v>
      </c>
      <c r="R11">
        <v>1</v>
      </c>
      <c r="S11">
        <v>0</v>
      </c>
      <c r="T11">
        <v>0</v>
      </c>
      <c r="U11">
        <v>1</v>
      </c>
      <c r="V11">
        <v>1</v>
      </c>
      <c r="W11">
        <v>0</v>
      </c>
      <c r="X11">
        <v>1</v>
      </c>
      <c r="Y11">
        <v>1</v>
      </c>
      <c r="Z11">
        <v>0</v>
      </c>
      <c r="AA11">
        <v>0</v>
      </c>
      <c r="AB11">
        <v>0</v>
      </c>
      <c r="AC11">
        <v>0</v>
      </c>
      <c r="AD11">
        <v>0</v>
      </c>
      <c r="AE11">
        <v>0</v>
      </c>
    </row>
    <row r="12" spans="1:31" x14ac:dyDescent="0.2">
      <c r="A12" t="s">
        <v>31</v>
      </c>
      <c r="B12" t="s">
        <v>32</v>
      </c>
      <c r="C12">
        <v>21</v>
      </c>
      <c r="D12" t="s">
        <v>33</v>
      </c>
      <c r="E12" t="s">
        <v>52</v>
      </c>
      <c r="F12" t="s">
        <v>69</v>
      </c>
      <c r="G12">
        <v>8269</v>
      </c>
      <c r="H12">
        <v>0</v>
      </c>
      <c r="I12">
        <v>1</v>
      </c>
      <c r="J12">
        <v>0</v>
      </c>
      <c r="K12">
        <v>0</v>
      </c>
      <c r="L12" t="s">
        <v>35</v>
      </c>
      <c r="M12" t="s">
        <v>35</v>
      </c>
      <c r="N12" t="s">
        <v>35</v>
      </c>
      <c r="O12" t="s">
        <v>35</v>
      </c>
      <c r="P12" t="s">
        <v>35</v>
      </c>
      <c r="Q12" t="s">
        <v>35</v>
      </c>
      <c r="R12" t="s">
        <v>35</v>
      </c>
      <c r="S12">
        <v>0</v>
      </c>
      <c r="T12">
        <v>0</v>
      </c>
      <c r="U12">
        <v>1</v>
      </c>
      <c r="V12">
        <v>1</v>
      </c>
      <c r="W12">
        <v>0</v>
      </c>
      <c r="X12">
        <v>1</v>
      </c>
      <c r="Y12">
        <v>1</v>
      </c>
      <c r="Z12">
        <v>0</v>
      </c>
      <c r="AA12">
        <v>0</v>
      </c>
      <c r="AB12">
        <v>0</v>
      </c>
      <c r="AC12">
        <v>0</v>
      </c>
      <c r="AD12">
        <v>0</v>
      </c>
      <c r="AE12">
        <v>0</v>
      </c>
    </row>
    <row r="13" spans="1:31" x14ac:dyDescent="0.2">
      <c r="A13" t="s">
        <v>31</v>
      </c>
      <c r="B13" t="s">
        <v>32</v>
      </c>
      <c r="C13">
        <v>21</v>
      </c>
      <c r="D13" t="s">
        <v>33</v>
      </c>
      <c r="E13" t="s">
        <v>39</v>
      </c>
      <c r="F13" t="s">
        <v>70</v>
      </c>
      <c r="G13">
        <v>5316</v>
      </c>
      <c r="H13">
        <v>1</v>
      </c>
      <c r="I13">
        <v>0</v>
      </c>
      <c r="J13">
        <v>0</v>
      </c>
      <c r="K13">
        <v>0</v>
      </c>
      <c r="L13" t="s">
        <v>71</v>
      </c>
      <c r="M13" t="s">
        <v>72</v>
      </c>
      <c r="N13" t="s">
        <v>73</v>
      </c>
      <c r="O13" t="s">
        <v>45</v>
      </c>
      <c r="P13" t="s">
        <v>67</v>
      </c>
      <c r="Q13" t="s">
        <v>44</v>
      </c>
      <c r="R13">
        <v>0</v>
      </c>
      <c r="S13">
        <v>1</v>
      </c>
      <c r="T13">
        <v>0</v>
      </c>
      <c r="U13">
        <v>1</v>
      </c>
      <c r="V13">
        <v>1</v>
      </c>
      <c r="W13">
        <v>0</v>
      </c>
      <c r="X13">
        <v>1</v>
      </c>
      <c r="Y13">
        <v>0</v>
      </c>
      <c r="Z13">
        <v>0</v>
      </c>
      <c r="AA13">
        <v>0</v>
      </c>
      <c r="AB13">
        <v>0</v>
      </c>
      <c r="AC13">
        <v>1</v>
      </c>
      <c r="AD13">
        <v>0</v>
      </c>
      <c r="AE13">
        <v>0</v>
      </c>
    </row>
    <row r="14" spans="1:31" x14ac:dyDescent="0.2">
      <c r="A14" t="s">
        <v>31</v>
      </c>
      <c r="B14" t="s">
        <v>32</v>
      </c>
      <c r="C14">
        <v>21</v>
      </c>
      <c r="D14" t="s">
        <v>33</v>
      </c>
      <c r="E14" t="s">
        <v>52</v>
      </c>
      <c r="F14" t="s">
        <v>74</v>
      </c>
      <c r="G14">
        <v>2110</v>
      </c>
      <c r="H14">
        <v>1</v>
      </c>
      <c r="I14">
        <v>0</v>
      </c>
      <c r="J14">
        <v>0</v>
      </c>
      <c r="K14">
        <v>0</v>
      </c>
      <c r="L14" t="s">
        <v>35</v>
      </c>
      <c r="M14" t="s">
        <v>35</v>
      </c>
      <c r="N14" t="s">
        <v>35</v>
      </c>
      <c r="O14" t="s">
        <v>35</v>
      </c>
      <c r="P14" t="s">
        <v>35</v>
      </c>
      <c r="Q14" t="s">
        <v>35</v>
      </c>
      <c r="R14" t="s">
        <v>35</v>
      </c>
      <c r="S14">
        <v>1</v>
      </c>
      <c r="T14">
        <v>0</v>
      </c>
      <c r="U14">
        <v>1</v>
      </c>
      <c r="V14">
        <v>1</v>
      </c>
      <c r="W14">
        <v>0</v>
      </c>
      <c r="X14">
        <v>1</v>
      </c>
      <c r="Y14">
        <v>0</v>
      </c>
      <c r="Z14">
        <v>0</v>
      </c>
      <c r="AA14">
        <v>0</v>
      </c>
      <c r="AB14">
        <v>0</v>
      </c>
      <c r="AC14">
        <v>1</v>
      </c>
      <c r="AD14">
        <v>0</v>
      </c>
      <c r="AE14">
        <v>0</v>
      </c>
    </row>
    <row r="15" spans="1:31" x14ac:dyDescent="0.2">
      <c r="A15" t="s">
        <v>31</v>
      </c>
      <c r="B15" t="s">
        <v>32</v>
      </c>
      <c r="C15">
        <v>21</v>
      </c>
      <c r="D15" t="s">
        <v>33</v>
      </c>
      <c r="E15" t="s">
        <v>75</v>
      </c>
      <c r="F15" t="s">
        <v>35</v>
      </c>
      <c r="G15">
        <v>20125</v>
      </c>
      <c r="H15" t="s">
        <v>76</v>
      </c>
      <c r="I15" t="s">
        <v>76</v>
      </c>
      <c r="J15" t="s">
        <v>76</v>
      </c>
      <c r="K15" t="s">
        <v>35</v>
      </c>
      <c r="L15" t="s">
        <v>35</v>
      </c>
      <c r="M15" t="s">
        <v>35</v>
      </c>
      <c r="N15" t="s">
        <v>35</v>
      </c>
      <c r="O15" t="s">
        <v>35</v>
      </c>
      <c r="P15" t="s">
        <v>35</v>
      </c>
      <c r="Q15" t="s">
        <v>35</v>
      </c>
      <c r="R15" t="s">
        <v>35</v>
      </c>
      <c r="S15" t="s">
        <v>35</v>
      </c>
      <c r="T15" t="s">
        <v>35</v>
      </c>
      <c r="U15" t="s">
        <v>35</v>
      </c>
      <c r="V15" t="s">
        <v>35</v>
      </c>
      <c r="W15" t="s">
        <v>35</v>
      </c>
      <c r="X15" t="s">
        <v>35</v>
      </c>
      <c r="Y15" t="s">
        <v>35</v>
      </c>
      <c r="Z15" t="s">
        <v>35</v>
      </c>
      <c r="AA15" t="s">
        <v>35</v>
      </c>
      <c r="AB15" t="s">
        <v>35</v>
      </c>
      <c r="AC15" t="s">
        <v>35</v>
      </c>
      <c r="AD15" t="s">
        <v>35</v>
      </c>
      <c r="AE15" t="s">
        <v>35</v>
      </c>
    </row>
    <row r="16" spans="1:31" x14ac:dyDescent="0.2">
      <c r="A16" t="s">
        <v>77</v>
      </c>
      <c r="B16" t="s">
        <v>32</v>
      </c>
      <c r="C16">
        <v>32</v>
      </c>
      <c r="D16" t="s">
        <v>78</v>
      </c>
      <c r="E16" t="s">
        <v>34</v>
      </c>
      <c r="F16" t="s">
        <v>35</v>
      </c>
      <c r="G16">
        <v>27655</v>
      </c>
      <c r="H16" t="s">
        <v>35</v>
      </c>
      <c r="I16" t="s">
        <v>35</v>
      </c>
      <c r="J16" t="s">
        <v>35</v>
      </c>
      <c r="K16" t="s">
        <v>35</v>
      </c>
      <c r="L16" t="s">
        <v>35</v>
      </c>
      <c r="M16" t="s">
        <v>35</v>
      </c>
      <c r="N16" t="s">
        <v>35</v>
      </c>
      <c r="O16" t="s">
        <v>35</v>
      </c>
      <c r="P16" t="s">
        <v>35</v>
      </c>
      <c r="Q16" t="s">
        <v>35</v>
      </c>
      <c r="R16" t="s">
        <v>35</v>
      </c>
      <c r="S16" t="s">
        <v>35</v>
      </c>
      <c r="T16" t="s">
        <v>35</v>
      </c>
      <c r="U16" t="s">
        <v>35</v>
      </c>
      <c r="V16" t="s">
        <v>35</v>
      </c>
      <c r="W16" t="s">
        <v>35</v>
      </c>
      <c r="X16" t="s">
        <v>35</v>
      </c>
      <c r="Y16" t="s">
        <v>35</v>
      </c>
      <c r="Z16" t="s">
        <v>35</v>
      </c>
      <c r="AA16" t="s">
        <v>35</v>
      </c>
      <c r="AB16" t="s">
        <v>35</v>
      </c>
      <c r="AC16" t="s">
        <v>35</v>
      </c>
      <c r="AD16" t="s">
        <v>35</v>
      </c>
      <c r="AE16" t="s">
        <v>35</v>
      </c>
    </row>
    <row r="17" spans="1:31" x14ac:dyDescent="0.2">
      <c r="A17" t="s">
        <v>77</v>
      </c>
      <c r="B17" t="s">
        <v>32</v>
      </c>
      <c r="C17">
        <v>32</v>
      </c>
      <c r="D17" t="s">
        <v>78</v>
      </c>
      <c r="E17" t="s">
        <v>36</v>
      </c>
      <c r="F17" t="s">
        <v>38</v>
      </c>
      <c r="G17">
        <v>23445</v>
      </c>
      <c r="H17">
        <v>0</v>
      </c>
      <c r="I17">
        <v>0</v>
      </c>
      <c r="J17">
        <v>0</v>
      </c>
      <c r="K17">
        <v>1</v>
      </c>
      <c r="L17" t="s">
        <v>35</v>
      </c>
      <c r="M17" t="s">
        <v>35</v>
      </c>
      <c r="N17" t="s">
        <v>35</v>
      </c>
      <c r="O17" t="s">
        <v>35</v>
      </c>
      <c r="P17" t="s">
        <v>35</v>
      </c>
      <c r="Q17" t="s">
        <v>35</v>
      </c>
      <c r="R17" t="s">
        <v>35</v>
      </c>
      <c r="S17" t="s">
        <v>35</v>
      </c>
      <c r="T17" t="s">
        <v>35</v>
      </c>
      <c r="U17" t="s">
        <v>35</v>
      </c>
      <c r="V17" t="s">
        <v>35</v>
      </c>
      <c r="W17" t="s">
        <v>35</v>
      </c>
      <c r="X17" t="s">
        <v>35</v>
      </c>
      <c r="Y17" t="s">
        <v>35</v>
      </c>
      <c r="Z17" t="s">
        <v>35</v>
      </c>
      <c r="AA17" t="s">
        <v>35</v>
      </c>
      <c r="AB17" t="s">
        <v>35</v>
      </c>
      <c r="AC17" t="s">
        <v>35</v>
      </c>
      <c r="AD17" t="s">
        <v>35</v>
      </c>
      <c r="AE17" t="s">
        <v>35</v>
      </c>
    </row>
    <row r="18" spans="1:31" x14ac:dyDescent="0.2">
      <c r="A18" t="s">
        <v>77</v>
      </c>
      <c r="B18" t="s">
        <v>32</v>
      </c>
      <c r="C18">
        <v>32</v>
      </c>
      <c r="D18" t="s">
        <v>78</v>
      </c>
      <c r="E18" t="s">
        <v>36</v>
      </c>
      <c r="F18" t="s">
        <v>37</v>
      </c>
      <c r="G18">
        <v>17950</v>
      </c>
      <c r="H18">
        <v>0</v>
      </c>
      <c r="I18">
        <v>1</v>
      </c>
      <c r="J18">
        <v>0</v>
      </c>
      <c r="K18">
        <v>0</v>
      </c>
      <c r="L18" t="s">
        <v>35</v>
      </c>
      <c r="M18" t="s">
        <v>35</v>
      </c>
      <c r="N18" t="s">
        <v>35</v>
      </c>
      <c r="O18" t="s">
        <v>35</v>
      </c>
      <c r="P18" t="s">
        <v>35</v>
      </c>
      <c r="Q18" t="s">
        <v>35</v>
      </c>
      <c r="R18" t="s">
        <v>35</v>
      </c>
      <c r="S18" t="s">
        <v>35</v>
      </c>
      <c r="T18" t="s">
        <v>35</v>
      </c>
      <c r="U18" t="s">
        <v>35</v>
      </c>
      <c r="V18" t="s">
        <v>35</v>
      </c>
      <c r="W18" t="s">
        <v>35</v>
      </c>
      <c r="X18" t="s">
        <v>35</v>
      </c>
      <c r="Y18" t="s">
        <v>35</v>
      </c>
      <c r="Z18" t="s">
        <v>35</v>
      </c>
      <c r="AA18" t="s">
        <v>35</v>
      </c>
      <c r="AB18" t="s">
        <v>35</v>
      </c>
      <c r="AC18" t="s">
        <v>35</v>
      </c>
      <c r="AD18" t="s">
        <v>35</v>
      </c>
      <c r="AE18" t="s">
        <v>35</v>
      </c>
    </row>
    <row r="19" spans="1:31" x14ac:dyDescent="0.2">
      <c r="A19" t="s">
        <v>77</v>
      </c>
      <c r="B19" t="s">
        <v>32</v>
      </c>
      <c r="C19">
        <v>32</v>
      </c>
      <c r="D19" t="s">
        <v>78</v>
      </c>
      <c r="E19" t="s">
        <v>39</v>
      </c>
      <c r="F19" t="s">
        <v>47</v>
      </c>
      <c r="G19">
        <v>32496</v>
      </c>
      <c r="H19">
        <v>0</v>
      </c>
      <c r="I19">
        <v>0</v>
      </c>
      <c r="J19">
        <v>1</v>
      </c>
      <c r="K19">
        <v>0</v>
      </c>
      <c r="L19" t="s">
        <v>79</v>
      </c>
      <c r="M19" t="s">
        <v>80</v>
      </c>
      <c r="N19" t="s">
        <v>48</v>
      </c>
      <c r="O19" t="s">
        <v>45</v>
      </c>
      <c r="P19" t="s">
        <v>67</v>
      </c>
      <c r="Q19" t="s">
        <v>46</v>
      </c>
      <c r="R19">
        <v>0</v>
      </c>
      <c r="S19">
        <v>0</v>
      </c>
      <c r="T19">
        <v>1</v>
      </c>
      <c r="U19">
        <v>1</v>
      </c>
      <c r="V19">
        <v>1</v>
      </c>
      <c r="W19">
        <v>0</v>
      </c>
      <c r="X19">
        <v>1</v>
      </c>
      <c r="Y19">
        <v>0</v>
      </c>
      <c r="Z19">
        <v>0</v>
      </c>
      <c r="AA19">
        <v>1</v>
      </c>
      <c r="AB19">
        <v>0</v>
      </c>
      <c r="AC19">
        <v>0</v>
      </c>
      <c r="AD19">
        <v>0</v>
      </c>
      <c r="AE19">
        <v>0</v>
      </c>
    </row>
    <row r="20" spans="1:31" x14ac:dyDescent="0.2">
      <c r="A20" t="s">
        <v>77</v>
      </c>
      <c r="B20" t="s">
        <v>32</v>
      </c>
      <c r="C20">
        <v>32</v>
      </c>
      <c r="D20" t="s">
        <v>78</v>
      </c>
      <c r="E20" t="s">
        <v>39</v>
      </c>
      <c r="F20" t="s">
        <v>40</v>
      </c>
      <c r="G20">
        <v>8003</v>
      </c>
      <c r="H20">
        <v>0</v>
      </c>
      <c r="I20">
        <v>0</v>
      </c>
      <c r="J20">
        <v>1</v>
      </c>
      <c r="K20">
        <v>0</v>
      </c>
      <c r="L20" t="s">
        <v>81</v>
      </c>
      <c r="M20" t="s">
        <v>82</v>
      </c>
      <c r="N20" t="s">
        <v>41</v>
      </c>
      <c r="O20" t="s">
        <v>67</v>
      </c>
      <c r="P20" t="s">
        <v>68</v>
      </c>
      <c r="Q20" t="s">
        <v>44</v>
      </c>
      <c r="R20">
        <v>1</v>
      </c>
      <c r="S20">
        <v>1</v>
      </c>
      <c r="T20">
        <v>0</v>
      </c>
      <c r="U20">
        <v>1</v>
      </c>
      <c r="V20">
        <v>0</v>
      </c>
      <c r="W20">
        <v>0</v>
      </c>
      <c r="X20">
        <v>1</v>
      </c>
      <c r="Y20">
        <v>0</v>
      </c>
      <c r="Z20">
        <v>1</v>
      </c>
      <c r="AA20">
        <v>0</v>
      </c>
      <c r="AB20">
        <v>0</v>
      </c>
      <c r="AC20">
        <v>0</v>
      </c>
      <c r="AD20">
        <v>0</v>
      </c>
      <c r="AE20">
        <v>0</v>
      </c>
    </row>
    <row r="21" spans="1:31" x14ac:dyDescent="0.2">
      <c r="A21" t="s">
        <v>77</v>
      </c>
      <c r="B21" t="s">
        <v>32</v>
      </c>
      <c r="C21">
        <v>32</v>
      </c>
      <c r="D21" t="s">
        <v>78</v>
      </c>
      <c r="E21" t="s">
        <v>52</v>
      </c>
      <c r="F21" t="s">
        <v>53</v>
      </c>
      <c r="G21">
        <v>3347</v>
      </c>
      <c r="H21">
        <v>0</v>
      </c>
      <c r="I21">
        <v>0</v>
      </c>
      <c r="J21">
        <v>1</v>
      </c>
      <c r="K21">
        <v>0</v>
      </c>
      <c r="L21" t="s">
        <v>35</v>
      </c>
      <c r="M21" t="s">
        <v>35</v>
      </c>
      <c r="N21" t="s">
        <v>35</v>
      </c>
      <c r="O21" t="s">
        <v>35</v>
      </c>
      <c r="P21" t="s">
        <v>35</v>
      </c>
      <c r="Q21" t="s">
        <v>35</v>
      </c>
      <c r="R21" t="s">
        <v>35</v>
      </c>
      <c r="S21">
        <v>1</v>
      </c>
      <c r="T21">
        <v>0</v>
      </c>
      <c r="U21">
        <v>1</v>
      </c>
      <c r="V21">
        <v>0</v>
      </c>
      <c r="W21">
        <v>0</v>
      </c>
      <c r="X21">
        <v>1</v>
      </c>
      <c r="Y21">
        <v>0</v>
      </c>
      <c r="Z21">
        <v>1</v>
      </c>
      <c r="AA21">
        <v>0</v>
      </c>
      <c r="AB21">
        <v>0</v>
      </c>
      <c r="AC21">
        <v>0</v>
      </c>
      <c r="AD21">
        <v>0</v>
      </c>
      <c r="AE21">
        <v>0</v>
      </c>
    </row>
    <row r="22" spans="1:31" x14ac:dyDescent="0.2">
      <c r="A22" t="s">
        <v>77</v>
      </c>
      <c r="B22" t="s">
        <v>32</v>
      </c>
      <c r="C22">
        <v>32</v>
      </c>
      <c r="D22" t="s">
        <v>78</v>
      </c>
      <c r="E22" t="s">
        <v>39</v>
      </c>
      <c r="F22" t="s">
        <v>59</v>
      </c>
      <c r="G22">
        <v>4341</v>
      </c>
      <c r="H22">
        <v>0</v>
      </c>
      <c r="I22">
        <v>0</v>
      </c>
      <c r="J22">
        <v>1</v>
      </c>
      <c r="K22">
        <v>0</v>
      </c>
      <c r="L22" t="s">
        <v>83</v>
      </c>
      <c r="M22" t="s">
        <v>61</v>
      </c>
      <c r="N22" t="s">
        <v>60</v>
      </c>
      <c r="O22" t="s">
        <v>51</v>
      </c>
      <c r="P22" t="s">
        <v>46</v>
      </c>
      <c r="Q22" t="s">
        <v>44</v>
      </c>
      <c r="R22">
        <v>0</v>
      </c>
      <c r="S22">
        <v>1</v>
      </c>
      <c r="T22">
        <v>1</v>
      </c>
      <c r="U22">
        <v>0</v>
      </c>
      <c r="V22">
        <v>0</v>
      </c>
      <c r="W22">
        <v>0</v>
      </c>
      <c r="X22">
        <v>1</v>
      </c>
      <c r="Y22">
        <v>0</v>
      </c>
      <c r="Z22">
        <v>1</v>
      </c>
      <c r="AA22">
        <v>0</v>
      </c>
      <c r="AB22">
        <v>0</v>
      </c>
      <c r="AC22">
        <v>0</v>
      </c>
      <c r="AD22">
        <v>0</v>
      </c>
      <c r="AE22">
        <v>0</v>
      </c>
    </row>
    <row r="23" spans="1:31" x14ac:dyDescent="0.2">
      <c r="A23" t="s">
        <v>77</v>
      </c>
      <c r="B23" t="s">
        <v>32</v>
      </c>
      <c r="C23">
        <v>32</v>
      </c>
      <c r="D23" t="s">
        <v>78</v>
      </c>
      <c r="E23" t="s">
        <v>52</v>
      </c>
      <c r="F23" t="s">
        <v>74</v>
      </c>
      <c r="G23">
        <v>7565</v>
      </c>
      <c r="H23">
        <v>0</v>
      </c>
      <c r="I23">
        <v>0</v>
      </c>
      <c r="J23">
        <v>1</v>
      </c>
      <c r="K23">
        <v>0</v>
      </c>
      <c r="L23" t="s">
        <v>35</v>
      </c>
      <c r="M23" t="s">
        <v>35</v>
      </c>
      <c r="N23" t="s">
        <v>35</v>
      </c>
      <c r="O23" t="s">
        <v>35</v>
      </c>
      <c r="P23" t="s">
        <v>35</v>
      </c>
      <c r="Q23" t="s">
        <v>35</v>
      </c>
      <c r="R23" t="s">
        <v>35</v>
      </c>
      <c r="S23">
        <v>1</v>
      </c>
      <c r="T23">
        <v>1</v>
      </c>
      <c r="U23">
        <v>0</v>
      </c>
      <c r="V23">
        <v>0</v>
      </c>
      <c r="W23">
        <v>0</v>
      </c>
      <c r="X23">
        <v>1</v>
      </c>
      <c r="Y23">
        <v>0</v>
      </c>
      <c r="Z23">
        <v>1</v>
      </c>
      <c r="AA23">
        <v>0</v>
      </c>
      <c r="AB23">
        <v>0</v>
      </c>
      <c r="AC23">
        <v>0</v>
      </c>
      <c r="AD23">
        <v>0</v>
      </c>
      <c r="AE23">
        <v>0</v>
      </c>
    </row>
    <row r="24" spans="1:31" x14ac:dyDescent="0.2">
      <c r="A24" t="s">
        <v>77</v>
      </c>
      <c r="B24" t="s">
        <v>32</v>
      </c>
      <c r="C24">
        <v>32</v>
      </c>
      <c r="D24" t="s">
        <v>78</v>
      </c>
      <c r="E24" t="s">
        <v>39</v>
      </c>
      <c r="F24" t="s">
        <v>63</v>
      </c>
      <c r="G24">
        <v>5535</v>
      </c>
      <c r="H24">
        <v>0</v>
      </c>
      <c r="I24">
        <v>0</v>
      </c>
      <c r="J24">
        <v>1</v>
      </c>
      <c r="K24">
        <v>0</v>
      </c>
      <c r="L24" t="s">
        <v>64</v>
      </c>
      <c r="M24" t="s">
        <v>84</v>
      </c>
      <c r="N24" t="s">
        <v>85</v>
      </c>
      <c r="O24" t="s">
        <v>67</v>
      </c>
      <c r="P24" t="s">
        <v>46</v>
      </c>
      <c r="Q24" t="s">
        <v>51</v>
      </c>
      <c r="R24">
        <v>0</v>
      </c>
      <c r="S24">
        <v>0</v>
      </c>
      <c r="T24">
        <v>1</v>
      </c>
      <c r="U24">
        <v>1</v>
      </c>
      <c r="V24">
        <v>0</v>
      </c>
      <c r="W24">
        <v>0</v>
      </c>
      <c r="X24">
        <v>1</v>
      </c>
      <c r="Y24">
        <v>0</v>
      </c>
      <c r="Z24">
        <v>0</v>
      </c>
      <c r="AA24">
        <v>0</v>
      </c>
      <c r="AB24">
        <v>0</v>
      </c>
      <c r="AC24">
        <v>0</v>
      </c>
      <c r="AD24">
        <v>0</v>
      </c>
      <c r="AE24">
        <v>0</v>
      </c>
    </row>
    <row r="25" spans="1:31" x14ac:dyDescent="0.2">
      <c r="A25" t="s">
        <v>77</v>
      </c>
      <c r="B25" t="s">
        <v>32</v>
      </c>
      <c r="C25">
        <v>32</v>
      </c>
      <c r="D25" t="s">
        <v>78</v>
      </c>
      <c r="E25" t="s">
        <v>39</v>
      </c>
      <c r="F25" t="s">
        <v>70</v>
      </c>
      <c r="G25">
        <v>3813</v>
      </c>
      <c r="H25">
        <v>0</v>
      </c>
      <c r="I25">
        <v>0</v>
      </c>
      <c r="J25">
        <v>1</v>
      </c>
      <c r="K25">
        <v>0</v>
      </c>
      <c r="L25" t="s">
        <v>71</v>
      </c>
      <c r="M25" t="s">
        <v>73</v>
      </c>
      <c r="N25" t="s">
        <v>86</v>
      </c>
      <c r="O25" t="s">
        <v>45</v>
      </c>
      <c r="P25" t="s">
        <v>44</v>
      </c>
      <c r="Q25" t="s">
        <v>46</v>
      </c>
      <c r="R25">
        <v>0</v>
      </c>
      <c r="S25">
        <v>1</v>
      </c>
      <c r="T25">
        <v>1</v>
      </c>
      <c r="U25">
        <v>0</v>
      </c>
      <c r="V25">
        <v>1</v>
      </c>
      <c r="W25">
        <v>0</v>
      </c>
      <c r="X25">
        <v>1</v>
      </c>
      <c r="Y25">
        <v>0</v>
      </c>
      <c r="Z25">
        <v>0</v>
      </c>
      <c r="AA25">
        <v>1</v>
      </c>
      <c r="AB25">
        <v>0</v>
      </c>
      <c r="AC25">
        <v>0</v>
      </c>
      <c r="AD25">
        <v>0</v>
      </c>
      <c r="AE25">
        <v>0</v>
      </c>
    </row>
    <row r="26" spans="1:31" x14ac:dyDescent="0.2">
      <c r="A26" t="s">
        <v>77</v>
      </c>
      <c r="B26" t="s">
        <v>32</v>
      </c>
      <c r="C26">
        <v>32</v>
      </c>
      <c r="D26" t="s">
        <v>78</v>
      </c>
      <c r="E26" t="s">
        <v>52</v>
      </c>
      <c r="F26" t="s">
        <v>58</v>
      </c>
      <c r="G26">
        <v>13521</v>
      </c>
      <c r="H26">
        <v>0</v>
      </c>
      <c r="I26">
        <v>0</v>
      </c>
      <c r="J26">
        <v>1</v>
      </c>
      <c r="K26">
        <v>0</v>
      </c>
      <c r="L26" t="s">
        <v>35</v>
      </c>
      <c r="M26" t="s">
        <v>35</v>
      </c>
      <c r="N26" t="s">
        <v>35</v>
      </c>
      <c r="O26" t="s">
        <v>35</v>
      </c>
      <c r="P26" t="s">
        <v>35</v>
      </c>
      <c r="Q26" t="s">
        <v>35</v>
      </c>
      <c r="R26" t="s">
        <v>35</v>
      </c>
      <c r="S26">
        <v>1</v>
      </c>
      <c r="T26">
        <v>1</v>
      </c>
      <c r="U26">
        <v>0</v>
      </c>
      <c r="V26">
        <v>1</v>
      </c>
      <c r="W26">
        <v>0</v>
      </c>
      <c r="X26">
        <v>1</v>
      </c>
      <c r="Y26">
        <v>0</v>
      </c>
      <c r="Z26">
        <v>0</v>
      </c>
      <c r="AA26">
        <v>1</v>
      </c>
      <c r="AB26">
        <v>0</v>
      </c>
      <c r="AC26">
        <v>0</v>
      </c>
      <c r="AD26">
        <v>0</v>
      </c>
      <c r="AE26">
        <v>0</v>
      </c>
    </row>
    <row r="27" spans="1:31" x14ac:dyDescent="0.2">
      <c r="A27" t="s">
        <v>77</v>
      </c>
      <c r="B27" t="s">
        <v>32</v>
      </c>
      <c r="C27">
        <v>32</v>
      </c>
      <c r="D27" t="s">
        <v>78</v>
      </c>
      <c r="E27" t="s">
        <v>39</v>
      </c>
      <c r="F27" t="s">
        <v>54</v>
      </c>
      <c r="G27">
        <v>5374</v>
      </c>
      <c r="H27">
        <v>1</v>
      </c>
      <c r="I27">
        <v>0</v>
      </c>
      <c r="J27">
        <v>0</v>
      </c>
      <c r="K27">
        <v>0</v>
      </c>
      <c r="L27" t="s">
        <v>56</v>
      </c>
      <c r="M27" t="s">
        <v>55</v>
      </c>
      <c r="N27" t="s">
        <v>57</v>
      </c>
      <c r="O27" t="s">
        <v>45</v>
      </c>
      <c r="P27" t="s">
        <v>44</v>
      </c>
      <c r="Q27" t="s">
        <v>46</v>
      </c>
      <c r="R27">
        <v>0</v>
      </c>
      <c r="S27">
        <v>1</v>
      </c>
      <c r="T27">
        <v>1</v>
      </c>
      <c r="U27">
        <v>0</v>
      </c>
      <c r="V27">
        <v>1</v>
      </c>
      <c r="W27">
        <v>0</v>
      </c>
      <c r="X27">
        <v>1</v>
      </c>
      <c r="Y27">
        <v>0</v>
      </c>
      <c r="Z27">
        <v>0</v>
      </c>
      <c r="AA27">
        <v>0</v>
      </c>
      <c r="AB27">
        <v>0</v>
      </c>
      <c r="AC27">
        <v>1</v>
      </c>
      <c r="AD27">
        <v>0</v>
      </c>
      <c r="AE27">
        <v>0</v>
      </c>
    </row>
    <row r="28" spans="1:31" x14ac:dyDescent="0.2">
      <c r="A28" t="s">
        <v>77</v>
      </c>
      <c r="B28" t="s">
        <v>32</v>
      </c>
      <c r="C28">
        <v>32</v>
      </c>
      <c r="D28" t="s">
        <v>78</v>
      </c>
      <c r="E28" t="s">
        <v>52</v>
      </c>
      <c r="F28" t="s">
        <v>69</v>
      </c>
      <c r="G28">
        <v>3742</v>
      </c>
      <c r="H28">
        <v>0</v>
      </c>
      <c r="I28">
        <v>0</v>
      </c>
      <c r="J28">
        <v>1</v>
      </c>
      <c r="K28">
        <v>0</v>
      </c>
      <c r="L28" t="s">
        <v>35</v>
      </c>
      <c r="M28" t="s">
        <v>35</v>
      </c>
      <c r="N28" t="s">
        <v>35</v>
      </c>
      <c r="O28" t="s">
        <v>35</v>
      </c>
      <c r="P28" t="s">
        <v>35</v>
      </c>
      <c r="Q28" t="s">
        <v>35</v>
      </c>
      <c r="R28" t="s">
        <v>35</v>
      </c>
      <c r="S28">
        <v>1</v>
      </c>
      <c r="T28">
        <v>1</v>
      </c>
      <c r="U28">
        <v>0</v>
      </c>
      <c r="V28">
        <v>1</v>
      </c>
      <c r="W28">
        <v>0</v>
      </c>
      <c r="X28">
        <v>1</v>
      </c>
      <c r="Y28">
        <v>0</v>
      </c>
      <c r="Z28">
        <v>0</v>
      </c>
      <c r="AA28">
        <v>0</v>
      </c>
      <c r="AB28">
        <v>0</v>
      </c>
      <c r="AC28">
        <v>1</v>
      </c>
      <c r="AD28">
        <v>0</v>
      </c>
      <c r="AE28">
        <v>0</v>
      </c>
    </row>
    <row r="29" spans="1:31" x14ac:dyDescent="0.2">
      <c r="A29" t="s">
        <v>77</v>
      </c>
      <c r="B29" t="s">
        <v>32</v>
      </c>
      <c r="C29">
        <v>32</v>
      </c>
      <c r="D29" t="s">
        <v>78</v>
      </c>
      <c r="E29" t="s">
        <v>75</v>
      </c>
      <c r="F29" t="s">
        <v>35</v>
      </c>
      <c r="G29">
        <v>3967</v>
      </c>
      <c r="K29" t="s">
        <v>35</v>
      </c>
      <c r="L29" t="s">
        <v>35</v>
      </c>
      <c r="M29" t="s">
        <v>35</v>
      </c>
      <c r="N29" t="s">
        <v>35</v>
      </c>
      <c r="O29" t="s">
        <v>35</v>
      </c>
      <c r="P29" t="s">
        <v>35</v>
      </c>
      <c r="Q29" t="s">
        <v>35</v>
      </c>
      <c r="R29" t="s">
        <v>35</v>
      </c>
      <c r="S29" t="s">
        <v>35</v>
      </c>
      <c r="T29" t="s">
        <v>35</v>
      </c>
      <c r="U29" t="s">
        <v>35</v>
      </c>
      <c r="V29" t="s">
        <v>35</v>
      </c>
      <c r="W29" t="s">
        <v>35</v>
      </c>
      <c r="X29" t="s">
        <v>35</v>
      </c>
      <c r="Y29" t="s">
        <v>35</v>
      </c>
      <c r="Z29" t="s">
        <v>35</v>
      </c>
      <c r="AA29" t="s">
        <v>35</v>
      </c>
      <c r="AB29" t="s">
        <v>35</v>
      </c>
      <c r="AC29" t="s">
        <v>35</v>
      </c>
      <c r="AD29" t="s">
        <v>35</v>
      </c>
      <c r="AE29" t="s">
        <v>35</v>
      </c>
    </row>
    <row r="30" spans="1:31" x14ac:dyDescent="0.2">
      <c r="A30" t="s">
        <v>87</v>
      </c>
      <c r="B30" t="s">
        <v>32</v>
      </c>
      <c r="C30">
        <v>21</v>
      </c>
      <c r="D30" t="s">
        <v>33</v>
      </c>
      <c r="E30" t="s">
        <v>34</v>
      </c>
      <c r="F30" t="s">
        <v>35</v>
      </c>
      <c r="G30">
        <v>35676</v>
      </c>
      <c r="H30" t="s">
        <v>35</v>
      </c>
      <c r="I30" t="s">
        <v>35</v>
      </c>
      <c r="J30" t="s">
        <v>35</v>
      </c>
      <c r="K30" t="s">
        <v>35</v>
      </c>
      <c r="L30" t="s">
        <v>35</v>
      </c>
      <c r="M30" t="s">
        <v>35</v>
      </c>
      <c r="N30" t="s">
        <v>35</v>
      </c>
      <c r="O30" t="s">
        <v>35</v>
      </c>
      <c r="P30" t="s">
        <v>35</v>
      </c>
      <c r="Q30" t="s">
        <v>35</v>
      </c>
      <c r="R30" t="s">
        <v>35</v>
      </c>
      <c r="S30" t="s">
        <v>35</v>
      </c>
      <c r="T30" t="s">
        <v>35</v>
      </c>
      <c r="U30" t="s">
        <v>35</v>
      </c>
      <c r="V30" t="s">
        <v>35</v>
      </c>
      <c r="W30" t="s">
        <v>35</v>
      </c>
      <c r="X30" t="s">
        <v>35</v>
      </c>
      <c r="Y30" t="s">
        <v>35</v>
      </c>
      <c r="Z30" t="s">
        <v>35</v>
      </c>
      <c r="AA30" t="s">
        <v>35</v>
      </c>
      <c r="AB30" t="s">
        <v>35</v>
      </c>
      <c r="AC30" t="s">
        <v>35</v>
      </c>
      <c r="AD30" t="s">
        <v>35</v>
      </c>
      <c r="AE30" t="s">
        <v>35</v>
      </c>
    </row>
    <row r="31" spans="1:31" x14ac:dyDescent="0.2">
      <c r="A31" t="s">
        <v>87</v>
      </c>
      <c r="B31" t="s">
        <v>32</v>
      </c>
      <c r="C31">
        <v>21</v>
      </c>
      <c r="D31" t="s">
        <v>33</v>
      </c>
      <c r="E31" t="s">
        <v>36</v>
      </c>
      <c r="F31" t="s">
        <v>38</v>
      </c>
      <c r="G31">
        <v>28897</v>
      </c>
      <c r="H31">
        <v>1</v>
      </c>
      <c r="I31">
        <v>0</v>
      </c>
      <c r="J31">
        <v>0</v>
      </c>
      <c r="K31">
        <v>0</v>
      </c>
      <c r="L31" t="s">
        <v>35</v>
      </c>
      <c r="M31" t="s">
        <v>35</v>
      </c>
      <c r="N31" t="s">
        <v>35</v>
      </c>
      <c r="O31" t="s">
        <v>35</v>
      </c>
      <c r="P31" t="s">
        <v>35</v>
      </c>
      <c r="Q31" t="s">
        <v>35</v>
      </c>
      <c r="R31" t="s">
        <v>35</v>
      </c>
      <c r="S31" t="s">
        <v>35</v>
      </c>
      <c r="T31" t="s">
        <v>35</v>
      </c>
      <c r="U31" t="s">
        <v>35</v>
      </c>
      <c r="V31" t="s">
        <v>35</v>
      </c>
      <c r="W31" t="s">
        <v>35</v>
      </c>
      <c r="X31" t="s">
        <v>35</v>
      </c>
      <c r="Y31" t="s">
        <v>35</v>
      </c>
      <c r="Z31" t="s">
        <v>35</v>
      </c>
      <c r="AA31" t="s">
        <v>35</v>
      </c>
      <c r="AB31" t="s">
        <v>35</v>
      </c>
      <c r="AC31" t="s">
        <v>35</v>
      </c>
      <c r="AD31" t="s">
        <v>35</v>
      </c>
      <c r="AE31" t="s">
        <v>35</v>
      </c>
    </row>
    <row r="32" spans="1:31" x14ac:dyDescent="0.2">
      <c r="A32" t="s">
        <v>87</v>
      </c>
      <c r="B32" t="s">
        <v>32</v>
      </c>
      <c r="C32">
        <v>21</v>
      </c>
      <c r="D32" t="s">
        <v>33</v>
      </c>
      <c r="E32" t="s">
        <v>36</v>
      </c>
      <c r="F32" t="s">
        <v>37</v>
      </c>
      <c r="G32">
        <v>5361</v>
      </c>
      <c r="H32">
        <v>0</v>
      </c>
      <c r="I32">
        <v>0</v>
      </c>
      <c r="J32">
        <v>1</v>
      </c>
      <c r="K32">
        <v>0</v>
      </c>
      <c r="L32" t="s">
        <v>35</v>
      </c>
      <c r="M32" t="s">
        <v>35</v>
      </c>
      <c r="N32" t="s">
        <v>35</v>
      </c>
      <c r="O32" t="s">
        <v>35</v>
      </c>
      <c r="P32" t="s">
        <v>35</v>
      </c>
      <c r="Q32" t="s">
        <v>35</v>
      </c>
      <c r="R32" t="s">
        <v>35</v>
      </c>
      <c r="S32" t="s">
        <v>35</v>
      </c>
      <c r="T32" t="s">
        <v>35</v>
      </c>
      <c r="U32" t="s">
        <v>35</v>
      </c>
      <c r="V32" t="s">
        <v>35</v>
      </c>
      <c r="W32" t="s">
        <v>35</v>
      </c>
      <c r="X32" t="s">
        <v>35</v>
      </c>
      <c r="Y32" t="s">
        <v>35</v>
      </c>
      <c r="Z32" t="s">
        <v>35</v>
      </c>
      <c r="AA32" t="s">
        <v>35</v>
      </c>
      <c r="AB32" t="s">
        <v>35</v>
      </c>
      <c r="AC32" t="s">
        <v>35</v>
      </c>
      <c r="AD32" t="s">
        <v>35</v>
      </c>
      <c r="AE32" t="s">
        <v>35</v>
      </c>
    </row>
    <row r="33" spans="1:31" x14ac:dyDescent="0.2">
      <c r="A33" t="s">
        <v>87</v>
      </c>
      <c r="B33" t="s">
        <v>32</v>
      </c>
      <c r="C33">
        <v>21</v>
      </c>
      <c r="D33" t="s">
        <v>33</v>
      </c>
      <c r="E33" t="s">
        <v>39</v>
      </c>
      <c r="F33" t="s">
        <v>54</v>
      </c>
      <c r="G33">
        <v>6496</v>
      </c>
      <c r="H33">
        <v>0</v>
      </c>
      <c r="I33">
        <v>1</v>
      </c>
      <c r="J33">
        <v>0</v>
      </c>
      <c r="K33">
        <v>0</v>
      </c>
      <c r="L33" t="s">
        <v>88</v>
      </c>
      <c r="M33" t="s">
        <v>57</v>
      </c>
      <c r="N33" t="s">
        <v>89</v>
      </c>
      <c r="O33" t="s">
        <v>51</v>
      </c>
      <c r="P33" t="s">
        <v>46</v>
      </c>
      <c r="Q33" t="s">
        <v>67</v>
      </c>
      <c r="R33">
        <v>0</v>
      </c>
      <c r="S33">
        <v>0</v>
      </c>
      <c r="T33">
        <v>1</v>
      </c>
      <c r="U33">
        <v>1</v>
      </c>
      <c r="V33">
        <v>0</v>
      </c>
      <c r="W33">
        <v>0</v>
      </c>
      <c r="X33">
        <v>1</v>
      </c>
      <c r="Y33">
        <v>0</v>
      </c>
      <c r="Z33">
        <v>0</v>
      </c>
      <c r="AA33">
        <v>1</v>
      </c>
      <c r="AB33">
        <v>0</v>
      </c>
      <c r="AC33">
        <v>0</v>
      </c>
      <c r="AD33">
        <v>0</v>
      </c>
      <c r="AE33">
        <v>0</v>
      </c>
    </row>
    <row r="34" spans="1:31" x14ac:dyDescent="0.2">
      <c r="A34" t="s">
        <v>87</v>
      </c>
      <c r="B34" t="s">
        <v>32</v>
      </c>
      <c r="C34">
        <v>21</v>
      </c>
      <c r="D34" t="s">
        <v>33</v>
      </c>
      <c r="E34" t="s">
        <v>52</v>
      </c>
      <c r="F34" t="s">
        <v>53</v>
      </c>
      <c r="G34">
        <v>4533</v>
      </c>
      <c r="H34">
        <v>1</v>
      </c>
      <c r="I34">
        <v>0</v>
      </c>
      <c r="J34">
        <v>0</v>
      </c>
      <c r="K34">
        <v>0</v>
      </c>
      <c r="L34" t="s">
        <v>35</v>
      </c>
      <c r="M34" t="s">
        <v>35</v>
      </c>
      <c r="N34" t="s">
        <v>35</v>
      </c>
      <c r="O34" t="s">
        <v>35</v>
      </c>
      <c r="P34" t="s">
        <v>35</v>
      </c>
      <c r="Q34" t="s">
        <v>35</v>
      </c>
      <c r="R34" t="s">
        <v>35</v>
      </c>
      <c r="S34">
        <v>0</v>
      </c>
      <c r="T34">
        <v>1</v>
      </c>
      <c r="U34">
        <v>1</v>
      </c>
      <c r="V34">
        <v>0</v>
      </c>
      <c r="W34">
        <v>0</v>
      </c>
      <c r="X34">
        <v>1</v>
      </c>
      <c r="Y34">
        <v>0</v>
      </c>
      <c r="Z34">
        <v>0</v>
      </c>
      <c r="AA34">
        <v>1</v>
      </c>
      <c r="AB34">
        <v>0</v>
      </c>
      <c r="AC34">
        <v>0</v>
      </c>
      <c r="AD34">
        <v>0</v>
      </c>
      <c r="AE34">
        <v>0</v>
      </c>
    </row>
    <row r="35" spans="1:31" x14ac:dyDescent="0.2">
      <c r="A35" t="s">
        <v>87</v>
      </c>
      <c r="B35" t="s">
        <v>32</v>
      </c>
      <c r="C35">
        <v>21</v>
      </c>
      <c r="D35" t="s">
        <v>33</v>
      </c>
      <c r="E35" t="s">
        <v>39</v>
      </c>
      <c r="F35" t="s">
        <v>63</v>
      </c>
      <c r="G35">
        <v>3773</v>
      </c>
      <c r="H35">
        <v>0</v>
      </c>
      <c r="I35">
        <v>0</v>
      </c>
      <c r="J35">
        <v>1</v>
      </c>
      <c r="K35">
        <v>0</v>
      </c>
      <c r="L35" t="s">
        <v>84</v>
      </c>
      <c r="M35" t="s">
        <v>90</v>
      </c>
      <c r="N35" t="s">
        <v>85</v>
      </c>
      <c r="O35" t="s">
        <v>46</v>
      </c>
      <c r="P35" t="s">
        <v>44</v>
      </c>
      <c r="Q35" t="s">
        <v>51</v>
      </c>
      <c r="R35">
        <v>0</v>
      </c>
      <c r="S35">
        <v>1</v>
      </c>
      <c r="T35">
        <v>1</v>
      </c>
      <c r="U35">
        <v>0</v>
      </c>
      <c r="V35">
        <v>0</v>
      </c>
      <c r="W35">
        <v>0</v>
      </c>
      <c r="X35">
        <v>1</v>
      </c>
      <c r="Y35">
        <v>0</v>
      </c>
      <c r="Z35">
        <v>0</v>
      </c>
      <c r="AA35">
        <v>0</v>
      </c>
      <c r="AB35">
        <v>0</v>
      </c>
      <c r="AC35">
        <v>0</v>
      </c>
      <c r="AD35">
        <v>0</v>
      </c>
      <c r="AE35">
        <v>0</v>
      </c>
    </row>
    <row r="36" spans="1:31" x14ac:dyDescent="0.2">
      <c r="A36" t="s">
        <v>87</v>
      </c>
      <c r="B36" t="s">
        <v>32</v>
      </c>
      <c r="C36">
        <v>21</v>
      </c>
      <c r="D36" t="s">
        <v>33</v>
      </c>
      <c r="E36" t="s">
        <v>39</v>
      </c>
      <c r="F36" t="s">
        <v>40</v>
      </c>
      <c r="G36">
        <v>3994</v>
      </c>
      <c r="H36">
        <v>0</v>
      </c>
      <c r="I36">
        <v>0</v>
      </c>
      <c r="J36">
        <v>1</v>
      </c>
      <c r="K36">
        <v>0</v>
      </c>
      <c r="L36" t="s">
        <v>42</v>
      </c>
      <c r="M36" t="s">
        <v>43</v>
      </c>
      <c r="N36" t="s">
        <v>91</v>
      </c>
      <c r="O36" t="s">
        <v>45</v>
      </c>
      <c r="P36" t="s">
        <v>46</v>
      </c>
      <c r="Q36" t="s">
        <v>51</v>
      </c>
      <c r="R36">
        <v>0</v>
      </c>
      <c r="S36">
        <v>0</v>
      </c>
      <c r="T36">
        <v>1</v>
      </c>
      <c r="U36">
        <v>0</v>
      </c>
      <c r="V36">
        <v>1</v>
      </c>
      <c r="W36">
        <v>0</v>
      </c>
      <c r="X36">
        <v>1</v>
      </c>
      <c r="Y36">
        <v>0</v>
      </c>
      <c r="Z36">
        <v>0</v>
      </c>
      <c r="AA36">
        <v>0</v>
      </c>
      <c r="AB36">
        <v>0</v>
      </c>
      <c r="AC36">
        <v>0</v>
      </c>
      <c r="AD36">
        <v>0</v>
      </c>
      <c r="AE36">
        <v>0</v>
      </c>
    </row>
    <row r="37" spans="1:31" x14ac:dyDescent="0.2">
      <c r="A37" t="s">
        <v>87</v>
      </c>
      <c r="B37" t="s">
        <v>32</v>
      </c>
      <c r="C37">
        <v>21</v>
      </c>
      <c r="D37" t="s">
        <v>33</v>
      </c>
      <c r="E37" t="s">
        <v>52</v>
      </c>
      <c r="F37" t="s">
        <v>69</v>
      </c>
      <c r="G37">
        <v>2433</v>
      </c>
      <c r="H37">
        <v>0</v>
      </c>
      <c r="I37">
        <v>0</v>
      </c>
      <c r="J37">
        <v>1</v>
      </c>
      <c r="K37">
        <v>0</v>
      </c>
      <c r="L37" t="s">
        <v>35</v>
      </c>
      <c r="M37" t="s">
        <v>35</v>
      </c>
      <c r="N37" t="s">
        <v>35</v>
      </c>
      <c r="O37" t="s">
        <v>35</v>
      </c>
      <c r="P37" t="s">
        <v>35</v>
      </c>
      <c r="Q37" t="s">
        <v>35</v>
      </c>
      <c r="R37" t="s">
        <v>35</v>
      </c>
      <c r="S37">
        <v>0</v>
      </c>
      <c r="T37">
        <v>1</v>
      </c>
      <c r="U37">
        <v>0</v>
      </c>
      <c r="V37">
        <v>1</v>
      </c>
      <c r="W37">
        <v>0</v>
      </c>
      <c r="X37">
        <v>1</v>
      </c>
      <c r="Y37">
        <v>0</v>
      </c>
      <c r="Z37">
        <v>0</v>
      </c>
      <c r="AA37">
        <v>0</v>
      </c>
      <c r="AB37">
        <v>0</v>
      </c>
      <c r="AC37">
        <v>0</v>
      </c>
      <c r="AD37">
        <v>0</v>
      </c>
      <c r="AE37">
        <v>0</v>
      </c>
    </row>
    <row r="38" spans="1:31" x14ac:dyDescent="0.2">
      <c r="A38" t="s">
        <v>87</v>
      </c>
      <c r="B38" t="s">
        <v>32</v>
      </c>
      <c r="C38">
        <v>21</v>
      </c>
      <c r="D38" t="s">
        <v>33</v>
      </c>
      <c r="E38" t="s">
        <v>39</v>
      </c>
      <c r="F38" t="s">
        <v>70</v>
      </c>
      <c r="G38">
        <v>2977</v>
      </c>
      <c r="H38">
        <v>0</v>
      </c>
      <c r="I38">
        <v>1</v>
      </c>
      <c r="J38">
        <v>0</v>
      </c>
      <c r="K38">
        <v>0</v>
      </c>
      <c r="L38" t="s">
        <v>92</v>
      </c>
      <c r="M38" t="s">
        <v>71</v>
      </c>
      <c r="N38" t="s">
        <v>93</v>
      </c>
      <c r="O38" t="s">
        <v>51</v>
      </c>
      <c r="P38" t="s">
        <v>45</v>
      </c>
      <c r="Q38" t="s">
        <v>68</v>
      </c>
      <c r="R38">
        <v>1</v>
      </c>
      <c r="S38">
        <v>0</v>
      </c>
      <c r="T38">
        <v>0</v>
      </c>
      <c r="U38">
        <v>0</v>
      </c>
      <c r="V38">
        <v>1</v>
      </c>
      <c r="W38">
        <v>0</v>
      </c>
      <c r="X38">
        <v>1</v>
      </c>
      <c r="Y38">
        <v>0</v>
      </c>
      <c r="Z38">
        <v>0</v>
      </c>
      <c r="AA38">
        <v>0</v>
      </c>
      <c r="AB38">
        <v>0</v>
      </c>
      <c r="AC38">
        <v>1</v>
      </c>
      <c r="AD38">
        <v>0</v>
      </c>
      <c r="AE38">
        <v>0</v>
      </c>
    </row>
    <row r="39" spans="1:31" x14ac:dyDescent="0.2">
      <c r="A39" t="s">
        <v>87</v>
      </c>
      <c r="B39" t="s">
        <v>32</v>
      </c>
      <c r="C39">
        <v>21</v>
      </c>
      <c r="D39" t="s">
        <v>33</v>
      </c>
      <c r="E39" t="s">
        <v>52</v>
      </c>
      <c r="F39" t="s">
        <v>58</v>
      </c>
      <c r="G39">
        <v>3155</v>
      </c>
      <c r="H39">
        <v>0</v>
      </c>
      <c r="I39">
        <v>0</v>
      </c>
      <c r="J39">
        <v>1</v>
      </c>
      <c r="K39">
        <v>0</v>
      </c>
      <c r="L39" t="s">
        <v>35</v>
      </c>
      <c r="M39" t="s">
        <v>35</v>
      </c>
      <c r="N39" t="s">
        <v>35</v>
      </c>
      <c r="O39" t="s">
        <v>35</v>
      </c>
      <c r="P39" t="s">
        <v>35</v>
      </c>
      <c r="Q39" t="s">
        <v>35</v>
      </c>
      <c r="R39" t="s">
        <v>35</v>
      </c>
      <c r="S39">
        <v>0</v>
      </c>
      <c r="T39">
        <v>0</v>
      </c>
      <c r="U39">
        <v>0</v>
      </c>
      <c r="V39">
        <v>1</v>
      </c>
      <c r="W39">
        <v>0</v>
      </c>
      <c r="X39">
        <v>1</v>
      </c>
      <c r="Y39">
        <v>0</v>
      </c>
      <c r="Z39">
        <v>0</v>
      </c>
      <c r="AA39">
        <v>0</v>
      </c>
      <c r="AB39">
        <v>0</v>
      </c>
      <c r="AC39">
        <v>1</v>
      </c>
      <c r="AD39">
        <v>0</v>
      </c>
      <c r="AE39">
        <v>0</v>
      </c>
    </row>
    <row r="40" spans="1:31" x14ac:dyDescent="0.2">
      <c r="A40" t="s">
        <v>87</v>
      </c>
      <c r="B40" t="s">
        <v>32</v>
      </c>
      <c r="C40">
        <v>21</v>
      </c>
      <c r="D40" t="s">
        <v>33</v>
      </c>
      <c r="E40" t="s">
        <v>39</v>
      </c>
      <c r="F40" t="s">
        <v>59</v>
      </c>
      <c r="G40">
        <v>4169</v>
      </c>
      <c r="H40">
        <v>0</v>
      </c>
      <c r="I40">
        <v>1</v>
      </c>
      <c r="J40">
        <v>0</v>
      </c>
      <c r="K40">
        <v>0</v>
      </c>
      <c r="L40" t="s">
        <v>61</v>
      </c>
      <c r="M40" t="s">
        <v>60</v>
      </c>
      <c r="N40" t="s">
        <v>94</v>
      </c>
      <c r="O40" t="s">
        <v>46</v>
      </c>
      <c r="P40" t="s">
        <v>44</v>
      </c>
      <c r="Q40" t="s">
        <v>68</v>
      </c>
      <c r="R40">
        <v>1</v>
      </c>
      <c r="S40">
        <v>1</v>
      </c>
      <c r="T40">
        <v>1</v>
      </c>
      <c r="U40">
        <v>0</v>
      </c>
      <c r="V40">
        <v>0</v>
      </c>
      <c r="W40">
        <v>0</v>
      </c>
      <c r="X40">
        <v>1</v>
      </c>
      <c r="Y40">
        <v>0</v>
      </c>
      <c r="Z40">
        <v>1</v>
      </c>
      <c r="AA40">
        <v>0</v>
      </c>
      <c r="AB40">
        <v>0</v>
      </c>
      <c r="AC40">
        <v>0</v>
      </c>
      <c r="AD40">
        <v>0</v>
      </c>
      <c r="AE40">
        <v>0</v>
      </c>
    </row>
    <row r="41" spans="1:31" x14ac:dyDescent="0.2">
      <c r="A41" t="s">
        <v>87</v>
      </c>
      <c r="B41" t="s">
        <v>32</v>
      </c>
      <c r="C41">
        <v>21</v>
      </c>
      <c r="D41" t="s">
        <v>33</v>
      </c>
      <c r="E41" t="s">
        <v>39</v>
      </c>
      <c r="F41" t="s">
        <v>47</v>
      </c>
      <c r="G41">
        <v>2273</v>
      </c>
      <c r="H41">
        <v>1</v>
      </c>
      <c r="I41">
        <v>0</v>
      </c>
      <c r="J41">
        <v>0</v>
      </c>
      <c r="K41">
        <v>0</v>
      </c>
      <c r="L41" t="s">
        <v>80</v>
      </c>
      <c r="M41" t="s">
        <v>48</v>
      </c>
      <c r="N41" t="s">
        <v>95</v>
      </c>
      <c r="O41" t="s">
        <v>67</v>
      </c>
      <c r="P41" t="s">
        <v>46</v>
      </c>
      <c r="Q41" t="s">
        <v>68</v>
      </c>
      <c r="R41">
        <v>1</v>
      </c>
      <c r="S41">
        <v>0</v>
      </c>
      <c r="T41">
        <v>1</v>
      </c>
      <c r="U41">
        <v>1</v>
      </c>
      <c r="V41">
        <v>0</v>
      </c>
      <c r="W41">
        <v>0</v>
      </c>
      <c r="X41">
        <v>1</v>
      </c>
      <c r="Y41">
        <v>0</v>
      </c>
      <c r="Z41">
        <v>0</v>
      </c>
      <c r="AA41">
        <v>0</v>
      </c>
      <c r="AB41">
        <v>1</v>
      </c>
      <c r="AC41">
        <v>0</v>
      </c>
      <c r="AD41">
        <v>0</v>
      </c>
      <c r="AE41">
        <v>0</v>
      </c>
    </row>
    <row r="42" spans="1:31" x14ac:dyDescent="0.2">
      <c r="A42" t="s">
        <v>87</v>
      </c>
      <c r="B42" t="s">
        <v>32</v>
      </c>
      <c r="C42">
        <v>21</v>
      </c>
      <c r="D42" t="s">
        <v>33</v>
      </c>
      <c r="E42" t="s">
        <v>52</v>
      </c>
      <c r="F42" t="s">
        <v>74</v>
      </c>
      <c r="G42">
        <v>1882</v>
      </c>
      <c r="H42">
        <v>0</v>
      </c>
      <c r="I42">
        <v>1</v>
      </c>
      <c r="J42">
        <v>0</v>
      </c>
      <c r="K42">
        <v>0</v>
      </c>
      <c r="L42" t="s">
        <v>35</v>
      </c>
      <c r="M42" t="s">
        <v>35</v>
      </c>
      <c r="N42" t="s">
        <v>35</v>
      </c>
      <c r="O42" t="s">
        <v>35</v>
      </c>
      <c r="P42" t="s">
        <v>35</v>
      </c>
      <c r="Q42" t="s">
        <v>35</v>
      </c>
      <c r="R42" t="s">
        <v>35</v>
      </c>
      <c r="S42">
        <v>0</v>
      </c>
      <c r="T42">
        <v>1</v>
      </c>
      <c r="U42">
        <v>1</v>
      </c>
      <c r="V42">
        <v>0</v>
      </c>
      <c r="W42">
        <v>0</v>
      </c>
      <c r="X42">
        <v>1</v>
      </c>
      <c r="Y42">
        <v>0</v>
      </c>
      <c r="Z42">
        <v>0</v>
      </c>
      <c r="AA42">
        <v>0</v>
      </c>
      <c r="AB42">
        <v>1</v>
      </c>
      <c r="AC42">
        <v>0</v>
      </c>
      <c r="AD42">
        <v>0</v>
      </c>
      <c r="AE42">
        <v>0</v>
      </c>
    </row>
    <row r="43" spans="1:31" x14ac:dyDescent="0.2">
      <c r="A43" t="s">
        <v>87</v>
      </c>
      <c r="B43" t="s">
        <v>32</v>
      </c>
      <c r="C43">
        <v>21</v>
      </c>
      <c r="D43" t="s">
        <v>33</v>
      </c>
      <c r="E43" t="s">
        <v>75</v>
      </c>
      <c r="F43" t="s">
        <v>35</v>
      </c>
      <c r="G43">
        <v>114571</v>
      </c>
      <c r="H43" t="s">
        <v>76</v>
      </c>
      <c r="I43" t="s">
        <v>96</v>
      </c>
      <c r="J43" t="s">
        <v>97</v>
      </c>
      <c r="K43" t="s">
        <v>35</v>
      </c>
      <c r="L43" t="s">
        <v>35</v>
      </c>
      <c r="M43" t="s">
        <v>35</v>
      </c>
      <c r="N43" t="s">
        <v>35</v>
      </c>
      <c r="O43" t="s">
        <v>35</v>
      </c>
      <c r="P43" t="s">
        <v>35</v>
      </c>
      <c r="Q43" t="s">
        <v>35</v>
      </c>
      <c r="R43" t="s">
        <v>35</v>
      </c>
      <c r="S43" t="s">
        <v>35</v>
      </c>
      <c r="T43" t="s">
        <v>35</v>
      </c>
      <c r="U43" t="s">
        <v>35</v>
      </c>
      <c r="V43" t="s">
        <v>35</v>
      </c>
      <c r="W43" t="s">
        <v>35</v>
      </c>
      <c r="X43" t="s">
        <v>35</v>
      </c>
      <c r="Y43" t="s">
        <v>35</v>
      </c>
      <c r="Z43" t="s">
        <v>35</v>
      </c>
      <c r="AA43" t="s">
        <v>35</v>
      </c>
      <c r="AB43" t="s">
        <v>35</v>
      </c>
      <c r="AC43" t="s">
        <v>35</v>
      </c>
      <c r="AD43" t="s">
        <v>35</v>
      </c>
      <c r="AE43" t="s">
        <v>35</v>
      </c>
    </row>
    <row r="44" spans="1:31" x14ac:dyDescent="0.2">
      <c r="A44" t="s">
        <v>98</v>
      </c>
      <c r="B44" t="s">
        <v>32</v>
      </c>
      <c r="C44">
        <v>22</v>
      </c>
      <c r="D44" t="s">
        <v>33</v>
      </c>
      <c r="E44" t="s">
        <v>34</v>
      </c>
      <c r="F44" t="s">
        <v>35</v>
      </c>
      <c r="G44">
        <v>28126</v>
      </c>
      <c r="H44" t="s">
        <v>35</v>
      </c>
      <c r="I44" t="s">
        <v>35</v>
      </c>
      <c r="J44" t="s">
        <v>35</v>
      </c>
      <c r="K44" t="s">
        <v>35</v>
      </c>
      <c r="L44" t="s">
        <v>35</v>
      </c>
      <c r="M44" t="s">
        <v>35</v>
      </c>
      <c r="N44" t="s">
        <v>35</v>
      </c>
      <c r="O44" t="s">
        <v>35</v>
      </c>
      <c r="P44" t="s">
        <v>35</v>
      </c>
      <c r="Q44" t="s">
        <v>35</v>
      </c>
      <c r="R44" t="s">
        <v>35</v>
      </c>
      <c r="S44" t="s">
        <v>35</v>
      </c>
      <c r="T44" t="s">
        <v>35</v>
      </c>
      <c r="U44" t="s">
        <v>35</v>
      </c>
      <c r="V44" t="s">
        <v>35</v>
      </c>
      <c r="W44" t="s">
        <v>35</v>
      </c>
      <c r="X44" t="s">
        <v>35</v>
      </c>
      <c r="Y44" t="s">
        <v>35</v>
      </c>
      <c r="Z44" t="s">
        <v>35</v>
      </c>
      <c r="AA44" t="s">
        <v>35</v>
      </c>
      <c r="AB44" t="s">
        <v>35</v>
      </c>
      <c r="AC44" t="s">
        <v>35</v>
      </c>
      <c r="AD44" t="s">
        <v>35</v>
      </c>
      <c r="AE44" t="s">
        <v>35</v>
      </c>
    </row>
    <row r="45" spans="1:31" x14ac:dyDescent="0.2">
      <c r="A45" t="s">
        <v>98</v>
      </c>
      <c r="B45" t="s">
        <v>32</v>
      </c>
      <c r="C45">
        <v>22</v>
      </c>
      <c r="D45" t="s">
        <v>33</v>
      </c>
      <c r="E45" t="s">
        <v>36</v>
      </c>
      <c r="F45" t="s">
        <v>38</v>
      </c>
      <c r="G45">
        <v>10890</v>
      </c>
      <c r="H45">
        <v>0</v>
      </c>
      <c r="I45">
        <v>0</v>
      </c>
      <c r="J45">
        <v>1</v>
      </c>
      <c r="K45">
        <v>0</v>
      </c>
      <c r="L45" t="s">
        <v>35</v>
      </c>
      <c r="M45" t="s">
        <v>35</v>
      </c>
      <c r="N45" t="s">
        <v>35</v>
      </c>
      <c r="O45" t="s">
        <v>35</v>
      </c>
      <c r="P45" t="s">
        <v>35</v>
      </c>
      <c r="Q45" t="s">
        <v>35</v>
      </c>
      <c r="R45" t="s">
        <v>35</v>
      </c>
      <c r="S45" t="s">
        <v>35</v>
      </c>
      <c r="T45" t="s">
        <v>35</v>
      </c>
      <c r="U45" t="s">
        <v>35</v>
      </c>
      <c r="V45" t="s">
        <v>35</v>
      </c>
      <c r="W45" t="s">
        <v>35</v>
      </c>
      <c r="X45" t="s">
        <v>35</v>
      </c>
      <c r="Y45" t="s">
        <v>35</v>
      </c>
      <c r="Z45" t="s">
        <v>35</v>
      </c>
      <c r="AA45" t="s">
        <v>35</v>
      </c>
      <c r="AB45" t="s">
        <v>35</v>
      </c>
      <c r="AC45" t="s">
        <v>35</v>
      </c>
      <c r="AD45" t="s">
        <v>35</v>
      </c>
      <c r="AE45" t="s">
        <v>35</v>
      </c>
    </row>
    <row r="46" spans="1:31" x14ac:dyDescent="0.2">
      <c r="A46" t="s">
        <v>98</v>
      </c>
      <c r="B46" t="s">
        <v>32</v>
      </c>
      <c r="C46">
        <v>22</v>
      </c>
      <c r="D46" t="s">
        <v>33</v>
      </c>
      <c r="E46" t="s">
        <v>36</v>
      </c>
      <c r="F46" t="s">
        <v>37</v>
      </c>
      <c r="G46">
        <v>10071</v>
      </c>
      <c r="H46">
        <v>1</v>
      </c>
      <c r="I46">
        <v>0</v>
      </c>
      <c r="J46">
        <v>0</v>
      </c>
      <c r="K46">
        <v>0</v>
      </c>
      <c r="L46" t="s">
        <v>35</v>
      </c>
      <c r="M46" t="s">
        <v>35</v>
      </c>
      <c r="N46" t="s">
        <v>35</v>
      </c>
      <c r="O46" t="s">
        <v>35</v>
      </c>
      <c r="P46" t="s">
        <v>35</v>
      </c>
      <c r="Q46" t="s">
        <v>35</v>
      </c>
      <c r="R46" t="s">
        <v>35</v>
      </c>
      <c r="S46" t="s">
        <v>35</v>
      </c>
      <c r="T46" t="s">
        <v>35</v>
      </c>
      <c r="U46" t="s">
        <v>35</v>
      </c>
      <c r="V46" t="s">
        <v>35</v>
      </c>
      <c r="W46" t="s">
        <v>35</v>
      </c>
      <c r="X46" t="s">
        <v>35</v>
      </c>
      <c r="Y46" t="s">
        <v>35</v>
      </c>
      <c r="Z46" t="s">
        <v>35</v>
      </c>
      <c r="AA46" t="s">
        <v>35</v>
      </c>
      <c r="AB46" t="s">
        <v>35</v>
      </c>
      <c r="AC46" t="s">
        <v>35</v>
      </c>
      <c r="AD46" t="s">
        <v>35</v>
      </c>
      <c r="AE46" t="s">
        <v>35</v>
      </c>
    </row>
    <row r="47" spans="1:31" x14ac:dyDescent="0.2">
      <c r="A47" t="s">
        <v>98</v>
      </c>
      <c r="B47" t="s">
        <v>32</v>
      </c>
      <c r="C47">
        <v>22</v>
      </c>
      <c r="D47" t="s">
        <v>33</v>
      </c>
      <c r="E47" t="s">
        <v>39</v>
      </c>
      <c r="F47" t="s">
        <v>47</v>
      </c>
      <c r="G47">
        <v>5944</v>
      </c>
      <c r="H47">
        <v>0</v>
      </c>
      <c r="I47">
        <v>1</v>
      </c>
      <c r="J47">
        <v>0</v>
      </c>
      <c r="K47">
        <v>0</v>
      </c>
      <c r="L47" t="s">
        <v>80</v>
      </c>
      <c r="M47" t="s">
        <v>48</v>
      </c>
      <c r="N47" t="s">
        <v>49</v>
      </c>
      <c r="O47" t="s">
        <v>67</v>
      </c>
      <c r="P47" t="s">
        <v>46</v>
      </c>
      <c r="Q47" t="s">
        <v>44</v>
      </c>
      <c r="R47">
        <v>0</v>
      </c>
      <c r="S47">
        <v>1</v>
      </c>
      <c r="T47">
        <v>1</v>
      </c>
      <c r="U47">
        <v>1</v>
      </c>
      <c r="V47">
        <v>0</v>
      </c>
      <c r="W47">
        <v>0</v>
      </c>
      <c r="X47">
        <v>1</v>
      </c>
      <c r="Y47">
        <v>0</v>
      </c>
      <c r="Z47">
        <v>0</v>
      </c>
      <c r="AA47">
        <v>1</v>
      </c>
      <c r="AB47">
        <v>0</v>
      </c>
      <c r="AC47">
        <v>0</v>
      </c>
      <c r="AD47">
        <v>0</v>
      </c>
      <c r="AE47">
        <v>0</v>
      </c>
    </row>
    <row r="48" spans="1:31" x14ac:dyDescent="0.2">
      <c r="A48" t="s">
        <v>98</v>
      </c>
      <c r="B48" t="s">
        <v>32</v>
      </c>
      <c r="C48">
        <v>22</v>
      </c>
      <c r="D48" t="s">
        <v>33</v>
      </c>
      <c r="E48" t="s">
        <v>39</v>
      </c>
      <c r="F48" t="s">
        <v>40</v>
      </c>
      <c r="G48">
        <v>7010</v>
      </c>
      <c r="H48">
        <v>0</v>
      </c>
      <c r="I48">
        <v>0</v>
      </c>
      <c r="J48">
        <v>1</v>
      </c>
      <c r="K48">
        <v>0</v>
      </c>
      <c r="L48" t="s">
        <v>43</v>
      </c>
      <c r="M48" t="s">
        <v>81</v>
      </c>
      <c r="N48" t="s">
        <v>42</v>
      </c>
      <c r="O48" t="s">
        <v>46</v>
      </c>
      <c r="P48" t="s">
        <v>67</v>
      </c>
      <c r="Q48" t="s">
        <v>45</v>
      </c>
      <c r="R48">
        <v>0</v>
      </c>
      <c r="S48">
        <v>0</v>
      </c>
      <c r="T48">
        <v>1</v>
      </c>
      <c r="U48">
        <v>1</v>
      </c>
      <c r="V48">
        <v>1</v>
      </c>
      <c r="W48">
        <v>0</v>
      </c>
      <c r="X48">
        <v>1</v>
      </c>
      <c r="Y48">
        <v>0</v>
      </c>
      <c r="Z48">
        <v>0</v>
      </c>
      <c r="AA48">
        <v>0</v>
      </c>
      <c r="AB48">
        <v>0</v>
      </c>
      <c r="AC48">
        <v>1</v>
      </c>
      <c r="AD48">
        <v>0</v>
      </c>
      <c r="AE48">
        <v>0</v>
      </c>
    </row>
    <row r="49" spans="1:31" x14ac:dyDescent="0.2">
      <c r="A49" t="s">
        <v>98</v>
      </c>
      <c r="B49" t="s">
        <v>32</v>
      </c>
      <c r="C49">
        <v>22</v>
      </c>
      <c r="D49" t="s">
        <v>33</v>
      </c>
      <c r="E49" t="s">
        <v>52</v>
      </c>
      <c r="F49" t="s">
        <v>74</v>
      </c>
      <c r="G49">
        <v>5275</v>
      </c>
      <c r="H49">
        <v>0</v>
      </c>
      <c r="I49">
        <v>1</v>
      </c>
      <c r="J49">
        <v>0</v>
      </c>
      <c r="K49">
        <v>0</v>
      </c>
      <c r="L49" t="s">
        <v>35</v>
      </c>
      <c r="M49" t="s">
        <v>35</v>
      </c>
      <c r="N49" t="s">
        <v>35</v>
      </c>
      <c r="O49" t="s">
        <v>35</v>
      </c>
      <c r="P49" t="s">
        <v>35</v>
      </c>
      <c r="Q49" t="s">
        <v>35</v>
      </c>
      <c r="R49" t="s">
        <v>35</v>
      </c>
      <c r="S49">
        <v>0</v>
      </c>
      <c r="T49">
        <v>1</v>
      </c>
      <c r="U49">
        <v>1</v>
      </c>
      <c r="V49">
        <v>1</v>
      </c>
      <c r="W49">
        <v>0</v>
      </c>
      <c r="X49">
        <v>1</v>
      </c>
      <c r="Y49">
        <v>0</v>
      </c>
      <c r="Z49">
        <v>0</v>
      </c>
      <c r="AA49">
        <v>0</v>
      </c>
      <c r="AB49">
        <v>0</v>
      </c>
      <c r="AC49">
        <v>1</v>
      </c>
      <c r="AD49">
        <v>0</v>
      </c>
      <c r="AE49">
        <v>0</v>
      </c>
    </row>
    <row r="50" spans="1:31" x14ac:dyDescent="0.2">
      <c r="A50" t="s">
        <v>98</v>
      </c>
      <c r="B50" t="s">
        <v>32</v>
      </c>
      <c r="C50">
        <v>22</v>
      </c>
      <c r="D50" t="s">
        <v>33</v>
      </c>
      <c r="E50" t="s">
        <v>39</v>
      </c>
      <c r="F50" t="s">
        <v>70</v>
      </c>
      <c r="G50">
        <v>6752</v>
      </c>
      <c r="H50">
        <v>0</v>
      </c>
      <c r="I50">
        <v>0</v>
      </c>
      <c r="J50">
        <v>1</v>
      </c>
      <c r="K50">
        <v>0</v>
      </c>
      <c r="L50" t="s">
        <v>71</v>
      </c>
      <c r="M50" t="s">
        <v>93</v>
      </c>
      <c r="N50" t="s">
        <v>86</v>
      </c>
      <c r="O50" t="s">
        <v>45</v>
      </c>
      <c r="P50" t="s">
        <v>68</v>
      </c>
      <c r="Q50" t="s">
        <v>46</v>
      </c>
      <c r="R50">
        <v>1</v>
      </c>
      <c r="S50">
        <v>0</v>
      </c>
      <c r="T50">
        <v>1</v>
      </c>
      <c r="U50">
        <v>0</v>
      </c>
      <c r="V50">
        <v>1</v>
      </c>
      <c r="W50">
        <v>0</v>
      </c>
      <c r="X50">
        <v>1</v>
      </c>
      <c r="Y50">
        <v>0</v>
      </c>
      <c r="Z50">
        <v>0</v>
      </c>
      <c r="AA50">
        <v>1</v>
      </c>
      <c r="AB50">
        <v>0</v>
      </c>
      <c r="AC50">
        <v>0</v>
      </c>
      <c r="AD50">
        <v>0</v>
      </c>
      <c r="AE50">
        <v>0</v>
      </c>
    </row>
    <row r="51" spans="1:31" x14ac:dyDescent="0.2">
      <c r="A51" t="s">
        <v>98</v>
      </c>
      <c r="B51" t="s">
        <v>32</v>
      </c>
      <c r="C51">
        <v>22</v>
      </c>
      <c r="D51" t="s">
        <v>33</v>
      </c>
      <c r="E51" t="s">
        <v>52</v>
      </c>
      <c r="F51" t="s">
        <v>69</v>
      </c>
      <c r="G51">
        <v>3195</v>
      </c>
      <c r="H51">
        <v>0</v>
      </c>
      <c r="I51">
        <v>1</v>
      </c>
      <c r="J51">
        <v>0</v>
      </c>
      <c r="K51">
        <v>0</v>
      </c>
      <c r="L51" t="s">
        <v>35</v>
      </c>
      <c r="M51" t="s">
        <v>35</v>
      </c>
      <c r="N51" t="s">
        <v>35</v>
      </c>
      <c r="O51" t="s">
        <v>35</v>
      </c>
      <c r="P51" t="s">
        <v>35</v>
      </c>
      <c r="Q51" t="s">
        <v>35</v>
      </c>
      <c r="R51" t="s">
        <v>35</v>
      </c>
      <c r="S51">
        <v>0</v>
      </c>
      <c r="T51">
        <v>1</v>
      </c>
      <c r="U51">
        <v>0</v>
      </c>
      <c r="V51">
        <v>1</v>
      </c>
      <c r="W51">
        <v>0</v>
      </c>
      <c r="X51">
        <v>1</v>
      </c>
      <c r="Y51">
        <v>0</v>
      </c>
      <c r="Z51">
        <v>0</v>
      </c>
      <c r="AA51">
        <v>1</v>
      </c>
      <c r="AB51">
        <v>0</v>
      </c>
      <c r="AC51">
        <v>0</v>
      </c>
      <c r="AD51">
        <v>0</v>
      </c>
      <c r="AE51">
        <v>0</v>
      </c>
    </row>
    <row r="52" spans="1:31" x14ac:dyDescent="0.2">
      <c r="A52" t="s">
        <v>98</v>
      </c>
      <c r="B52" t="s">
        <v>32</v>
      </c>
      <c r="C52">
        <v>22</v>
      </c>
      <c r="D52" t="s">
        <v>33</v>
      </c>
      <c r="E52" t="s">
        <v>39</v>
      </c>
      <c r="F52" t="s">
        <v>59</v>
      </c>
      <c r="G52">
        <v>4028</v>
      </c>
      <c r="H52">
        <v>0</v>
      </c>
      <c r="I52">
        <v>1</v>
      </c>
      <c r="J52">
        <v>0</v>
      </c>
      <c r="K52">
        <v>0</v>
      </c>
      <c r="L52" t="s">
        <v>99</v>
      </c>
      <c r="M52" t="s">
        <v>61</v>
      </c>
      <c r="N52" t="s">
        <v>62</v>
      </c>
      <c r="O52" t="s">
        <v>67</v>
      </c>
      <c r="P52" t="s">
        <v>46</v>
      </c>
      <c r="Q52" t="s">
        <v>45</v>
      </c>
      <c r="R52">
        <v>0</v>
      </c>
      <c r="S52">
        <v>0</v>
      </c>
      <c r="T52">
        <v>1</v>
      </c>
      <c r="U52">
        <v>1</v>
      </c>
      <c r="V52">
        <v>1</v>
      </c>
      <c r="W52">
        <v>0</v>
      </c>
      <c r="X52">
        <v>1</v>
      </c>
      <c r="Y52">
        <v>0</v>
      </c>
      <c r="Z52">
        <v>0</v>
      </c>
      <c r="AA52">
        <v>1</v>
      </c>
      <c r="AB52">
        <v>0</v>
      </c>
      <c r="AC52">
        <v>0</v>
      </c>
      <c r="AD52">
        <v>0</v>
      </c>
      <c r="AE52">
        <v>0</v>
      </c>
    </row>
    <row r="53" spans="1:31" x14ac:dyDescent="0.2">
      <c r="A53" t="s">
        <v>98</v>
      </c>
      <c r="B53" t="s">
        <v>32</v>
      </c>
      <c r="C53">
        <v>22</v>
      </c>
      <c r="D53" t="s">
        <v>33</v>
      </c>
      <c r="E53" t="s">
        <v>39</v>
      </c>
      <c r="F53" t="s">
        <v>63</v>
      </c>
      <c r="G53">
        <v>2209</v>
      </c>
      <c r="H53">
        <v>0</v>
      </c>
      <c r="I53">
        <v>1</v>
      </c>
      <c r="J53">
        <v>0</v>
      </c>
      <c r="K53">
        <v>0</v>
      </c>
      <c r="L53" t="s">
        <v>90</v>
      </c>
      <c r="M53" t="s">
        <v>66</v>
      </c>
      <c r="N53" t="s">
        <v>85</v>
      </c>
      <c r="O53" t="s">
        <v>44</v>
      </c>
      <c r="P53" t="s">
        <v>45</v>
      </c>
      <c r="Q53" t="s">
        <v>51</v>
      </c>
      <c r="R53">
        <v>0</v>
      </c>
      <c r="S53">
        <v>1</v>
      </c>
      <c r="T53">
        <v>0</v>
      </c>
      <c r="U53">
        <v>0</v>
      </c>
      <c r="V53">
        <v>1</v>
      </c>
      <c r="W53">
        <v>0</v>
      </c>
      <c r="X53">
        <v>1</v>
      </c>
      <c r="Y53">
        <v>0</v>
      </c>
      <c r="Z53">
        <v>0</v>
      </c>
      <c r="AA53">
        <v>0</v>
      </c>
      <c r="AB53">
        <v>0</v>
      </c>
      <c r="AC53">
        <v>1</v>
      </c>
      <c r="AD53">
        <v>0</v>
      </c>
      <c r="AE53">
        <v>0</v>
      </c>
    </row>
    <row r="54" spans="1:31" x14ac:dyDescent="0.2">
      <c r="A54" t="s">
        <v>98</v>
      </c>
      <c r="B54" t="s">
        <v>32</v>
      </c>
      <c r="C54">
        <v>22</v>
      </c>
      <c r="D54" t="s">
        <v>33</v>
      </c>
      <c r="E54" t="s">
        <v>52</v>
      </c>
      <c r="F54" t="s">
        <v>53</v>
      </c>
      <c r="G54">
        <v>4421</v>
      </c>
      <c r="H54">
        <v>1</v>
      </c>
      <c r="I54">
        <v>0</v>
      </c>
      <c r="J54">
        <v>0</v>
      </c>
      <c r="K54">
        <v>0</v>
      </c>
      <c r="L54" t="s">
        <v>35</v>
      </c>
      <c r="M54" t="s">
        <v>35</v>
      </c>
      <c r="N54" t="s">
        <v>35</v>
      </c>
      <c r="O54" t="s">
        <v>35</v>
      </c>
      <c r="P54" t="s">
        <v>35</v>
      </c>
      <c r="Q54" t="s">
        <v>35</v>
      </c>
      <c r="R54" t="s">
        <v>35</v>
      </c>
      <c r="S54">
        <v>1</v>
      </c>
      <c r="T54">
        <v>0</v>
      </c>
      <c r="U54">
        <v>0</v>
      </c>
      <c r="V54">
        <v>1</v>
      </c>
      <c r="W54">
        <v>0</v>
      </c>
      <c r="X54">
        <v>1</v>
      </c>
      <c r="Y54">
        <v>0</v>
      </c>
      <c r="Z54">
        <v>0</v>
      </c>
      <c r="AA54">
        <v>0</v>
      </c>
      <c r="AB54">
        <v>0</v>
      </c>
      <c r="AC54">
        <v>1</v>
      </c>
      <c r="AD54">
        <v>0</v>
      </c>
      <c r="AE54">
        <v>0</v>
      </c>
    </row>
    <row r="55" spans="1:31" x14ac:dyDescent="0.2">
      <c r="A55" t="s">
        <v>98</v>
      </c>
      <c r="B55" t="s">
        <v>32</v>
      </c>
      <c r="C55">
        <v>22</v>
      </c>
      <c r="D55" t="s">
        <v>33</v>
      </c>
      <c r="E55" t="s">
        <v>39</v>
      </c>
      <c r="F55" t="s">
        <v>54</v>
      </c>
      <c r="G55">
        <v>4430</v>
      </c>
      <c r="H55">
        <v>1</v>
      </c>
      <c r="I55">
        <v>0</v>
      </c>
      <c r="J55">
        <v>0</v>
      </c>
      <c r="K55">
        <v>0</v>
      </c>
      <c r="L55" t="s">
        <v>57</v>
      </c>
      <c r="M55" t="s">
        <v>56</v>
      </c>
      <c r="N55" t="s">
        <v>89</v>
      </c>
      <c r="O55" t="s">
        <v>46</v>
      </c>
      <c r="P55" t="s">
        <v>45</v>
      </c>
      <c r="Q55" t="s">
        <v>67</v>
      </c>
      <c r="R55">
        <v>0</v>
      </c>
      <c r="S55">
        <v>0</v>
      </c>
      <c r="T55">
        <v>1</v>
      </c>
      <c r="U55">
        <v>1</v>
      </c>
      <c r="V55">
        <v>1</v>
      </c>
      <c r="W55">
        <v>0</v>
      </c>
      <c r="X55">
        <v>1</v>
      </c>
      <c r="Y55">
        <v>0</v>
      </c>
      <c r="Z55">
        <v>0</v>
      </c>
      <c r="AA55">
        <v>1</v>
      </c>
      <c r="AB55">
        <v>0</v>
      </c>
      <c r="AC55">
        <v>0</v>
      </c>
      <c r="AD55">
        <v>0</v>
      </c>
      <c r="AE55">
        <v>0</v>
      </c>
    </row>
    <row r="56" spans="1:31" x14ac:dyDescent="0.2">
      <c r="A56" t="s">
        <v>98</v>
      </c>
      <c r="B56" t="s">
        <v>32</v>
      </c>
      <c r="C56">
        <v>22</v>
      </c>
      <c r="D56" t="s">
        <v>33</v>
      </c>
      <c r="E56" t="s">
        <v>52</v>
      </c>
      <c r="F56" t="s">
        <v>58</v>
      </c>
      <c r="G56">
        <v>2267</v>
      </c>
      <c r="H56">
        <v>0</v>
      </c>
      <c r="I56">
        <v>1</v>
      </c>
      <c r="J56">
        <v>0</v>
      </c>
      <c r="K56">
        <v>0</v>
      </c>
      <c r="L56" t="s">
        <v>35</v>
      </c>
      <c r="M56" t="s">
        <v>35</v>
      </c>
      <c r="N56" t="s">
        <v>35</v>
      </c>
      <c r="O56" t="s">
        <v>35</v>
      </c>
      <c r="P56" t="s">
        <v>35</v>
      </c>
      <c r="Q56" t="s">
        <v>35</v>
      </c>
      <c r="R56" t="s">
        <v>35</v>
      </c>
      <c r="S56">
        <v>0</v>
      </c>
      <c r="T56">
        <v>1</v>
      </c>
      <c r="U56">
        <v>1</v>
      </c>
      <c r="V56">
        <v>1</v>
      </c>
      <c r="W56">
        <v>0</v>
      </c>
      <c r="X56">
        <v>1</v>
      </c>
      <c r="Y56">
        <v>0</v>
      </c>
      <c r="Z56">
        <v>0</v>
      </c>
      <c r="AA56">
        <v>1</v>
      </c>
      <c r="AB56">
        <v>0</v>
      </c>
      <c r="AC56">
        <v>0</v>
      </c>
      <c r="AD56">
        <v>0</v>
      </c>
      <c r="AE56">
        <v>0</v>
      </c>
    </row>
    <row r="57" spans="1:31" x14ac:dyDescent="0.2">
      <c r="A57" t="s">
        <v>98</v>
      </c>
      <c r="B57" t="s">
        <v>32</v>
      </c>
      <c r="C57">
        <v>22</v>
      </c>
      <c r="D57" t="s">
        <v>33</v>
      </c>
      <c r="E57" t="s">
        <v>75</v>
      </c>
      <c r="F57" t="s">
        <v>35</v>
      </c>
      <c r="G57">
        <v>87152</v>
      </c>
      <c r="H57" t="s">
        <v>76</v>
      </c>
      <c r="I57" t="s">
        <v>100</v>
      </c>
      <c r="J57" t="s">
        <v>96</v>
      </c>
      <c r="K57" t="s">
        <v>35</v>
      </c>
      <c r="L57" t="s">
        <v>35</v>
      </c>
      <c r="M57" t="s">
        <v>35</v>
      </c>
      <c r="N57" t="s">
        <v>35</v>
      </c>
      <c r="O57" t="s">
        <v>35</v>
      </c>
      <c r="P57" t="s">
        <v>35</v>
      </c>
      <c r="Q57" t="s">
        <v>35</v>
      </c>
      <c r="R57" t="s">
        <v>35</v>
      </c>
      <c r="S57" t="s">
        <v>35</v>
      </c>
      <c r="T57" t="s">
        <v>35</v>
      </c>
      <c r="U57" t="s">
        <v>35</v>
      </c>
      <c r="V57" t="s">
        <v>35</v>
      </c>
      <c r="W57" t="s">
        <v>35</v>
      </c>
      <c r="X57" t="s">
        <v>35</v>
      </c>
      <c r="Y57" t="s">
        <v>35</v>
      </c>
      <c r="Z57" t="s">
        <v>35</v>
      </c>
      <c r="AA57" t="s">
        <v>35</v>
      </c>
      <c r="AB57" t="s">
        <v>35</v>
      </c>
      <c r="AC57" t="s">
        <v>35</v>
      </c>
      <c r="AD57" t="s">
        <v>35</v>
      </c>
      <c r="AE57" t="s">
        <v>35</v>
      </c>
    </row>
    <row r="58" spans="1:31" x14ac:dyDescent="0.2">
      <c r="A58" t="s">
        <v>101</v>
      </c>
      <c r="B58" t="s">
        <v>102</v>
      </c>
      <c r="C58">
        <v>22</v>
      </c>
      <c r="D58" t="s">
        <v>78</v>
      </c>
      <c r="E58" t="s">
        <v>34</v>
      </c>
      <c r="F58" t="s">
        <v>35</v>
      </c>
      <c r="G58">
        <v>12128</v>
      </c>
      <c r="H58" t="s">
        <v>35</v>
      </c>
      <c r="I58" t="s">
        <v>35</v>
      </c>
      <c r="J58" t="s">
        <v>35</v>
      </c>
      <c r="K58" t="s">
        <v>35</v>
      </c>
      <c r="L58" t="s">
        <v>35</v>
      </c>
      <c r="M58" t="s">
        <v>35</v>
      </c>
      <c r="N58" t="s">
        <v>35</v>
      </c>
      <c r="O58" t="s">
        <v>35</v>
      </c>
      <c r="P58" t="s">
        <v>35</v>
      </c>
      <c r="Q58" t="s">
        <v>35</v>
      </c>
      <c r="R58" t="s">
        <v>35</v>
      </c>
      <c r="S58" t="s">
        <v>35</v>
      </c>
      <c r="T58" t="s">
        <v>35</v>
      </c>
      <c r="U58" t="s">
        <v>35</v>
      </c>
      <c r="V58" t="s">
        <v>35</v>
      </c>
      <c r="W58" t="s">
        <v>35</v>
      </c>
      <c r="X58" t="s">
        <v>35</v>
      </c>
      <c r="Y58" t="s">
        <v>35</v>
      </c>
      <c r="Z58" t="s">
        <v>35</v>
      </c>
      <c r="AA58" t="s">
        <v>35</v>
      </c>
      <c r="AB58" t="s">
        <v>35</v>
      </c>
      <c r="AC58" t="s">
        <v>35</v>
      </c>
      <c r="AD58" t="s">
        <v>35</v>
      </c>
      <c r="AE58" t="s">
        <v>35</v>
      </c>
    </row>
    <row r="59" spans="1:31" x14ac:dyDescent="0.2">
      <c r="A59" t="s">
        <v>101</v>
      </c>
      <c r="B59" t="s">
        <v>102</v>
      </c>
      <c r="C59">
        <v>22</v>
      </c>
      <c r="D59" t="s">
        <v>78</v>
      </c>
      <c r="E59" t="s">
        <v>36</v>
      </c>
      <c r="F59" t="s">
        <v>37</v>
      </c>
      <c r="G59">
        <v>12421</v>
      </c>
      <c r="H59">
        <v>0</v>
      </c>
      <c r="I59">
        <v>0</v>
      </c>
      <c r="J59">
        <v>1</v>
      </c>
      <c r="K59">
        <v>0</v>
      </c>
      <c r="L59" t="s">
        <v>35</v>
      </c>
      <c r="M59" t="s">
        <v>35</v>
      </c>
      <c r="N59" t="s">
        <v>35</v>
      </c>
      <c r="O59" t="s">
        <v>35</v>
      </c>
      <c r="P59" t="s">
        <v>35</v>
      </c>
      <c r="Q59" t="s">
        <v>35</v>
      </c>
      <c r="R59" t="s">
        <v>35</v>
      </c>
      <c r="S59" t="s">
        <v>35</v>
      </c>
      <c r="T59" t="s">
        <v>35</v>
      </c>
      <c r="U59" t="s">
        <v>35</v>
      </c>
      <c r="V59" t="s">
        <v>35</v>
      </c>
      <c r="W59" t="s">
        <v>35</v>
      </c>
      <c r="X59" t="s">
        <v>35</v>
      </c>
      <c r="Y59" t="s">
        <v>35</v>
      </c>
      <c r="Z59" t="s">
        <v>35</v>
      </c>
      <c r="AA59" t="s">
        <v>35</v>
      </c>
      <c r="AB59" t="s">
        <v>35</v>
      </c>
      <c r="AC59" t="s">
        <v>35</v>
      </c>
      <c r="AD59" t="s">
        <v>35</v>
      </c>
      <c r="AE59" t="s">
        <v>35</v>
      </c>
    </row>
    <row r="60" spans="1:31" x14ac:dyDescent="0.2">
      <c r="A60" t="s">
        <v>101</v>
      </c>
      <c r="B60" t="s">
        <v>102</v>
      </c>
      <c r="C60">
        <v>22</v>
      </c>
      <c r="D60" t="s">
        <v>78</v>
      </c>
      <c r="E60" t="s">
        <v>36</v>
      </c>
      <c r="F60" t="s">
        <v>38</v>
      </c>
      <c r="G60">
        <v>14637</v>
      </c>
      <c r="H60">
        <v>0</v>
      </c>
      <c r="I60">
        <v>0</v>
      </c>
      <c r="J60">
        <v>0</v>
      </c>
      <c r="K60">
        <v>1</v>
      </c>
      <c r="L60" t="s">
        <v>35</v>
      </c>
      <c r="M60" t="s">
        <v>35</v>
      </c>
      <c r="N60" t="s">
        <v>35</v>
      </c>
      <c r="O60" t="s">
        <v>35</v>
      </c>
      <c r="P60" t="s">
        <v>35</v>
      </c>
      <c r="Q60" t="s">
        <v>35</v>
      </c>
      <c r="R60" t="s">
        <v>35</v>
      </c>
      <c r="S60" t="s">
        <v>35</v>
      </c>
      <c r="T60" t="s">
        <v>35</v>
      </c>
      <c r="U60" t="s">
        <v>35</v>
      </c>
      <c r="V60" t="s">
        <v>35</v>
      </c>
      <c r="W60" t="s">
        <v>35</v>
      </c>
      <c r="X60" t="s">
        <v>35</v>
      </c>
      <c r="Y60" t="s">
        <v>35</v>
      </c>
      <c r="Z60" t="s">
        <v>35</v>
      </c>
      <c r="AA60" t="s">
        <v>35</v>
      </c>
      <c r="AB60" t="s">
        <v>35</v>
      </c>
      <c r="AC60" t="s">
        <v>35</v>
      </c>
      <c r="AD60" t="s">
        <v>35</v>
      </c>
      <c r="AE60" t="s">
        <v>35</v>
      </c>
    </row>
    <row r="61" spans="1:31" x14ac:dyDescent="0.2">
      <c r="A61" t="s">
        <v>101</v>
      </c>
      <c r="B61" t="s">
        <v>102</v>
      </c>
      <c r="C61">
        <v>22</v>
      </c>
      <c r="D61" t="s">
        <v>78</v>
      </c>
      <c r="E61" t="s">
        <v>39</v>
      </c>
      <c r="F61" t="s">
        <v>47</v>
      </c>
      <c r="G61">
        <v>13399</v>
      </c>
      <c r="H61">
        <v>1</v>
      </c>
      <c r="I61">
        <v>1</v>
      </c>
      <c r="J61">
        <v>1</v>
      </c>
      <c r="K61">
        <v>0</v>
      </c>
      <c r="L61" t="s">
        <v>79</v>
      </c>
      <c r="M61" t="s">
        <v>49</v>
      </c>
      <c r="N61" t="s">
        <v>95</v>
      </c>
      <c r="O61" t="s">
        <v>45</v>
      </c>
      <c r="P61" t="s">
        <v>44</v>
      </c>
      <c r="Q61" t="s">
        <v>68</v>
      </c>
      <c r="R61">
        <v>1</v>
      </c>
      <c r="S61">
        <v>1</v>
      </c>
      <c r="T61">
        <v>0</v>
      </c>
      <c r="U61">
        <v>0</v>
      </c>
      <c r="V61">
        <v>1</v>
      </c>
      <c r="W61">
        <v>0</v>
      </c>
      <c r="X61">
        <v>1</v>
      </c>
      <c r="Y61">
        <v>1</v>
      </c>
      <c r="Z61">
        <v>1</v>
      </c>
      <c r="AA61">
        <v>0</v>
      </c>
      <c r="AB61">
        <v>0</v>
      </c>
      <c r="AC61">
        <v>1</v>
      </c>
      <c r="AD61">
        <v>0</v>
      </c>
      <c r="AE61">
        <v>0</v>
      </c>
    </row>
    <row r="62" spans="1:31" x14ac:dyDescent="0.2">
      <c r="A62" t="s">
        <v>101</v>
      </c>
      <c r="B62" t="s">
        <v>102</v>
      </c>
      <c r="C62">
        <v>22</v>
      </c>
      <c r="D62" t="s">
        <v>78</v>
      </c>
      <c r="E62" t="s">
        <v>39</v>
      </c>
      <c r="F62" t="s">
        <v>70</v>
      </c>
      <c r="G62">
        <v>7786</v>
      </c>
      <c r="H62">
        <v>1</v>
      </c>
      <c r="I62">
        <v>1</v>
      </c>
      <c r="J62">
        <v>1</v>
      </c>
      <c r="K62">
        <v>0</v>
      </c>
      <c r="L62" t="s">
        <v>73</v>
      </c>
      <c r="M62" t="s">
        <v>86</v>
      </c>
      <c r="N62" t="s">
        <v>92</v>
      </c>
      <c r="O62" t="s">
        <v>44</v>
      </c>
      <c r="P62" t="s">
        <v>46</v>
      </c>
      <c r="Q62" t="s">
        <v>51</v>
      </c>
      <c r="R62">
        <v>0</v>
      </c>
      <c r="S62">
        <v>1</v>
      </c>
      <c r="T62">
        <v>1</v>
      </c>
      <c r="U62">
        <v>0</v>
      </c>
      <c r="V62">
        <v>0</v>
      </c>
      <c r="W62">
        <v>0</v>
      </c>
      <c r="X62">
        <v>1</v>
      </c>
      <c r="Y62">
        <v>0</v>
      </c>
      <c r="Z62">
        <v>1</v>
      </c>
      <c r="AA62">
        <v>1</v>
      </c>
      <c r="AB62">
        <v>0</v>
      </c>
      <c r="AC62">
        <v>0</v>
      </c>
      <c r="AD62">
        <v>0</v>
      </c>
      <c r="AE62">
        <v>0</v>
      </c>
    </row>
    <row r="63" spans="1:31" x14ac:dyDescent="0.2">
      <c r="A63" t="s">
        <v>101</v>
      </c>
      <c r="B63" t="s">
        <v>102</v>
      </c>
      <c r="C63">
        <v>22</v>
      </c>
      <c r="D63" t="s">
        <v>78</v>
      </c>
      <c r="E63" t="s">
        <v>52</v>
      </c>
      <c r="F63" t="s">
        <v>69</v>
      </c>
      <c r="G63">
        <v>16051</v>
      </c>
      <c r="H63">
        <v>1</v>
      </c>
      <c r="I63">
        <v>1</v>
      </c>
      <c r="J63">
        <v>1</v>
      </c>
      <c r="K63">
        <v>0</v>
      </c>
      <c r="L63" t="s">
        <v>35</v>
      </c>
      <c r="M63" t="s">
        <v>35</v>
      </c>
      <c r="N63" t="s">
        <v>35</v>
      </c>
      <c r="O63" t="s">
        <v>35</v>
      </c>
      <c r="P63" t="s">
        <v>35</v>
      </c>
      <c r="Q63" t="s">
        <v>35</v>
      </c>
      <c r="R63" t="s">
        <v>35</v>
      </c>
      <c r="S63">
        <v>1</v>
      </c>
      <c r="T63">
        <v>1</v>
      </c>
      <c r="U63">
        <v>0</v>
      </c>
      <c r="V63">
        <v>0</v>
      </c>
      <c r="W63">
        <v>0</v>
      </c>
      <c r="X63">
        <v>1</v>
      </c>
      <c r="Y63">
        <v>0</v>
      </c>
      <c r="Z63">
        <v>1</v>
      </c>
      <c r="AA63">
        <v>1</v>
      </c>
      <c r="AB63">
        <v>0</v>
      </c>
      <c r="AC63">
        <v>0</v>
      </c>
      <c r="AD63">
        <v>0</v>
      </c>
      <c r="AE63">
        <v>0</v>
      </c>
    </row>
    <row r="64" spans="1:31" x14ac:dyDescent="0.2">
      <c r="A64" t="s">
        <v>101</v>
      </c>
      <c r="B64" t="s">
        <v>102</v>
      </c>
      <c r="C64">
        <v>22</v>
      </c>
      <c r="D64" t="s">
        <v>78</v>
      </c>
      <c r="E64" t="s">
        <v>39</v>
      </c>
      <c r="F64" t="s">
        <v>63</v>
      </c>
      <c r="G64">
        <v>16402</v>
      </c>
      <c r="H64">
        <v>0</v>
      </c>
      <c r="I64">
        <v>1</v>
      </c>
      <c r="J64">
        <v>1</v>
      </c>
      <c r="K64">
        <v>0</v>
      </c>
      <c r="L64" t="s">
        <v>66</v>
      </c>
      <c r="M64" t="s">
        <v>90</v>
      </c>
      <c r="N64" t="s">
        <v>64</v>
      </c>
      <c r="O64" t="s">
        <v>45</v>
      </c>
      <c r="P64" t="s">
        <v>44</v>
      </c>
      <c r="Q64" t="s">
        <v>67</v>
      </c>
      <c r="R64">
        <v>0</v>
      </c>
      <c r="S64">
        <v>1</v>
      </c>
      <c r="T64">
        <v>0</v>
      </c>
      <c r="U64">
        <v>1</v>
      </c>
      <c r="V64">
        <v>1</v>
      </c>
      <c r="W64">
        <v>0</v>
      </c>
      <c r="X64">
        <v>1</v>
      </c>
      <c r="Y64">
        <v>0</v>
      </c>
      <c r="Z64">
        <v>1</v>
      </c>
      <c r="AA64">
        <v>0</v>
      </c>
      <c r="AB64">
        <v>1</v>
      </c>
      <c r="AC64">
        <v>0</v>
      </c>
      <c r="AD64">
        <v>0</v>
      </c>
      <c r="AE64">
        <v>0</v>
      </c>
    </row>
    <row r="65" spans="1:31" x14ac:dyDescent="0.2">
      <c r="A65" t="s">
        <v>101</v>
      </c>
      <c r="B65" t="s">
        <v>102</v>
      </c>
      <c r="C65">
        <v>22</v>
      </c>
      <c r="D65" t="s">
        <v>78</v>
      </c>
      <c r="E65" t="s">
        <v>39</v>
      </c>
      <c r="F65" t="s">
        <v>54</v>
      </c>
      <c r="G65">
        <v>29700</v>
      </c>
      <c r="H65">
        <v>0</v>
      </c>
      <c r="I65">
        <v>1</v>
      </c>
      <c r="J65">
        <v>0</v>
      </c>
      <c r="K65">
        <v>0</v>
      </c>
      <c r="L65" t="s">
        <v>88</v>
      </c>
      <c r="M65" t="s">
        <v>89</v>
      </c>
      <c r="N65" t="s">
        <v>57</v>
      </c>
      <c r="O65" t="s">
        <v>51</v>
      </c>
      <c r="P65" t="s">
        <v>67</v>
      </c>
      <c r="Q65" t="s">
        <v>46</v>
      </c>
      <c r="R65">
        <v>0</v>
      </c>
      <c r="S65">
        <v>0</v>
      </c>
      <c r="T65">
        <v>1</v>
      </c>
      <c r="U65">
        <v>1</v>
      </c>
      <c r="V65">
        <v>0</v>
      </c>
      <c r="W65">
        <v>0</v>
      </c>
      <c r="X65">
        <v>1</v>
      </c>
      <c r="Y65">
        <v>0</v>
      </c>
      <c r="Z65">
        <v>0</v>
      </c>
      <c r="AA65">
        <v>0</v>
      </c>
      <c r="AB65">
        <v>1</v>
      </c>
      <c r="AC65">
        <v>0</v>
      </c>
      <c r="AD65">
        <v>0</v>
      </c>
      <c r="AE65">
        <v>0</v>
      </c>
    </row>
    <row r="66" spans="1:31" x14ac:dyDescent="0.2">
      <c r="A66" t="s">
        <v>101</v>
      </c>
      <c r="B66" t="s">
        <v>102</v>
      </c>
      <c r="C66">
        <v>22</v>
      </c>
      <c r="D66" t="s">
        <v>78</v>
      </c>
      <c r="E66" t="s">
        <v>52</v>
      </c>
      <c r="F66" t="s">
        <v>58</v>
      </c>
      <c r="G66">
        <v>5321</v>
      </c>
      <c r="H66">
        <v>1</v>
      </c>
      <c r="I66">
        <v>1</v>
      </c>
      <c r="J66">
        <v>0</v>
      </c>
      <c r="K66">
        <v>0</v>
      </c>
      <c r="L66" t="s">
        <v>35</v>
      </c>
      <c r="M66" t="s">
        <v>35</v>
      </c>
      <c r="N66" t="s">
        <v>35</v>
      </c>
      <c r="O66" t="s">
        <v>35</v>
      </c>
      <c r="P66" t="s">
        <v>35</v>
      </c>
      <c r="Q66" t="s">
        <v>35</v>
      </c>
      <c r="R66" t="s">
        <v>35</v>
      </c>
      <c r="S66">
        <v>0</v>
      </c>
      <c r="T66">
        <v>1</v>
      </c>
      <c r="U66">
        <v>1</v>
      </c>
      <c r="V66">
        <v>0</v>
      </c>
      <c r="W66">
        <v>0</v>
      </c>
      <c r="X66">
        <v>1</v>
      </c>
      <c r="Y66">
        <v>0</v>
      </c>
      <c r="Z66">
        <v>0</v>
      </c>
      <c r="AA66">
        <v>0</v>
      </c>
      <c r="AB66">
        <v>1</v>
      </c>
      <c r="AC66">
        <v>0</v>
      </c>
      <c r="AD66">
        <v>0</v>
      </c>
      <c r="AE66">
        <v>0</v>
      </c>
    </row>
    <row r="67" spans="1:31" x14ac:dyDescent="0.2">
      <c r="A67" t="s">
        <v>101</v>
      </c>
      <c r="B67" t="s">
        <v>102</v>
      </c>
      <c r="C67">
        <v>22</v>
      </c>
      <c r="D67" t="s">
        <v>78</v>
      </c>
      <c r="E67" t="s">
        <v>39</v>
      </c>
      <c r="F67" t="s">
        <v>59</v>
      </c>
      <c r="G67">
        <v>9980</v>
      </c>
      <c r="H67">
        <v>0</v>
      </c>
      <c r="I67">
        <v>1</v>
      </c>
      <c r="J67">
        <v>1</v>
      </c>
      <c r="K67">
        <v>0</v>
      </c>
      <c r="L67" t="s">
        <v>62</v>
      </c>
      <c r="M67" t="s">
        <v>99</v>
      </c>
      <c r="N67" t="s">
        <v>60</v>
      </c>
      <c r="O67" t="s">
        <v>45</v>
      </c>
      <c r="P67" t="s">
        <v>67</v>
      </c>
      <c r="Q67" t="s">
        <v>44</v>
      </c>
      <c r="R67">
        <v>0</v>
      </c>
      <c r="S67">
        <v>1</v>
      </c>
      <c r="T67">
        <v>0</v>
      </c>
      <c r="U67">
        <v>1</v>
      </c>
      <c r="V67">
        <v>1</v>
      </c>
      <c r="W67">
        <v>0</v>
      </c>
      <c r="X67">
        <v>1</v>
      </c>
      <c r="Y67">
        <v>0</v>
      </c>
      <c r="Z67">
        <v>1</v>
      </c>
      <c r="AA67">
        <v>0</v>
      </c>
      <c r="AB67">
        <v>1</v>
      </c>
      <c r="AC67">
        <v>0</v>
      </c>
      <c r="AD67">
        <v>0</v>
      </c>
      <c r="AE67">
        <v>0</v>
      </c>
    </row>
    <row r="68" spans="1:31" x14ac:dyDescent="0.2">
      <c r="A68" t="s">
        <v>101</v>
      </c>
      <c r="B68" t="s">
        <v>102</v>
      </c>
      <c r="C68">
        <v>22</v>
      </c>
      <c r="D68" t="s">
        <v>78</v>
      </c>
      <c r="E68" t="s">
        <v>52</v>
      </c>
      <c r="F68" t="s">
        <v>74</v>
      </c>
      <c r="G68">
        <v>10001</v>
      </c>
      <c r="H68">
        <v>1</v>
      </c>
      <c r="I68">
        <v>0</v>
      </c>
      <c r="J68">
        <v>0</v>
      </c>
      <c r="K68">
        <v>0</v>
      </c>
      <c r="L68" t="s">
        <v>35</v>
      </c>
      <c r="M68" t="s">
        <v>35</v>
      </c>
      <c r="N68" t="s">
        <v>35</v>
      </c>
      <c r="O68" t="s">
        <v>35</v>
      </c>
      <c r="P68" t="s">
        <v>35</v>
      </c>
      <c r="Q68" t="s">
        <v>35</v>
      </c>
      <c r="R68" t="s">
        <v>35</v>
      </c>
      <c r="S68">
        <v>1</v>
      </c>
      <c r="T68">
        <v>0</v>
      </c>
      <c r="U68">
        <v>1</v>
      </c>
      <c r="V68">
        <v>1</v>
      </c>
      <c r="W68">
        <v>0</v>
      </c>
      <c r="X68">
        <v>1</v>
      </c>
      <c r="Y68">
        <v>0</v>
      </c>
      <c r="Z68">
        <v>1</v>
      </c>
      <c r="AA68">
        <v>0</v>
      </c>
      <c r="AB68">
        <v>1</v>
      </c>
      <c r="AC68">
        <v>0</v>
      </c>
      <c r="AD68">
        <v>0</v>
      </c>
      <c r="AE68">
        <v>0</v>
      </c>
    </row>
    <row r="69" spans="1:31" x14ac:dyDescent="0.2">
      <c r="A69" t="s">
        <v>101</v>
      </c>
      <c r="B69" t="s">
        <v>102</v>
      </c>
      <c r="C69">
        <v>22</v>
      </c>
      <c r="D69" t="s">
        <v>78</v>
      </c>
      <c r="E69" t="s">
        <v>39</v>
      </c>
      <c r="F69" t="s">
        <v>40</v>
      </c>
      <c r="G69">
        <v>2810</v>
      </c>
      <c r="H69">
        <v>0</v>
      </c>
      <c r="I69">
        <v>0</v>
      </c>
      <c r="J69">
        <v>1</v>
      </c>
      <c r="K69">
        <v>0</v>
      </c>
      <c r="L69" t="s">
        <v>42</v>
      </c>
      <c r="M69" t="s">
        <v>43</v>
      </c>
      <c r="N69" t="s">
        <v>41</v>
      </c>
      <c r="O69" t="s">
        <v>45</v>
      </c>
      <c r="P69" t="s">
        <v>46</v>
      </c>
      <c r="Q69" t="s">
        <v>44</v>
      </c>
      <c r="R69">
        <v>0</v>
      </c>
      <c r="S69">
        <v>1</v>
      </c>
      <c r="T69">
        <v>1</v>
      </c>
      <c r="U69">
        <v>0</v>
      </c>
      <c r="V69">
        <v>1</v>
      </c>
      <c r="W69">
        <v>0</v>
      </c>
      <c r="X69">
        <v>1</v>
      </c>
      <c r="Y69">
        <v>0</v>
      </c>
      <c r="Z69">
        <v>1</v>
      </c>
      <c r="AA69">
        <v>0</v>
      </c>
      <c r="AB69">
        <v>0</v>
      </c>
      <c r="AC69">
        <v>0</v>
      </c>
      <c r="AD69">
        <v>0</v>
      </c>
      <c r="AE69">
        <v>0</v>
      </c>
    </row>
    <row r="70" spans="1:31" x14ac:dyDescent="0.2">
      <c r="A70" t="s">
        <v>101</v>
      </c>
      <c r="B70" t="s">
        <v>102</v>
      </c>
      <c r="C70">
        <v>22</v>
      </c>
      <c r="D70" t="s">
        <v>78</v>
      </c>
      <c r="E70" t="s">
        <v>52</v>
      </c>
      <c r="F70" t="s">
        <v>53</v>
      </c>
      <c r="G70">
        <v>8993</v>
      </c>
      <c r="H70">
        <v>0</v>
      </c>
      <c r="I70">
        <v>0</v>
      </c>
      <c r="J70">
        <v>0</v>
      </c>
      <c r="K70">
        <v>1</v>
      </c>
      <c r="L70" t="s">
        <v>35</v>
      </c>
      <c r="M70" t="s">
        <v>35</v>
      </c>
      <c r="N70" t="s">
        <v>35</v>
      </c>
      <c r="O70" t="s">
        <v>35</v>
      </c>
      <c r="P70" t="s">
        <v>35</v>
      </c>
      <c r="Q70" t="s">
        <v>35</v>
      </c>
      <c r="R70" t="s">
        <v>35</v>
      </c>
      <c r="S70">
        <v>1</v>
      </c>
      <c r="T70">
        <v>1</v>
      </c>
      <c r="U70">
        <v>0</v>
      </c>
      <c r="V70">
        <v>1</v>
      </c>
      <c r="W70">
        <v>0</v>
      </c>
      <c r="X70">
        <v>1</v>
      </c>
      <c r="Y70">
        <v>0</v>
      </c>
      <c r="Z70">
        <v>1</v>
      </c>
      <c r="AA70">
        <v>0</v>
      </c>
      <c r="AB70">
        <v>0</v>
      </c>
      <c r="AC70">
        <v>0</v>
      </c>
      <c r="AD70">
        <v>0</v>
      </c>
      <c r="AE70">
        <v>0</v>
      </c>
    </row>
    <row r="71" spans="1:31" x14ac:dyDescent="0.2">
      <c r="A71" t="s">
        <v>101</v>
      </c>
      <c r="B71" t="s">
        <v>102</v>
      </c>
      <c r="C71">
        <v>22</v>
      </c>
      <c r="D71" t="s">
        <v>78</v>
      </c>
      <c r="E71" t="s">
        <v>75</v>
      </c>
      <c r="F71" t="s">
        <v>35</v>
      </c>
      <c r="G71">
        <v>20332</v>
      </c>
      <c r="H71" t="s">
        <v>103</v>
      </c>
      <c r="I71" t="s">
        <v>104</v>
      </c>
      <c r="J71" t="s">
        <v>105</v>
      </c>
      <c r="K71" t="s">
        <v>35</v>
      </c>
      <c r="L71" t="s">
        <v>35</v>
      </c>
      <c r="M71" t="s">
        <v>35</v>
      </c>
      <c r="N71" t="s">
        <v>35</v>
      </c>
      <c r="O71" t="s">
        <v>35</v>
      </c>
      <c r="P71" t="s">
        <v>35</v>
      </c>
      <c r="Q71" t="s">
        <v>35</v>
      </c>
      <c r="R71" t="s">
        <v>35</v>
      </c>
      <c r="S71" t="s">
        <v>35</v>
      </c>
      <c r="T71" t="s">
        <v>35</v>
      </c>
      <c r="U71" t="s">
        <v>35</v>
      </c>
      <c r="V71" t="s">
        <v>35</v>
      </c>
      <c r="W71" t="s">
        <v>35</v>
      </c>
      <c r="X71" t="s">
        <v>35</v>
      </c>
      <c r="Y71" t="s">
        <v>35</v>
      </c>
      <c r="Z71" t="s">
        <v>35</v>
      </c>
      <c r="AA71" t="s">
        <v>35</v>
      </c>
      <c r="AB71" t="s">
        <v>35</v>
      </c>
      <c r="AC71" t="s">
        <v>35</v>
      </c>
      <c r="AD71" t="s">
        <v>35</v>
      </c>
      <c r="AE71" t="s">
        <v>35</v>
      </c>
    </row>
    <row r="72" spans="1:31" x14ac:dyDescent="0.2">
      <c r="A72" t="s">
        <v>106</v>
      </c>
      <c r="B72" t="s">
        <v>107</v>
      </c>
      <c r="C72">
        <v>28</v>
      </c>
      <c r="D72" t="s">
        <v>33</v>
      </c>
      <c r="E72" t="s">
        <v>34</v>
      </c>
      <c r="F72" t="s">
        <v>35</v>
      </c>
      <c r="G72">
        <v>38642</v>
      </c>
      <c r="H72" t="s">
        <v>35</v>
      </c>
      <c r="I72" t="s">
        <v>35</v>
      </c>
      <c r="J72" t="s">
        <v>35</v>
      </c>
      <c r="K72" t="s">
        <v>35</v>
      </c>
      <c r="L72" t="s">
        <v>35</v>
      </c>
      <c r="M72" t="s">
        <v>35</v>
      </c>
      <c r="N72" t="s">
        <v>35</v>
      </c>
      <c r="O72" t="s">
        <v>35</v>
      </c>
      <c r="P72" t="s">
        <v>35</v>
      </c>
      <c r="Q72" t="s">
        <v>35</v>
      </c>
      <c r="R72" t="s">
        <v>35</v>
      </c>
      <c r="S72" t="s">
        <v>35</v>
      </c>
      <c r="T72" t="s">
        <v>35</v>
      </c>
      <c r="U72" t="s">
        <v>35</v>
      </c>
      <c r="V72" t="s">
        <v>35</v>
      </c>
      <c r="W72" t="s">
        <v>35</v>
      </c>
      <c r="X72" t="s">
        <v>35</v>
      </c>
      <c r="Y72" t="s">
        <v>35</v>
      </c>
      <c r="Z72" t="s">
        <v>35</v>
      </c>
      <c r="AA72" t="s">
        <v>35</v>
      </c>
      <c r="AB72" t="s">
        <v>35</v>
      </c>
      <c r="AC72" t="s">
        <v>35</v>
      </c>
      <c r="AD72" t="s">
        <v>35</v>
      </c>
      <c r="AE72" t="s">
        <v>35</v>
      </c>
    </row>
    <row r="73" spans="1:31" x14ac:dyDescent="0.2">
      <c r="A73" t="s">
        <v>106</v>
      </c>
      <c r="B73" t="s">
        <v>107</v>
      </c>
      <c r="C73">
        <v>28</v>
      </c>
      <c r="D73" t="s">
        <v>33</v>
      </c>
      <c r="E73" t="s">
        <v>36</v>
      </c>
      <c r="F73" t="s">
        <v>37</v>
      </c>
      <c r="G73">
        <v>7892</v>
      </c>
      <c r="H73">
        <v>1</v>
      </c>
      <c r="I73">
        <v>0</v>
      </c>
      <c r="J73">
        <v>0</v>
      </c>
      <c r="K73">
        <v>0</v>
      </c>
      <c r="L73" t="s">
        <v>35</v>
      </c>
      <c r="M73" t="s">
        <v>35</v>
      </c>
      <c r="N73" t="s">
        <v>35</v>
      </c>
      <c r="O73" t="s">
        <v>35</v>
      </c>
      <c r="P73" t="s">
        <v>35</v>
      </c>
      <c r="Q73" t="s">
        <v>35</v>
      </c>
      <c r="R73" t="s">
        <v>35</v>
      </c>
      <c r="S73" t="s">
        <v>35</v>
      </c>
      <c r="T73" t="s">
        <v>35</v>
      </c>
      <c r="U73" t="s">
        <v>35</v>
      </c>
      <c r="V73" t="s">
        <v>35</v>
      </c>
      <c r="W73" t="s">
        <v>35</v>
      </c>
      <c r="X73" t="s">
        <v>35</v>
      </c>
      <c r="Y73" t="s">
        <v>35</v>
      </c>
      <c r="Z73" t="s">
        <v>35</v>
      </c>
      <c r="AA73" t="s">
        <v>35</v>
      </c>
      <c r="AB73" t="s">
        <v>35</v>
      </c>
      <c r="AC73" t="s">
        <v>35</v>
      </c>
      <c r="AD73" t="s">
        <v>35</v>
      </c>
      <c r="AE73" t="s">
        <v>35</v>
      </c>
    </row>
    <row r="74" spans="1:31" x14ac:dyDescent="0.2">
      <c r="A74" t="s">
        <v>106</v>
      </c>
      <c r="B74" t="s">
        <v>107</v>
      </c>
      <c r="C74">
        <v>28</v>
      </c>
      <c r="D74" t="s">
        <v>33</v>
      </c>
      <c r="E74" t="s">
        <v>36</v>
      </c>
      <c r="F74" t="s">
        <v>38</v>
      </c>
      <c r="G74">
        <v>4194</v>
      </c>
      <c r="H74">
        <v>1</v>
      </c>
      <c r="I74">
        <v>0</v>
      </c>
      <c r="J74">
        <v>0</v>
      </c>
      <c r="K74">
        <v>0</v>
      </c>
      <c r="L74" t="s">
        <v>35</v>
      </c>
      <c r="M74" t="s">
        <v>35</v>
      </c>
      <c r="N74" t="s">
        <v>35</v>
      </c>
      <c r="O74" t="s">
        <v>35</v>
      </c>
      <c r="P74" t="s">
        <v>35</v>
      </c>
      <c r="Q74" t="s">
        <v>35</v>
      </c>
      <c r="R74" t="s">
        <v>35</v>
      </c>
      <c r="S74" t="s">
        <v>35</v>
      </c>
      <c r="T74" t="s">
        <v>35</v>
      </c>
      <c r="U74" t="s">
        <v>35</v>
      </c>
      <c r="V74" t="s">
        <v>35</v>
      </c>
      <c r="W74" t="s">
        <v>35</v>
      </c>
      <c r="X74" t="s">
        <v>35</v>
      </c>
      <c r="Y74" t="s">
        <v>35</v>
      </c>
      <c r="Z74" t="s">
        <v>35</v>
      </c>
      <c r="AA74" t="s">
        <v>35</v>
      </c>
      <c r="AB74" t="s">
        <v>35</v>
      </c>
      <c r="AC74" t="s">
        <v>35</v>
      </c>
      <c r="AD74" t="s">
        <v>35</v>
      </c>
      <c r="AE74" t="s">
        <v>35</v>
      </c>
    </row>
    <row r="75" spans="1:31" x14ac:dyDescent="0.2">
      <c r="A75" t="s">
        <v>106</v>
      </c>
      <c r="B75" t="s">
        <v>107</v>
      </c>
      <c r="C75">
        <v>28</v>
      </c>
      <c r="D75" t="s">
        <v>33</v>
      </c>
      <c r="E75" t="s">
        <v>39</v>
      </c>
      <c r="F75" t="s">
        <v>47</v>
      </c>
      <c r="G75">
        <v>5956</v>
      </c>
      <c r="H75">
        <v>0</v>
      </c>
      <c r="I75">
        <v>0</v>
      </c>
      <c r="J75">
        <v>1</v>
      </c>
      <c r="K75">
        <v>0</v>
      </c>
      <c r="L75" t="s">
        <v>95</v>
      </c>
      <c r="M75" t="s">
        <v>79</v>
      </c>
      <c r="N75" t="s">
        <v>49</v>
      </c>
      <c r="O75" t="s">
        <v>68</v>
      </c>
      <c r="P75" t="s">
        <v>45</v>
      </c>
      <c r="Q75" t="s">
        <v>44</v>
      </c>
      <c r="R75">
        <v>1</v>
      </c>
      <c r="S75">
        <v>1</v>
      </c>
      <c r="T75">
        <v>0</v>
      </c>
      <c r="U75">
        <v>0</v>
      </c>
      <c r="V75">
        <v>1</v>
      </c>
      <c r="W75">
        <v>0</v>
      </c>
      <c r="X75">
        <v>1</v>
      </c>
      <c r="Y75">
        <v>0</v>
      </c>
      <c r="Z75">
        <v>1</v>
      </c>
      <c r="AA75">
        <v>0</v>
      </c>
      <c r="AB75">
        <v>0</v>
      </c>
      <c r="AC75">
        <v>0</v>
      </c>
      <c r="AD75">
        <v>0</v>
      </c>
      <c r="AE75">
        <v>0</v>
      </c>
    </row>
    <row r="76" spans="1:31" x14ac:dyDescent="0.2">
      <c r="A76" t="s">
        <v>106</v>
      </c>
      <c r="B76" t="s">
        <v>107</v>
      </c>
      <c r="C76">
        <v>28</v>
      </c>
      <c r="D76" t="s">
        <v>33</v>
      </c>
      <c r="E76" t="s">
        <v>39</v>
      </c>
      <c r="F76" t="s">
        <v>54</v>
      </c>
      <c r="G76">
        <v>3661</v>
      </c>
      <c r="H76">
        <v>1</v>
      </c>
      <c r="I76">
        <v>0</v>
      </c>
      <c r="J76">
        <v>0</v>
      </c>
      <c r="K76">
        <v>0</v>
      </c>
      <c r="L76" t="s">
        <v>56</v>
      </c>
      <c r="M76" t="s">
        <v>57</v>
      </c>
      <c r="N76" t="s">
        <v>89</v>
      </c>
      <c r="O76" t="s">
        <v>45</v>
      </c>
      <c r="P76" t="s">
        <v>46</v>
      </c>
      <c r="Q76" t="s">
        <v>67</v>
      </c>
      <c r="R76">
        <v>0</v>
      </c>
      <c r="S76">
        <v>0</v>
      </c>
      <c r="T76">
        <v>1</v>
      </c>
      <c r="U76">
        <v>1</v>
      </c>
      <c r="V76">
        <v>1</v>
      </c>
      <c r="W76">
        <v>0</v>
      </c>
      <c r="X76">
        <v>1</v>
      </c>
      <c r="Y76">
        <v>0</v>
      </c>
      <c r="Z76">
        <v>0</v>
      </c>
      <c r="AA76">
        <v>0</v>
      </c>
      <c r="AB76">
        <v>0</v>
      </c>
      <c r="AC76">
        <v>1</v>
      </c>
      <c r="AD76">
        <v>0</v>
      </c>
      <c r="AE76">
        <v>0</v>
      </c>
    </row>
    <row r="77" spans="1:31" x14ac:dyDescent="0.2">
      <c r="A77" t="s">
        <v>106</v>
      </c>
      <c r="B77" t="s">
        <v>107</v>
      </c>
      <c r="C77">
        <v>28</v>
      </c>
      <c r="D77" t="s">
        <v>33</v>
      </c>
      <c r="E77" t="s">
        <v>52</v>
      </c>
      <c r="F77" t="s">
        <v>58</v>
      </c>
      <c r="G77">
        <v>2951</v>
      </c>
      <c r="H77">
        <v>0</v>
      </c>
      <c r="I77">
        <v>0</v>
      </c>
      <c r="J77">
        <v>0</v>
      </c>
      <c r="K77">
        <v>0</v>
      </c>
      <c r="L77" t="s">
        <v>35</v>
      </c>
      <c r="M77" t="s">
        <v>35</v>
      </c>
      <c r="N77" t="s">
        <v>35</v>
      </c>
      <c r="O77" t="s">
        <v>35</v>
      </c>
      <c r="P77" t="s">
        <v>35</v>
      </c>
      <c r="Q77" t="s">
        <v>35</v>
      </c>
      <c r="R77" t="s">
        <v>35</v>
      </c>
      <c r="S77">
        <v>0</v>
      </c>
      <c r="T77">
        <v>1</v>
      </c>
      <c r="U77">
        <v>1</v>
      </c>
      <c r="V77">
        <v>1</v>
      </c>
      <c r="W77">
        <v>0</v>
      </c>
      <c r="X77">
        <v>1</v>
      </c>
      <c r="Y77">
        <v>0</v>
      </c>
      <c r="Z77">
        <v>0</v>
      </c>
      <c r="AA77">
        <v>0</v>
      </c>
      <c r="AB77">
        <v>0</v>
      </c>
      <c r="AC77">
        <v>1</v>
      </c>
      <c r="AD77">
        <v>0</v>
      </c>
      <c r="AE77">
        <v>0</v>
      </c>
    </row>
    <row r="78" spans="1:31" x14ac:dyDescent="0.2">
      <c r="A78" t="s">
        <v>106</v>
      </c>
      <c r="B78" t="s">
        <v>107</v>
      </c>
      <c r="C78">
        <v>28</v>
      </c>
      <c r="D78" t="s">
        <v>33</v>
      </c>
      <c r="E78" t="s">
        <v>39</v>
      </c>
      <c r="F78" t="s">
        <v>70</v>
      </c>
      <c r="G78">
        <v>8286</v>
      </c>
      <c r="H78">
        <v>1</v>
      </c>
      <c r="I78">
        <v>0</v>
      </c>
      <c r="J78">
        <v>0</v>
      </c>
      <c r="K78">
        <v>0</v>
      </c>
      <c r="L78" t="s">
        <v>73</v>
      </c>
      <c r="M78" t="s">
        <v>92</v>
      </c>
      <c r="N78" t="s">
        <v>86</v>
      </c>
      <c r="O78" t="s">
        <v>44</v>
      </c>
      <c r="P78" t="s">
        <v>51</v>
      </c>
      <c r="Q78" t="s">
        <v>46</v>
      </c>
      <c r="R78">
        <v>0</v>
      </c>
      <c r="S78">
        <v>1</v>
      </c>
      <c r="T78">
        <v>1</v>
      </c>
      <c r="U78">
        <v>0</v>
      </c>
      <c r="V78">
        <v>0</v>
      </c>
      <c r="W78">
        <v>0</v>
      </c>
      <c r="X78">
        <v>1</v>
      </c>
      <c r="Y78">
        <v>0</v>
      </c>
      <c r="Z78">
        <v>1</v>
      </c>
      <c r="AA78">
        <v>0</v>
      </c>
      <c r="AB78">
        <v>0</v>
      </c>
      <c r="AC78">
        <v>0</v>
      </c>
      <c r="AD78">
        <v>0</v>
      </c>
      <c r="AE78">
        <v>0</v>
      </c>
    </row>
    <row r="79" spans="1:31" x14ac:dyDescent="0.2">
      <c r="A79" t="s">
        <v>106</v>
      </c>
      <c r="B79" t="s">
        <v>107</v>
      </c>
      <c r="C79">
        <v>28</v>
      </c>
      <c r="D79" t="s">
        <v>33</v>
      </c>
      <c r="E79" t="s">
        <v>52</v>
      </c>
      <c r="F79" t="s">
        <v>69</v>
      </c>
      <c r="G79">
        <v>2520</v>
      </c>
      <c r="H79">
        <v>1</v>
      </c>
      <c r="I79">
        <v>0</v>
      </c>
      <c r="J79">
        <v>0</v>
      </c>
      <c r="K79">
        <v>0</v>
      </c>
      <c r="L79" t="s">
        <v>35</v>
      </c>
      <c r="M79" t="s">
        <v>35</v>
      </c>
      <c r="N79" t="s">
        <v>35</v>
      </c>
      <c r="O79" t="s">
        <v>35</v>
      </c>
      <c r="P79" t="s">
        <v>35</v>
      </c>
      <c r="Q79" t="s">
        <v>35</v>
      </c>
      <c r="R79" t="s">
        <v>35</v>
      </c>
      <c r="S79">
        <v>1</v>
      </c>
      <c r="T79">
        <v>1</v>
      </c>
      <c r="U79">
        <v>0</v>
      </c>
      <c r="V79">
        <v>0</v>
      </c>
      <c r="W79">
        <v>0</v>
      </c>
      <c r="X79">
        <v>1</v>
      </c>
      <c r="Y79">
        <v>0</v>
      </c>
      <c r="Z79">
        <v>1</v>
      </c>
      <c r="AA79">
        <v>0</v>
      </c>
      <c r="AB79">
        <v>0</v>
      </c>
      <c r="AC79">
        <v>0</v>
      </c>
      <c r="AD79">
        <v>0</v>
      </c>
      <c r="AE79">
        <v>0</v>
      </c>
    </row>
    <row r="80" spans="1:31" x14ac:dyDescent="0.2">
      <c r="A80" t="s">
        <v>106</v>
      </c>
      <c r="B80" t="s">
        <v>107</v>
      </c>
      <c r="C80">
        <v>28</v>
      </c>
      <c r="D80" t="s">
        <v>33</v>
      </c>
      <c r="E80" t="s">
        <v>39</v>
      </c>
      <c r="F80" t="s">
        <v>40</v>
      </c>
      <c r="G80">
        <v>4266</v>
      </c>
      <c r="H80">
        <v>1</v>
      </c>
      <c r="I80">
        <v>0</v>
      </c>
      <c r="J80">
        <v>0</v>
      </c>
      <c r="K80">
        <v>0</v>
      </c>
      <c r="L80" t="s">
        <v>82</v>
      </c>
      <c r="M80" t="s">
        <v>41</v>
      </c>
      <c r="N80" t="s">
        <v>81</v>
      </c>
      <c r="O80" t="s">
        <v>68</v>
      </c>
      <c r="P80" t="s">
        <v>44</v>
      </c>
      <c r="Q80" t="s">
        <v>67</v>
      </c>
      <c r="R80">
        <v>1</v>
      </c>
      <c r="S80">
        <v>1</v>
      </c>
      <c r="T80">
        <v>0</v>
      </c>
      <c r="U80">
        <v>1</v>
      </c>
      <c r="V80">
        <v>0</v>
      </c>
      <c r="W80">
        <v>0</v>
      </c>
      <c r="X80">
        <v>1</v>
      </c>
      <c r="Y80">
        <v>1</v>
      </c>
      <c r="Z80">
        <v>0</v>
      </c>
      <c r="AA80">
        <v>0</v>
      </c>
      <c r="AB80">
        <v>0</v>
      </c>
      <c r="AC80">
        <v>0</v>
      </c>
      <c r="AD80">
        <v>0</v>
      </c>
      <c r="AE80">
        <v>0</v>
      </c>
    </row>
    <row r="81" spans="1:31" x14ac:dyDescent="0.2">
      <c r="A81" t="s">
        <v>106</v>
      </c>
      <c r="B81" t="s">
        <v>107</v>
      </c>
      <c r="C81">
        <v>28</v>
      </c>
      <c r="D81" t="s">
        <v>33</v>
      </c>
      <c r="E81" t="s">
        <v>39</v>
      </c>
      <c r="F81" t="s">
        <v>59</v>
      </c>
      <c r="G81">
        <v>3726</v>
      </c>
      <c r="H81">
        <v>1</v>
      </c>
      <c r="I81">
        <v>0</v>
      </c>
      <c r="J81">
        <v>0</v>
      </c>
      <c r="K81">
        <v>0</v>
      </c>
      <c r="L81" t="s">
        <v>62</v>
      </c>
      <c r="M81" t="s">
        <v>94</v>
      </c>
      <c r="N81" t="s">
        <v>60</v>
      </c>
      <c r="O81" t="s">
        <v>45</v>
      </c>
      <c r="P81" t="s">
        <v>68</v>
      </c>
      <c r="Q81" t="s">
        <v>44</v>
      </c>
      <c r="R81">
        <v>1</v>
      </c>
      <c r="S81">
        <v>1</v>
      </c>
      <c r="T81">
        <v>0</v>
      </c>
      <c r="U81">
        <v>0</v>
      </c>
      <c r="V81">
        <v>1</v>
      </c>
      <c r="W81">
        <v>0</v>
      </c>
      <c r="X81">
        <v>1</v>
      </c>
      <c r="Y81">
        <v>0</v>
      </c>
      <c r="Z81">
        <v>0</v>
      </c>
      <c r="AA81">
        <v>0</v>
      </c>
      <c r="AB81">
        <v>0</v>
      </c>
      <c r="AC81">
        <v>1</v>
      </c>
      <c r="AD81">
        <v>0</v>
      </c>
      <c r="AE81">
        <v>0</v>
      </c>
    </row>
    <row r="82" spans="1:31" x14ac:dyDescent="0.2">
      <c r="A82" t="s">
        <v>106</v>
      </c>
      <c r="B82" t="s">
        <v>107</v>
      </c>
      <c r="C82">
        <v>28</v>
      </c>
      <c r="D82" t="s">
        <v>33</v>
      </c>
      <c r="E82" t="s">
        <v>52</v>
      </c>
      <c r="F82" t="s">
        <v>74</v>
      </c>
      <c r="G82">
        <v>2968</v>
      </c>
      <c r="H82">
        <v>1</v>
      </c>
      <c r="I82">
        <v>0</v>
      </c>
      <c r="J82">
        <v>0</v>
      </c>
      <c r="K82">
        <v>0</v>
      </c>
      <c r="L82" t="s">
        <v>35</v>
      </c>
      <c r="M82" t="s">
        <v>35</v>
      </c>
      <c r="N82" t="s">
        <v>35</v>
      </c>
      <c r="O82" t="s">
        <v>35</v>
      </c>
      <c r="P82" t="s">
        <v>35</v>
      </c>
      <c r="Q82" t="s">
        <v>35</v>
      </c>
      <c r="R82" t="s">
        <v>35</v>
      </c>
      <c r="S82">
        <v>1</v>
      </c>
      <c r="T82">
        <v>0</v>
      </c>
      <c r="U82">
        <v>0</v>
      </c>
      <c r="V82">
        <v>1</v>
      </c>
      <c r="W82">
        <v>0</v>
      </c>
      <c r="X82">
        <v>1</v>
      </c>
      <c r="Y82">
        <v>0</v>
      </c>
      <c r="Z82">
        <v>0</v>
      </c>
      <c r="AA82">
        <v>0</v>
      </c>
      <c r="AB82">
        <v>0</v>
      </c>
      <c r="AC82">
        <v>1</v>
      </c>
      <c r="AD82">
        <v>0</v>
      </c>
      <c r="AE82">
        <v>0</v>
      </c>
    </row>
    <row r="83" spans="1:31" x14ac:dyDescent="0.2">
      <c r="A83" t="s">
        <v>106</v>
      </c>
      <c r="B83" t="s">
        <v>107</v>
      </c>
      <c r="C83">
        <v>28</v>
      </c>
      <c r="D83" t="s">
        <v>33</v>
      </c>
      <c r="E83" t="s">
        <v>39</v>
      </c>
      <c r="F83" t="s">
        <v>63</v>
      </c>
      <c r="G83">
        <v>3738</v>
      </c>
      <c r="H83">
        <v>1</v>
      </c>
      <c r="I83">
        <v>0</v>
      </c>
      <c r="J83">
        <v>0</v>
      </c>
      <c r="K83">
        <v>0</v>
      </c>
      <c r="L83" t="s">
        <v>66</v>
      </c>
      <c r="M83" t="s">
        <v>84</v>
      </c>
      <c r="N83" t="s">
        <v>65</v>
      </c>
      <c r="O83" t="s">
        <v>45</v>
      </c>
      <c r="P83" t="s">
        <v>46</v>
      </c>
      <c r="Q83" t="s">
        <v>68</v>
      </c>
      <c r="R83">
        <v>1</v>
      </c>
      <c r="S83">
        <v>0</v>
      </c>
      <c r="T83">
        <v>1</v>
      </c>
      <c r="U83">
        <v>0</v>
      </c>
      <c r="V83">
        <v>1</v>
      </c>
      <c r="W83">
        <v>0</v>
      </c>
      <c r="X83">
        <v>1</v>
      </c>
      <c r="Y83">
        <v>0</v>
      </c>
      <c r="Z83">
        <v>0</v>
      </c>
      <c r="AA83">
        <v>0</v>
      </c>
      <c r="AB83">
        <v>0</v>
      </c>
      <c r="AC83">
        <v>1</v>
      </c>
      <c r="AD83">
        <v>0</v>
      </c>
      <c r="AE83">
        <v>0</v>
      </c>
    </row>
    <row r="84" spans="1:31" x14ac:dyDescent="0.2">
      <c r="A84" t="s">
        <v>106</v>
      </c>
      <c r="B84" t="s">
        <v>107</v>
      </c>
      <c r="C84">
        <v>28</v>
      </c>
      <c r="D84" t="s">
        <v>33</v>
      </c>
      <c r="E84" t="s">
        <v>52</v>
      </c>
      <c r="F84" t="s">
        <v>53</v>
      </c>
      <c r="G84">
        <v>2177</v>
      </c>
      <c r="H84">
        <v>1</v>
      </c>
      <c r="I84">
        <v>0</v>
      </c>
      <c r="J84">
        <v>0</v>
      </c>
      <c r="K84">
        <v>0</v>
      </c>
      <c r="L84" t="s">
        <v>35</v>
      </c>
      <c r="M84" t="s">
        <v>35</v>
      </c>
      <c r="N84" t="s">
        <v>35</v>
      </c>
      <c r="O84" t="s">
        <v>35</v>
      </c>
      <c r="P84" t="s">
        <v>35</v>
      </c>
      <c r="Q84" t="s">
        <v>35</v>
      </c>
      <c r="R84" t="s">
        <v>35</v>
      </c>
      <c r="S84">
        <v>0</v>
      </c>
      <c r="T84">
        <v>1</v>
      </c>
      <c r="U84">
        <v>0</v>
      </c>
      <c r="V84">
        <v>1</v>
      </c>
      <c r="W84">
        <v>0</v>
      </c>
      <c r="X84">
        <v>1</v>
      </c>
      <c r="Y84">
        <v>0</v>
      </c>
      <c r="Z84">
        <v>0</v>
      </c>
      <c r="AA84">
        <v>0</v>
      </c>
      <c r="AB84">
        <v>0</v>
      </c>
      <c r="AC84">
        <v>1</v>
      </c>
      <c r="AD84">
        <v>0</v>
      </c>
      <c r="AE84">
        <v>0</v>
      </c>
    </row>
    <row r="85" spans="1:31" x14ac:dyDescent="0.2">
      <c r="A85" t="s">
        <v>106</v>
      </c>
      <c r="B85" t="s">
        <v>107</v>
      </c>
      <c r="C85">
        <v>28</v>
      </c>
      <c r="D85" t="s">
        <v>33</v>
      </c>
      <c r="E85" t="s">
        <v>75</v>
      </c>
      <c r="F85" t="s">
        <v>35</v>
      </c>
      <c r="G85">
        <v>116004</v>
      </c>
      <c r="H85" t="s">
        <v>108</v>
      </c>
      <c r="I85" t="s">
        <v>109</v>
      </c>
      <c r="J85" t="s">
        <v>110</v>
      </c>
      <c r="K85" t="s">
        <v>35</v>
      </c>
      <c r="L85" t="s">
        <v>35</v>
      </c>
      <c r="M85" t="s">
        <v>35</v>
      </c>
      <c r="N85" t="s">
        <v>35</v>
      </c>
      <c r="O85" t="s">
        <v>35</v>
      </c>
      <c r="P85" t="s">
        <v>35</v>
      </c>
      <c r="Q85" t="s">
        <v>35</v>
      </c>
      <c r="R85" t="s">
        <v>35</v>
      </c>
      <c r="S85" t="s">
        <v>35</v>
      </c>
      <c r="T85" t="s">
        <v>35</v>
      </c>
      <c r="U85" t="s">
        <v>35</v>
      </c>
      <c r="V85" t="s">
        <v>35</v>
      </c>
      <c r="W85" t="s">
        <v>35</v>
      </c>
      <c r="X85" t="s">
        <v>35</v>
      </c>
      <c r="Y85" t="s">
        <v>35</v>
      </c>
      <c r="Z85" t="s">
        <v>35</v>
      </c>
      <c r="AA85" t="s">
        <v>35</v>
      </c>
      <c r="AB85" t="s">
        <v>35</v>
      </c>
      <c r="AC85" t="s">
        <v>35</v>
      </c>
      <c r="AD85" t="s">
        <v>35</v>
      </c>
      <c r="AE85" t="s">
        <v>35</v>
      </c>
    </row>
    <row r="86" spans="1:31" x14ac:dyDescent="0.2">
      <c r="A86" t="s">
        <v>111</v>
      </c>
      <c r="B86" t="s">
        <v>32</v>
      </c>
      <c r="C86">
        <v>58</v>
      </c>
      <c r="D86" t="s">
        <v>33</v>
      </c>
      <c r="E86" t="s">
        <v>34</v>
      </c>
      <c r="F86" t="s">
        <v>35</v>
      </c>
      <c r="G86">
        <v>41002</v>
      </c>
      <c r="H86" t="s">
        <v>35</v>
      </c>
      <c r="I86" t="s">
        <v>35</v>
      </c>
      <c r="J86" t="s">
        <v>35</v>
      </c>
      <c r="K86" t="s">
        <v>35</v>
      </c>
      <c r="L86" t="s">
        <v>35</v>
      </c>
      <c r="M86" t="s">
        <v>35</v>
      </c>
      <c r="N86" t="s">
        <v>35</v>
      </c>
      <c r="O86" t="s">
        <v>35</v>
      </c>
      <c r="P86" t="s">
        <v>35</v>
      </c>
      <c r="Q86" t="s">
        <v>35</v>
      </c>
      <c r="R86" t="s">
        <v>35</v>
      </c>
      <c r="S86" t="s">
        <v>35</v>
      </c>
      <c r="T86" t="s">
        <v>35</v>
      </c>
      <c r="U86" t="s">
        <v>35</v>
      </c>
      <c r="V86" t="s">
        <v>35</v>
      </c>
      <c r="W86" t="s">
        <v>35</v>
      </c>
      <c r="X86" t="s">
        <v>35</v>
      </c>
      <c r="Y86" t="s">
        <v>35</v>
      </c>
      <c r="Z86" t="s">
        <v>35</v>
      </c>
      <c r="AA86" t="s">
        <v>35</v>
      </c>
      <c r="AB86" t="s">
        <v>35</v>
      </c>
      <c r="AC86" t="s">
        <v>35</v>
      </c>
      <c r="AD86" t="s">
        <v>35</v>
      </c>
      <c r="AE86" t="s">
        <v>35</v>
      </c>
    </row>
    <row r="87" spans="1:31" x14ac:dyDescent="0.2">
      <c r="A87" t="s">
        <v>111</v>
      </c>
      <c r="B87" t="s">
        <v>32</v>
      </c>
      <c r="C87">
        <v>58</v>
      </c>
      <c r="D87" t="s">
        <v>33</v>
      </c>
      <c r="E87" t="s">
        <v>36</v>
      </c>
      <c r="F87" t="s">
        <v>38</v>
      </c>
      <c r="G87">
        <v>14755</v>
      </c>
      <c r="H87">
        <v>1</v>
      </c>
      <c r="I87">
        <v>0</v>
      </c>
      <c r="J87">
        <v>0</v>
      </c>
      <c r="K87">
        <v>0</v>
      </c>
      <c r="L87" t="s">
        <v>35</v>
      </c>
      <c r="M87" t="s">
        <v>35</v>
      </c>
      <c r="N87" t="s">
        <v>35</v>
      </c>
      <c r="O87" t="s">
        <v>35</v>
      </c>
      <c r="P87" t="s">
        <v>35</v>
      </c>
      <c r="Q87" t="s">
        <v>35</v>
      </c>
      <c r="R87" t="s">
        <v>35</v>
      </c>
      <c r="S87" t="s">
        <v>35</v>
      </c>
      <c r="T87" t="s">
        <v>35</v>
      </c>
      <c r="U87" t="s">
        <v>35</v>
      </c>
      <c r="V87" t="s">
        <v>35</v>
      </c>
      <c r="W87" t="s">
        <v>35</v>
      </c>
      <c r="X87" t="s">
        <v>35</v>
      </c>
      <c r="Y87" t="s">
        <v>35</v>
      </c>
      <c r="Z87" t="s">
        <v>35</v>
      </c>
      <c r="AA87" t="s">
        <v>35</v>
      </c>
      <c r="AB87" t="s">
        <v>35</v>
      </c>
      <c r="AC87" t="s">
        <v>35</v>
      </c>
      <c r="AD87" t="s">
        <v>35</v>
      </c>
      <c r="AE87" t="s">
        <v>35</v>
      </c>
    </row>
    <row r="88" spans="1:31" x14ac:dyDescent="0.2">
      <c r="A88" t="s">
        <v>111</v>
      </c>
      <c r="B88" t="s">
        <v>32</v>
      </c>
      <c r="C88">
        <v>58</v>
      </c>
      <c r="D88" t="s">
        <v>33</v>
      </c>
      <c r="E88" t="s">
        <v>36</v>
      </c>
      <c r="F88" t="s">
        <v>37</v>
      </c>
      <c r="G88">
        <v>15940</v>
      </c>
      <c r="H88">
        <v>1</v>
      </c>
      <c r="I88">
        <v>0</v>
      </c>
      <c r="J88">
        <v>0</v>
      </c>
      <c r="K88">
        <v>0</v>
      </c>
      <c r="L88" t="s">
        <v>35</v>
      </c>
      <c r="M88" t="s">
        <v>35</v>
      </c>
      <c r="N88" t="s">
        <v>35</v>
      </c>
      <c r="O88" t="s">
        <v>35</v>
      </c>
      <c r="P88" t="s">
        <v>35</v>
      </c>
      <c r="Q88" t="s">
        <v>35</v>
      </c>
      <c r="R88" t="s">
        <v>35</v>
      </c>
      <c r="S88" t="s">
        <v>35</v>
      </c>
      <c r="T88" t="s">
        <v>35</v>
      </c>
      <c r="U88" t="s">
        <v>35</v>
      </c>
      <c r="V88" t="s">
        <v>35</v>
      </c>
      <c r="W88" t="s">
        <v>35</v>
      </c>
      <c r="X88" t="s">
        <v>35</v>
      </c>
      <c r="Y88" t="s">
        <v>35</v>
      </c>
      <c r="Z88" t="s">
        <v>35</v>
      </c>
      <c r="AA88" t="s">
        <v>35</v>
      </c>
      <c r="AB88" t="s">
        <v>35</v>
      </c>
      <c r="AC88" t="s">
        <v>35</v>
      </c>
      <c r="AD88" t="s">
        <v>35</v>
      </c>
      <c r="AE88" t="s">
        <v>35</v>
      </c>
    </row>
    <row r="89" spans="1:31" x14ac:dyDescent="0.2">
      <c r="A89" t="s">
        <v>111</v>
      </c>
      <c r="B89" t="s">
        <v>32</v>
      </c>
      <c r="C89">
        <v>58</v>
      </c>
      <c r="D89" t="s">
        <v>33</v>
      </c>
      <c r="E89" t="s">
        <v>39</v>
      </c>
      <c r="F89" t="s">
        <v>70</v>
      </c>
      <c r="G89">
        <v>14414</v>
      </c>
      <c r="H89">
        <v>0</v>
      </c>
      <c r="I89">
        <v>1</v>
      </c>
      <c r="J89">
        <v>0</v>
      </c>
      <c r="K89">
        <v>0</v>
      </c>
      <c r="L89" t="s">
        <v>93</v>
      </c>
      <c r="M89" t="s">
        <v>73</v>
      </c>
      <c r="N89" t="s">
        <v>86</v>
      </c>
      <c r="O89" t="s">
        <v>68</v>
      </c>
      <c r="P89" t="s">
        <v>44</v>
      </c>
      <c r="Q89" t="s">
        <v>46</v>
      </c>
      <c r="R89">
        <v>1</v>
      </c>
      <c r="S89">
        <v>1</v>
      </c>
      <c r="T89">
        <v>1</v>
      </c>
      <c r="U89">
        <v>0</v>
      </c>
      <c r="V89">
        <v>0</v>
      </c>
      <c r="W89">
        <v>0</v>
      </c>
      <c r="X89">
        <v>1</v>
      </c>
      <c r="Y89">
        <v>0</v>
      </c>
      <c r="Z89">
        <v>1</v>
      </c>
      <c r="AA89">
        <v>0</v>
      </c>
      <c r="AB89">
        <v>0</v>
      </c>
      <c r="AC89">
        <v>0</v>
      </c>
      <c r="AD89">
        <v>0</v>
      </c>
      <c r="AE89">
        <v>0</v>
      </c>
    </row>
    <row r="90" spans="1:31" x14ac:dyDescent="0.2">
      <c r="A90" t="s">
        <v>111</v>
      </c>
      <c r="B90" t="s">
        <v>32</v>
      </c>
      <c r="C90">
        <v>58</v>
      </c>
      <c r="D90" t="s">
        <v>33</v>
      </c>
      <c r="E90" t="s">
        <v>52</v>
      </c>
      <c r="F90" t="s">
        <v>58</v>
      </c>
      <c r="G90">
        <v>29365</v>
      </c>
      <c r="H90">
        <v>1</v>
      </c>
      <c r="I90">
        <v>1</v>
      </c>
      <c r="J90">
        <v>1</v>
      </c>
      <c r="K90">
        <v>1</v>
      </c>
      <c r="L90" t="s">
        <v>35</v>
      </c>
      <c r="M90" t="s">
        <v>35</v>
      </c>
      <c r="N90" t="s">
        <v>35</v>
      </c>
      <c r="O90" t="s">
        <v>35</v>
      </c>
      <c r="P90" t="s">
        <v>35</v>
      </c>
      <c r="Q90" t="s">
        <v>35</v>
      </c>
      <c r="R90" t="s">
        <v>35</v>
      </c>
      <c r="S90">
        <v>1</v>
      </c>
      <c r="T90">
        <v>1</v>
      </c>
      <c r="U90">
        <v>0</v>
      </c>
      <c r="V90">
        <v>0</v>
      </c>
      <c r="W90">
        <v>0</v>
      </c>
      <c r="X90">
        <v>1</v>
      </c>
      <c r="Y90">
        <v>0</v>
      </c>
      <c r="Z90">
        <v>1</v>
      </c>
      <c r="AA90">
        <v>0</v>
      </c>
      <c r="AB90">
        <v>0</v>
      </c>
      <c r="AC90">
        <v>0</v>
      </c>
      <c r="AD90">
        <v>0</v>
      </c>
      <c r="AE90">
        <v>0</v>
      </c>
    </row>
    <row r="91" spans="1:31" x14ac:dyDescent="0.2">
      <c r="A91" t="s">
        <v>111</v>
      </c>
      <c r="B91" t="s">
        <v>32</v>
      </c>
      <c r="C91">
        <v>58</v>
      </c>
      <c r="D91" t="s">
        <v>33</v>
      </c>
      <c r="E91" t="s">
        <v>39</v>
      </c>
      <c r="F91" t="s">
        <v>54</v>
      </c>
      <c r="G91">
        <v>9687</v>
      </c>
      <c r="H91">
        <v>0</v>
      </c>
      <c r="I91">
        <v>0</v>
      </c>
      <c r="J91">
        <v>0</v>
      </c>
      <c r="K91">
        <v>0</v>
      </c>
      <c r="L91" t="s">
        <v>56</v>
      </c>
      <c r="M91" t="s">
        <v>55</v>
      </c>
      <c r="N91" t="s">
        <v>57</v>
      </c>
      <c r="O91" t="s">
        <v>45</v>
      </c>
      <c r="P91" t="s">
        <v>44</v>
      </c>
      <c r="Q91" t="s">
        <v>46</v>
      </c>
      <c r="R91">
        <v>0</v>
      </c>
      <c r="S91">
        <v>1</v>
      </c>
      <c r="T91">
        <v>1</v>
      </c>
      <c r="U91">
        <v>0</v>
      </c>
      <c r="V91">
        <v>1</v>
      </c>
      <c r="W91">
        <v>0</v>
      </c>
      <c r="X91">
        <v>1</v>
      </c>
      <c r="Y91">
        <v>0</v>
      </c>
      <c r="Z91">
        <v>0</v>
      </c>
      <c r="AA91">
        <v>0</v>
      </c>
      <c r="AB91">
        <v>0</v>
      </c>
      <c r="AC91">
        <v>0</v>
      </c>
      <c r="AD91">
        <v>0</v>
      </c>
      <c r="AE91">
        <v>0</v>
      </c>
    </row>
    <row r="92" spans="1:31" x14ac:dyDescent="0.2">
      <c r="A92" t="s">
        <v>111</v>
      </c>
      <c r="B92" t="s">
        <v>32</v>
      </c>
      <c r="C92">
        <v>58</v>
      </c>
      <c r="D92" t="s">
        <v>33</v>
      </c>
      <c r="E92" t="s">
        <v>39</v>
      </c>
      <c r="F92" t="s">
        <v>47</v>
      </c>
      <c r="G92">
        <v>9434</v>
      </c>
      <c r="H92">
        <v>0</v>
      </c>
      <c r="I92">
        <v>0</v>
      </c>
      <c r="J92">
        <v>1</v>
      </c>
      <c r="K92">
        <v>0</v>
      </c>
      <c r="L92" t="s">
        <v>80</v>
      </c>
      <c r="M92" t="s">
        <v>48</v>
      </c>
      <c r="N92" t="s">
        <v>79</v>
      </c>
      <c r="O92" t="s">
        <v>67</v>
      </c>
      <c r="P92" t="s">
        <v>46</v>
      </c>
      <c r="Q92" t="s">
        <v>45</v>
      </c>
      <c r="R92">
        <v>0</v>
      </c>
      <c r="S92">
        <v>0</v>
      </c>
      <c r="T92">
        <v>1</v>
      </c>
      <c r="U92">
        <v>1</v>
      </c>
      <c r="V92">
        <v>1</v>
      </c>
      <c r="W92">
        <v>0</v>
      </c>
      <c r="X92">
        <v>1</v>
      </c>
      <c r="Y92">
        <v>0</v>
      </c>
      <c r="Z92">
        <v>0</v>
      </c>
      <c r="AA92">
        <v>0</v>
      </c>
      <c r="AB92">
        <v>0</v>
      </c>
      <c r="AC92">
        <v>1</v>
      </c>
      <c r="AD92">
        <v>0</v>
      </c>
      <c r="AE92">
        <v>0</v>
      </c>
    </row>
    <row r="93" spans="1:31" x14ac:dyDescent="0.2">
      <c r="A93" t="s">
        <v>111</v>
      </c>
      <c r="B93" t="s">
        <v>32</v>
      </c>
      <c r="C93">
        <v>58</v>
      </c>
      <c r="D93" t="s">
        <v>33</v>
      </c>
      <c r="E93" t="s">
        <v>52</v>
      </c>
      <c r="F93" t="s">
        <v>74</v>
      </c>
      <c r="G93">
        <v>5580</v>
      </c>
      <c r="H93">
        <v>1</v>
      </c>
      <c r="I93">
        <v>0</v>
      </c>
      <c r="J93">
        <v>0</v>
      </c>
      <c r="K93">
        <v>0</v>
      </c>
      <c r="L93" t="s">
        <v>35</v>
      </c>
      <c r="M93" t="s">
        <v>35</v>
      </c>
      <c r="N93" t="s">
        <v>35</v>
      </c>
      <c r="O93" t="s">
        <v>35</v>
      </c>
      <c r="P93" t="s">
        <v>35</v>
      </c>
      <c r="Q93" t="s">
        <v>35</v>
      </c>
      <c r="R93" t="s">
        <v>35</v>
      </c>
      <c r="S93">
        <v>0</v>
      </c>
      <c r="T93">
        <v>1</v>
      </c>
      <c r="U93">
        <v>1</v>
      </c>
      <c r="V93">
        <v>1</v>
      </c>
      <c r="W93">
        <v>0</v>
      </c>
      <c r="X93">
        <v>1</v>
      </c>
      <c r="Y93">
        <v>0</v>
      </c>
      <c r="Z93">
        <v>0</v>
      </c>
      <c r="AA93">
        <v>0</v>
      </c>
      <c r="AB93">
        <v>0</v>
      </c>
      <c r="AC93">
        <v>1</v>
      </c>
      <c r="AD93">
        <v>0</v>
      </c>
      <c r="AE93">
        <v>0</v>
      </c>
    </row>
    <row r="94" spans="1:31" x14ac:dyDescent="0.2">
      <c r="A94" t="s">
        <v>111</v>
      </c>
      <c r="B94" t="s">
        <v>32</v>
      </c>
      <c r="C94">
        <v>58</v>
      </c>
      <c r="D94" t="s">
        <v>33</v>
      </c>
      <c r="E94" t="s">
        <v>39</v>
      </c>
      <c r="F94" t="s">
        <v>40</v>
      </c>
      <c r="G94">
        <v>8792</v>
      </c>
      <c r="H94">
        <v>0</v>
      </c>
      <c r="I94">
        <v>1</v>
      </c>
      <c r="J94">
        <v>0</v>
      </c>
      <c r="K94">
        <v>0</v>
      </c>
      <c r="L94" t="s">
        <v>81</v>
      </c>
      <c r="M94" t="s">
        <v>43</v>
      </c>
      <c r="N94" t="s">
        <v>41</v>
      </c>
      <c r="O94" t="s">
        <v>67</v>
      </c>
      <c r="P94" t="s">
        <v>46</v>
      </c>
      <c r="Q94" t="s">
        <v>44</v>
      </c>
      <c r="R94">
        <v>0</v>
      </c>
      <c r="S94">
        <v>1</v>
      </c>
      <c r="T94">
        <v>1</v>
      </c>
      <c r="U94">
        <v>1</v>
      </c>
      <c r="V94">
        <v>0</v>
      </c>
      <c r="W94">
        <v>0</v>
      </c>
      <c r="X94">
        <v>1</v>
      </c>
      <c r="Y94">
        <v>0</v>
      </c>
      <c r="Z94">
        <v>0</v>
      </c>
      <c r="AA94">
        <v>1</v>
      </c>
      <c r="AB94">
        <v>0</v>
      </c>
      <c r="AC94">
        <v>0</v>
      </c>
      <c r="AD94">
        <v>0</v>
      </c>
      <c r="AE94">
        <v>0</v>
      </c>
    </row>
    <row r="95" spans="1:31" x14ac:dyDescent="0.2">
      <c r="A95" t="s">
        <v>111</v>
      </c>
      <c r="B95" t="s">
        <v>32</v>
      </c>
      <c r="C95">
        <v>58</v>
      </c>
      <c r="D95" t="s">
        <v>33</v>
      </c>
      <c r="E95" t="s">
        <v>52</v>
      </c>
      <c r="F95" t="s">
        <v>69</v>
      </c>
      <c r="G95">
        <v>12728</v>
      </c>
      <c r="H95">
        <v>1</v>
      </c>
      <c r="I95">
        <v>1</v>
      </c>
      <c r="J95">
        <v>1</v>
      </c>
      <c r="K95">
        <v>1</v>
      </c>
      <c r="L95" t="s">
        <v>35</v>
      </c>
      <c r="M95" t="s">
        <v>35</v>
      </c>
      <c r="N95" t="s">
        <v>35</v>
      </c>
      <c r="O95" t="s">
        <v>35</v>
      </c>
      <c r="P95" t="s">
        <v>35</v>
      </c>
      <c r="Q95" t="s">
        <v>35</v>
      </c>
      <c r="R95" t="s">
        <v>35</v>
      </c>
      <c r="S95">
        <v>1</v>
      </c>
      <c r="T95">
        <v>1</v>
      </c>
      <c r="U95">
        <v>1</v>
      </c>
      <c r="V95">
        <v>0</v>
      </c>
      <c r="W95">
        <v>0</v>
      </c>
      <c r="X95">
        <v>1</v>
      </c>
      <c r="Y95">
        <v>0</v>
      </c>
      <c r="Z95">
        <v>0</v>
      </c>
      <c r="AA95">
        <v>1</v>
      </c>
      <c r="AB95">
        <v>0</v>
      </c>
      <c r="AC95">
        <v>0</v>
      </c>
      <c r="AD95">
        <v>0</v>
      </c>
      <c r="AE95">
        <v>0</v>
      </c>
    </row>
    <row r="96" spans="1:31" x14ac:dyDescent="0.2">
      <c r="A96" t="s">
        <v>111</v>
      </c>
      <c r="B96" t="s">
        <v>32</v>
      </c>
      <c r="C96">
        <v>58</v>
      </c>
      <c r="D96" t="s">
        <v>33</v>
      </c>
      <c r="E96" t="s">
        <v>39</v>
      </c>
      <c r="F96" t="s">
        <v>59</v>
      </c>
      <c r="G96">
        <v>11206</v>
      </c>
      <c r="H96">
        <v>1</v>
      </c>
      <c r="I96">
        <v>1</v>
      </c>
      <c r="J96">
        <v>1</v>
      </c>
      <c r="K96">
        <v>0</v>
      </c>
      <c r="L96" t="s">
        <v>61</v>
      </c>
      <c r="M96" t="s">
        <v>99</v>
      </c>
      <c r="N96" t="s">
        <v>94</v>
      </c>
      <c r="O96" t="s">
        <v>46</v>
      </c>
      <c r="P96" t="s">
        <v>67</v>
      </c>
      <c r="Q96" t="s">
        <v>68</v>
      </c>
      <c r="R96">
        <v>1</v>
      </c>
      <c r="S96">
        <v>0</v>
      </c>
      <c r="T96">
        <v>1</v>
      </c>
      <c r="U96">
        <v>1</v>
      </c>
      <c r="V96">
        <v>0</v>
      </c>
      <c r="W96">
        <v>0</v>
      </c>
      <c r="X96">
        <v>1</v>
      </c>
      <c r="Y96">
        <v>1</v>
      </c>
      <c r="Z96">
        <v>0</v>
      </c>
      <c r="AA96">
        <v>1</v>
      </c>
      <c r="AB96">
        <v>1</v>
      </c>
      <c r="AC96">
        <v>0</v>
      </c>
      <c r="AD96">
        <v>0</v>
      </c>
      <c r="AE96">
        <v>0</v>
      </c>
    </row>
    <row r="97" spans="1:31" x14ac:dyDescent="0.2">
      <c r="A97" t="s">
        <v>111</v>
      </c>
      <c r="B97" t="s">
        <v>32</v>
      </c>
      <c r="C97">
        <v>58</v>
      </c>
      <c r="D97" t="s">
        <v>33</v>
      </c>
      <c r="E97" t="s">
        <v>39</v>
      </c>
      <c r="F97" t="s">
        <v>63</v>
      </c>
      <c r="G97">
        <v>9360</v>
      </c>
      <c r="H97">
        <v>1</v>
      </c>
      <c r="I97">
        <v>1</v>
      </c>
      <c r="J97">
        <v>1</v>
      </c>
      <c r="K97">
        <v>0</v>
      </c>
      <c r="L97" t="s">
        <v>85</v>
      </c>
      <c r="M97" t="s">
        <v>65</v>
      </c>
      <c r="N97" t="s">
        <v>66</v>
      </c>
      <c r="O97" t="s">
        <v>51</v>
      </c>
      <c r="P97" t="s">
        <v>68</v>
      </c>
      <c r="Q97" t="s">
        <v>45</v>
      </c>
      <c r="R97">
        <v>1</v>
      </c>
      <c r="S97">
        <v>0</v>
      </c>
      <c r="T97">
        <v>0</v>
      </c>
      <c r="U97">
        <v>0</v>
      </c>
      <c r="V97">
        <v>1</v>
      </c>
      <c r="W97">
        <v>0</v>
      </c>
      <c r="X97">
        <v>1</v>
      </c>
      <c r="Y97">
        <v>1</v>
      </c>
      <c r="Z97">
        <v>0</v>
      </c>
      <c r="AA97">
        <v>0</v>
      </c>
      <c r="AB97">
        <v>0</v>
      </c>
      <c r="AC97">
        <v>1</v>
      </c>
      <c r="AD97">
        <v>0</v>
      </c>
      <c r="AE97">
        <v>0</v>
      </c>
    </row>
    <row r="98" spans="1:31" x14ac:dyDescent="0.2">
      <c r="A98" t="s">
        <v>111</v>
      </c>
      <c r="B98" t="s">
        <v>32</v>
      </c>
      <c r="C98">
        <v>58</v>
      </c>
      <c r="D98" t="s">
        <v>33</v>
      </c>
      <c r="E98" t="s">
        <v>52</v>
      </c>
      <c r="F98" t="s">
        <v>53</v>
      </c>
      <c r="G98">
        <v>5436</v>
      </c>
      <c r="H98">
        <v>0</v>
      </c>
      <c r="I98">
        <v>1</v>
      </c>
      <c r="J98">
        <v>0</v>
      </c>
      <c r="K98">
        <v>0</v>
      </c>
      <c r="L98" t="s">
        <v>35</v>
      </c>
      <c r="M98" t="s">
        <v>35</v>
      </c>
      <c r="N98" t="s">
        <v>35</v>
      </c>
      <c r="O98" t="s">
        <v>35</v>
      </c>
      <c r="P98" t="s">
        <v>35</v>
      </c>
      <c r="Q98" t="s">
        <v>35</v>
      </c>
      <c r="R98" t="s">
        <v>35</v>
      </c>
      <c r="S98">
        <v>0</v>
      </c>
      <c r="T98">
        <v>0</v>
      </c>
      <c r="U98">
        <v>0</v>
      </c>
      <c r="V98">
        <v>1</v>
      </c>
      <c r="W98">
        <v>0</v>
      </c>
      <c r="X98">
        <v>1</v>
      </c>
      <c r="Y98">
        <v>1</v>
      </c>
      <c r="Z98">
        <v>0</v>
      </c>
      <c r="AA98">
        <v>0</v>
      </c>
      <c r="AB98">
        <v>0</v>
      </c>
      <c r="AC98">
        <v>1</v>
      </c>
      <c r="AD98">
        <v>0</v>
      </c>
      <c r="AE98">
        <v>0</v>
      </c>
    </row>
    <row r="99" spans="1:31" x14ac:dyDescent="0.2">
      <c r="A99" t="s">
        <v>111</v>
      </c>
      <c r="B99" t="s">
        <v>32</v>
      </c>
      <c r="C99">
        <v>58</v>
      </c>
      <c r="D99" t="s">
        <v>33</v>
      </c>
      <c r="E99" t="s">
        <v>75</v>
      </c>
      <c r="F99" t="s">
        <v>35</v>
      </c>
      <c r="G99">
        <v>87111</v>
      </c>
      <c r="H99" t="s">
        <v>112</v>
      </c>
      <c r="I99" t="s">
        <v>113</v>
      </c>
      <c r="J99" t="s">
        <v>76</v>
      </c>
      <c r="K99" t="s">
        <v>35</v>
      </c>
      <c r="L99" t="s">
        <v>35</v>
      </c>
      <c r="M99" t="s">
        <v>35</v>
      </c>
      <c r="N99" t="s">
        <v>35</v>
      </c>
      <c r="O99" t="s">
        <v>35</v>
      </c>
      <c r="P99" t="s">
        <v>35</v>
      </c>
      <c r="Q99" t="s">
        <v>35</v>
      </c>
      <c r="R99" t="s">
        <v>35</v>
      </c>
      <c r="S99" t="s">
        <v>35</v>
      </c>
      <c r="T99" t="s">
        <v>35</v>
      </c>
      <c r="U99" t="s">
        <v>35</v>
      </c>
      <c r="V99" t="s">
        <v>35</v>
      </c>
      <c r="W99" t="s">
        <v>35</v>
      </c>
      <c r="X99" t="s">
        <v>35</v>
      </c>
      <c r="Y99" t="s">
        <v>35</v>
      </c>
      <c r="Z99" t="s">
        <v>35</v>
      </c>
      <c r="AA99" t="s">
        <v>35</v>
      </c>
      <c r="AB99" t="s">
        <v>35</v>
      </c>
      <c r="AC99" t="s">
        <v>35</v>
      </c>
      <c r="AD99" t="s">
        <v>35</v>
      </c>
      <c r="AE99" t="s">
        <v>35</v>
      </c>
    </row>
    <row r="100" spans="1:31" x14ac:dyDescent="0.2">
      <c r="A100" t="s">
        <v>114</v>
      </c>
      <c r="B100" t="s">
        <v>107</v>
      </c>
      <c r="C100">
        <v>72</v>
      </c>
      <c r="D100" t="s">
        <v>33</v>
      </c>
      <c r="E100" t="s">
        <v>34</v>
      </c>
      <c r="F100" t="s">
        <v>35</v>
      </c>
      <c r="G100">
        <v>24087</v>
      </c>
      <c r="H100" t="s">
        <v>35</v>
      </c>
      <c r="I100" t="s">
        <v>35</v>
      </c>
      <c r="J100" t="s">
        <v>35</v>
      </c>
      <c r="K100" t="s">
        <v>35</v>
      </c>
      <c r="L100" t="s">
        <v>35</v>
      </c>
      <c r="M100" t="s">
        <v>35</v>
      </c>
      <c r="N100" t="s">
        <v>35</v>
      </c>
      <c r="O100" t="s">
        <v>35</v>
      </c>
      <c r="P100" t="s">
        <v>35</v>
      </c>
      <c r="Q100" t="s">
        <v>35</v>
      </c>
      <c r="R100" t="s">
        <v>35</v>
      </c>
      <c r="S100" t="s">
        <v>35</v>
      </c>
      <c r="T100" t="s">
        <v>35</v>
      </c>
      <c r="U100" t="s">
        <v>35</v>
      </c>
      <c r="V100" t="s">
        <v>35</v>
      </c>
      <c r="W100" t="s">
        <v>35</v>
      </c>
      <c r="X100" t="s">
        <v>35</v>
      </c>
      <c r="Y100" t="s">
        <v>35</v>
      </c>
      <c r="Z100" t="s">
        <v>35</v>
      </c>
      <c r="AA100" t="s">
        <v>35</v>
      </c>
      <c r="AB100" t="s">
        <v>35</v>
      </c>
      <c r="AC100" t="s">
        <v>35</v>
      </c>
      <c r="AD100" t="s">
        <v>35</v>
      </c>
      <c r="AE100" t="s">
        <v>35</v>
      </c>
    </row>
    <row r="101" spans="1:31" x14ac:dyDescent="0.2">
      <c r="A101" t="s">
        <v>114</v>
      </c>
      <c r="B101" t="s">
        <v>107</v>
      </c>
      <c r="C101">
        <v>72</v>
      </c>
      <c r="D101" t="s">
        <v>33</v>
      </c>
      <c r="E101" t="s">
        <v>36</v>
      </c>
      <c r="F101" t="s">
        <v>37</v>
      </c>
      <c r="G101">
        <v>48521</v>
      </c>
      <c r="H101">
        <v>1</v>
      </c>
      <c r="I101">
        <v>1</v>
      </c>
      <c r="J101">
        <v>1</v>
      </c>
      <c r="K101">
        <v>1</v>
      </c>
      <c r="L101" t="s">
        <v>35</v>
      </c>
      <c r="M101" t="s">
        <v>35</v>
      </c>
      <c r="N101" t="s">
        <v>35</v>
      </c>
      <c r="O101" t="s">
        <v>35</v>
      </c>
      <c r="P101" t="s">
        <v>35</v>
      </c>
      <c r="Q101" t="s">
        <v>35</v>
      </c>
      <c r="R101" t="s">
        <v>35</v>
      </c>
      <c r="S101" t="s">
        <v>35</v>
      </c>
      <c r="T101" t="s">
        <v>35</v>
      </c>
      <c r="U101" t="s">
        <v>35</v>
      </c>
      <c r="V101" t="s">
        <v>35</v>
      </c>
      <c r="W101" t="s">
        <v>35</v>
      </c>
      <c r="X101" t="s">
        <v>35</v>
      </c>
      <c r="Y101" t="s">
        <v>35</v>
      </c>
      <c r="Z101" t="s">
        <v>35</v>
      </c>
      <c r="AA101" t="s">
        <v>35</v>
      </c>
      <c r="AB101" t="s">
        <v>35</v>
      </c>
      <c r="AC101" t="s">
        <v>35</v>
      </c>
      <c r="AD101" t="s">
        <v>35</v>
      </c>
      <c r="AE101" t="s">
        <v>35</v>
      </c>
    </row>
    <row r="102" spans="1:31" x14ac:dyDescent="0.2">
      <c r="A102" t="s">
        <v>114</v>
      </c>
      <c r="B102" t="s">
        <v>107</v>
      </c>
      <c r="C102">
        <v>72</v>
      </c>
      <c r="D102" t="s">
        <v>33</v>
      </c>
      <c r="E102" t="s">
        <v>36</v>
      </c>
      <c r="F102" t="s">
        <v>38</v>
      </c>
      <c r="G102">
        <v>10292</v>
      </c>
      <c r="H102">
        <v>1</v>
      </c>
      <c r="I102">
        <v>1</v>
      </c>
      <c r="J102">
        <v>1</v>
      </c>
      <c r="K102">
        <v>1</v>
      </c>
      <c r="L102" t="s">
        <v>35</v>
      </c>
      <c r="M102" t="s">
        <v>35</v>
      </c>
      <c r="N102" t="s">
        <v>35</v>
      </c>
      <c r="O102" t="s">
        <v>35</v>
      </c>
      <c r="P102" t="s">
        <v>35</v>
      </c>
      <c r="Q102" t="s">
        <v>35</v>
      </c>
      <c r="R102" t="s">
        <v>35</v>
      </c>
      <c r="S102" t="s">
        <v>35</v>
      </c>
      <c r="T102" t="s">
        <v>35</v>
      </c>
      <c r="U102" t="s">
        <v>35</v>
      </c>
      <c r="V102" t="s">
        <v>35</v>
      </c>
      <c r="W102" t="s">
        <v>35</v>
      </c>
      <c r="X102" t="s">
        <v>35</v>
      </c>
      <c r="Y102" t="s">
        <v>35</v>
      </c>
      <c r="Z102" t="s">
        <v>35</v>
      </c>
      <c r="AA102" t="s">
        <v>35</v>
      </c>
      <c r="AB102" t="s">
        <v>35</v>
      </c>
      <c r="AC102" t="s">
        <v>35</v>
      </c>
      <c r="AD102" t="s">
        <v>35</v>
      </c>
      <c r="AE102" t="s">
        <v>35</v>
      </c>
    </row>
    <row r="103" spans="1:31" x14ac:dyDescent="0.2">
      <c r="A103" t="s">
        <v>114</v>
      </c>
      <c r="B103" t="s">
        <v>107</v>
      </c>
      <c r="C103">
        <v>72</v>
      </c>
      <c r="D103" t="s">
        <v>33</v>
      </c>
      <c r="E103" t="s">
        <v>39</v>
      </c>
      <c r="F103" t="s">
        <v>70</v>
      </c>
      <c r="G103">
        <v>10261</v>
      </c>
      <c r="H103">
        <v>1</v>
      </c>
      <c r="I103">
        <v>1</v>
      </c>
      <c r="J103">
        <v>1</v>
      </c>
      <c r="K103">
        <v>0</v>
      </c>
      <c r="L103" t="s">
        <v>86</v>
      </c>
      <c r="M103" t="s">
        <v>71</v>
      </c>
      <c r="N103" t="s">
        <v>93</v>
      </c>
      <c r="O103" t="s">
        <v>46</v>
      </c>
      <c r="P103" t="s">
        <v>45</v>
      </c>
      <c r="Q103" t="s">
        <v>68</v>
      </c>
      <c r="R103">
        <v>1</v>
      </c>
      <c r="S103">
        <v>0</v>
      </c>
      <c r="T103">
        <v>1</v>
      </c>
      <c r="U103">
        <v>0</v>
      </c>
      <c r="V103">
        <v>1</v>
      </c>
      <c r="W103">
        <v>0</v>
      </c>
      <c r="X103">
        <v>1</v>
      </c>
      <c r="Y103">
        <v>1</v>
      </c>
      <c r="Z103">
        <v>0</v>
      </c>
      <c r="AA103">
        <v>1</v>
      </c>
      <c r="AB103">
        <v>0</v>
      </c>
      <c r="AC103">
        <v>1</v>
      </c>
      <c r="AD103">
        <v>0</v>
      </c>
      <c r="AE103">
        <v>0</v>
      </c>
    </row>
    <row r="104" spans="1:31" x14ac:dyDescent="0.2">
      <c r="A104" t="s">
        <v>114</v>
      </c>
      <c r="B104" t="s">
        <v>107</v>
      </c>
      <c r="C104">
        <v>72</v>
      </c>
      <c r="D104" t="s">
        <v>33</v>
      </c>
      <c r="E104" t="s">
        <v>39</v>
      </c>
      <c r="F104" t="s">
        <v>59</v>
      </c>
      <c r="G104">
        <v>7855</v>
      </c>
      <c r="H104">
        <v>1</v>
      </c>
      <c r="I104">
        <v>1</v>
      </c>
      <c r="J104">
        <v>1</v>
      </c>
      <c r="K104">
        <v>0</v>
      </c>
      <c r="L104" t="s">
        <v>61</v>
      </c>
      <c r="M104" t="s">
        <v>83</v>
      </c>
      <c r="N104" t="s">
        <v>62</v>
      </c>
      <c r="O104" t="s">
        <v>46</v>
      </c>
      <c r="P104" t="s">
        <v>51</v>
      </c>
      <c r="Q104" t="s">
        <v>45</v>
      </c>
      <c r="R104">
        <v>0</v>
      </c>
      <c r="S104">
        <v>0</v>
      </c>
      <c r="T104">
        <v>1</v>
      </c>
      <c r="U104">
        <v>0</v>
      </c>
      <c r="V104">
        <v>1</v>
      </c>
      <c r="W104">
        <v>0</v>
      </c>
      <c r="X104">
        <v>1</v>
      </c>
      <c r="Y104">
        <v>0</v>
      </c>
      <c r="Z104">
        <v>0</v>
      </c>
      <c r="AA104">
        <v>1</v>
      </c>
      <c r="AB104">
        <v>0</v>
      </c>
      <c r="AC104">
        <v>1</v>
      </c>
      <c r="AD104">
        <v>0</v>
      </c>
      <c r="AE104">
        <v>0</v>
      </c>
    </row>
    <row r="105" spans="1:31" x14ac:dyDescent="0.2">
      <c r="A105" t="s">
        <v>114</v>
      </c>
      <c r="B105" t="s">
        <v>107</v>
      </c>
      <c r="C105">
        <v>72</v>
      </c>
      <c r="D105" t="s">
        <v>33</v>
      </c>
      <c r="E105" t="s">
        <v>52</v>
      </c>
      <c r="F105" t="s">
        <v>58</v>
      </c>
      <c r="G105">
        <v>6078</v>
      </c>
      <c r="H105">
        <v>1</v>
      </c>
      <c r="I105">
        <v>1</v>
      </c>
      <c r="J105">
        <v>1</v>
      </c>
      <c r="K105">
        <v>0</v>
      </c>
      <c r="L105" t="s">
        <v>35</v>
      </c>
      <c r="M105" t="s">
        <v>35</v>
      </c>
      <c r="N105" t="s">
        <v>35</v>
      </c>
      <c r="O105" t="s">
        <v>35</v>
      </c>
      <c r="P105" t="s">
        <v>35</v>
      </c>
      <c r="Q105" t="s">
        <v>35</v>
      </c>
      <c r="R105" t="s">
        <v>35</v>
      </c>
      <c r="S105">
        <v>0</v>
      </c>
      <c r="T105">
        <v>1</v>
      </c>
      <c r="U105">
        <v>0</v>
      </c>
      <c r="V105">
        <v>1</v>
      </c>
      <c r="W105">
        <v>0</v>
      </c>
      <c r="X105">
        <v>1</v>
      </c>
      <c r="Y105">
        <v>0</v>
      </c>
      <c r="Z105">
        <v>0</v>
      </c>
      <c r="AA105">
        <v>1</v>
      </c>
      <c r="AB105">
        <v>0</v>
      </c>
      <c r="AC105">
        <v>1</v>
      </c>
      <c r="AD105">
        <v>0</v>
      </c>
      <c r="AE105">
        <v>0</v>
      </c>
    </row>
    <row r="106" spans="1:31" x14ac:dyDescent="0.2">
      <c r="A106" t="s">
        <v>114</v>
      </c>
      <c r="B106" t="s">
        <v>107</v>
      </c>
      <c r="C106">
        <v>72</v>
      </c>
      <c r="D106" t="s">
        <v>33</v>
      </c>
      <c r="E106" t="s">
        <v>39</v>
      </c>
      <c r="F106" t="s">
        <v>63</v>
      </c>
      <c r="G106">
        <v>5102</v>
      </c>
      <c r="H106">
        <v>1</v>
      </c>
      <c r="I106">
        <v>1</v>
      </c>
      <c r="J106">
        <v>1</v>
      </c>
      <c r="K106">
        <v>0</v>
      </c>
      <c r="L106" t="s">
        <v>65</v>
      </c>
      <c r="M106" t="s">
        <v>84</v>
      </c>
      <c r="N106" t="s">
        <v>66</v>
      </c>
      <c r="O106" t="s">
        <v>68</v>
      </c>
      <c r="P106" t="s">
        <v>46</v>
      </c>
      <c r="Q106" t="s">
        <v>45</v>
      </c>
      <c r="R106">
        <v>1</v>
      </c>
      <c r="S106">
        <v>0</v>
      </c>
      <c r="T106">
        <v>1</v>
      </c>
      <c r="U106">
        <v>0</v>
      </c>
      <c r="V106">
        <v>1</v>
      </c>
      <c r="W106">
        <v>0</v>
      </c>
      <c r="X106">
        <v>1</v>
      </c>
      <c r="Y106">
        <v>1</v>
      </c>
      <c r="Z106">
        <v>0</v>
      </c>
      <c r="AA106">
        <v>1</v>
      </c>
      <c r="AB106">
        <v>0</v>
      </c>
      <c r="AC106">
        <v>1</v>
      </c>
      <c r="AD106">
        <v>0</v>
      </c>
      <c r="AE106">
        <v>0</v>
      </c>
    </row>
    <row r="107" spans="1:31" x14ac:dyDescent="0.2">
      <c r="A107" t="s">
        <v>114</v>
      </c>
      <c r="B107" t="s">
        <v>107</v>
      </c>
      <c r="C107">
        <v>72</v>
      </c>
      <c r="D107" t="s">
        <v>33</v>
      </c>
      <c r="E107" t="s">
        <v>39</v>
      </c>
      <c r="F107" t="s">
        <v>40</v>
      </c>
      <c r="G107">
        <v>5806</v>
      </c>
      <c r="H107">
        <v>1</v>
      </c>
      <c r="I107">
        <v>1</v>
      </c>
      <c r="J107">
        <v>1</v>
      </c>
      <c r="K107">
        <v>0</v>
      </c>
      <c r="L107" t="s">
        <v>81</v>
      </c>
      <c r="M107" t="s">
        <v>42</v>
      </c>
      <c r="N107" t="s">
        <v>43</v>
      </c>
      <c r="O107" t="s">
        <v>67</v>
      </c>
      <c r="P107" t="s">
        <v>45</v>
      </c>
      <c r="Q107" t="s">
        <v>46</v>
      </c>
      <c r="R107">
        <v>0</v>
      </c>
      <c r="S107">
        <v>0</v>
      </c>
      <c r="T107">
        <v>1</v>
      </c>
      <c r="U107">
        <v>1</v>
      </c>
      <c r="V107">
        <v>1</v>
      </c>
      <c r="W107">
        <v>0</v>
      </c>
      <c r="X107">
        <v>1</v>
      </c>
      <c r="Y107">
        <v>0</v>
      </c>
      <c r="Z107">
        <v>0</v>
      </c>
      <c r="AA107">
        <v>1</v>
      </c>
      <c r="AB107">
        <v>1</v>
      </c>
      <c r="AC107">
        <v>1</v>
      </c>
      <c r="AD107">
        <v>0</v>
      </c>
      <c r="AE107">
        <v>0</v>
      </c>
    </row>
    <row r="108" spans="1:31" x14ac:dyDescent="0.2">
      <c r="A108" t="s">
        <v>114</v>
      </c>
      <c r="B108" t="s">
        <v>107</v>
      </c>
      <c r="C108">
        <v>72</v>
      </c>
      <c r="D108" t="s">
        <v>33</v>
      </c>
      <c r="E108" t="s">
        <v>52</v>
      </c>
      <c r="F108" t="s">
        <v>53</v>
      </c>
      <c r="G108">
        <v>32986</v>
      </c>
      <c r="H108">
        <v>0</v>
      </c>
      <c r="I108">
        <v>1</v>
      </c>
      <c r="J108">
        <v>0</v>
      </c>
      <c r="K108">
        <v>0</v>
      </c>
      <c r="L108" t="s">
        <v>35</v>
      </c>
      <c r="M108" t="s">
        <v>35</v>
      </c>
      <c r="N108" t="s">
        <v>35</v>
      </c>
      <c r="O108" t="s">
        <v>35</v>
      </c>
      <c r="P108" t="s">
        <v>35</v>
      </c>
      <c r="Q108" t="s">
        <v>35</v>
      </c>
      <c r="R108" t="s">
        <v>35</v>
      </c>
      <c r="S108">
        <v>0</v>
      </c>
      <c r="T108">
        <v>1</v>
      </c>
      <c r="U108">
        <v>1</v>
      </c>
      <c r="V108">
        <v>1</v>
      </c>
      <c r="W108">
        <v>0</v>
      </c>
      <c r="X108">
        <v>1</v>
      </c>
      <c r="Y108">
        <v>0</v>
      </c>
      <c r="Z108">
        <v>0</v>
      </c>
      <c r="AA108">
        <v>1</v>
      </c>
      <c r="AB108">
        <v>1</v>
      </c>
      <c r="AC108">
        <v>1</v>
      </c>
      <c r="AD108">
        <v>0</v>
      </c>
      <c r="AE108">
        <v>0</v>
      </c>
    </row>
    <row r="109" spans="1:31" x14ac:dyDescent="0.2">
      <c r="A109" t="s">
        <v>114</v>
      </c>
      <c r="B109" t="s">
        <v>107</v>
      </c>
      <c r="C109">
        <v>72</v>
      </c>
      <c r="D109" t="s">
        <v>33</v>
      </c>
      <c r="E109" t="s">
        <v>39</v>
      </c>
      <c r="F109" t="s">
        <v>54</v>
      </c>
      <c r="G109">
        <v>6180</v>
      </c>
      <c r="H109">
        <v>1</v>
      </c>
      <c r="I109">
        <v>1</v>
      </c>
      <c r="J109">
        <v>1</v>
      </c>
      <c r="K109">
        <v>0</v>
      </c>
      <c r="L109" t="s">
        <v>55</v>
      </c>
      <c r="M109" t="s">
        <v>57</v>
      </c>
      <c r="N109" t="s">
        <v>56</v>
      </c>
      <c r="O109" t="s">
        <v>44</v>
      </c>
      <c r="P109" t="s">
        <v>46</v>
      </c>
      <c r="Q109" t="s">
        <v>45</v>
      </c>
      <c r="R109">
        <v>0</v>
      </c>
      <c r="S109">
        <v>1</v>
      </c>
      <c r="T109">
        <v>1</v>
      </c>
      <c r="U109">
        <v>0</v>
      </c>
      <c r="V109">
        <v>1</v>
      </c>
      <c r="W109">
        <v>0</v>
      </c>
      <c r="X109">
        <v>1</v>
      </c>
      <c r="Y109">
        <v>0</v>
      </c>
      <c r="Z109">
        <v>1</v>
      </c>
      <c r="AA109">
        <v>1</v>
      </c>
      <c r="AB109">
        <v>0</v>
      </c>
      <c r="AC109">
        <v>1</v>
      </c>
      <c r="AD109">
        <v>0</v>
      </c>
      <c r="AE109">
        <v>0</v>
      </c>
    </row>
    <row r="110" spans="1:31" x14ac:dyDescent="0.2">
      <c r="A110" t="s">
        <v>114</v>
      </c>
      <c r="B110" t="s">
        <v>107</v>
      </c>
      <c r="C110">
        <v>72</v>
      </c>
      <c r="D110" t="s">
        <v>33</v>
      </c>
      <c r="E110" t="s">
        <v>52</v>
      </c>
      <c r="F110" t="s">
        <v>69</v>
      </c>
      <c r="G110">
        <v>5060</v>
      </c>
      <c r="H110">
        <v>1</v>
      </c>
      <c r="I110">
        <v>1</v>
      </c>
      <c r="J110">
        <v>1</v>
      </c>
      <c r="K110">
        <v>0</v>
      </c>
      <c r="L110" t="s">
        <v>35</v>
      </c>
      <c r="M110" t="s">
        <v>35</v>
      </c>
      <c r="N110" t="s">
        <v>35</v>
      </c>
      <c r="O110" t="s">
        <v>35</v>
      </c>
      <c r="P110" t="s">
        <v>35</v>
      </c>
      <c r="Q110" t="s">
        <v>35</v>
      </c>
      <c r="R110" t="s">
        <v>35</v>
      </c>
      <c r="S110">
        <v>1</v>
      </c>
      <c r="T110">
        <v>1</v>
      </c>
      <c r="U110">
        <v>0</v>
      </c>
      <c r="V110">
        <v>1</v>
      </c>
      <c r="W110">
        <v>0</v>
      </c>
      <c r="X110">
        <v>1</v>
      </c>
      <c r="Y110">
        <v>0</v>
      </c>
      <c r="Z110">
        <v>1</v>
      </c>
      <c r="AA110">
        <v>1</v>
      </c>
      <c r="AB110">
        <v>0</v>
      </c>
      <c r="AC110">
        <v>1</v>
      </c>
      <c r="AD110">
        <v>0</v>
      </c>
      <c r="AE110">
        <v>0</v>
      </c>
    </row>
    <row r="111" spans="1:31" x14ac:dyDescent="0.2">
      <c r="A111" t="s">
        <v>114</v>
      </c>
      <c r="B111" t="s">
        <v>107</v>
      </c>
      <c r="C111">
        <v>72</v>
      </c>
      <c r="D111" t="s">
        <v>33</v>
      </c>
      <c r="E111" t="s">
        <v>39</v>
      </c>
      <c r="F111" t="s">
        <v>47</v>
      </c>
      <c r="G111">
        <v>7998</v>
      </c>
      <c r="H111">
        <v>1</v>
      </c>
      <c r="I111">
        <v>1</v>
      </c>
      <c r="J111">
        <v>1</v>
      </c>
      <c r="K111">
        <v>0</v>
      </c>
      <c r="L111" t="s">
        <v>49</v>
      </c>
      <c r="M111" t="s">
        <v>95</v>
      </c>
      <c r="N111" t="s">
        <v>80</v>
      </c>
      <c r="O111" t="s">
        <v>44</v>
      </c>
      <c r="P111" t="s">
        <v>68</v>
      </c>
      <c r="Q111" t="s">
        <v>67</v>
      </c>
      <c r="R111">
        <v>1</v>
      </c>
      <c r="S111">
        <v>1</v>
      </c>
      <c r="T111">
        <v>0</v>
      </c>
      <c r="U111">
        <v>1</v>
      </c>
      <c r="V111">
        <v>0</v>
      </c>
      <c r="W111">
        <v>0</v>
      </c>
      <c r="X111">
        <v>1</v>
      </c>
      <c r="Y111">
        <v>1</v>
      </c>
      <c r="Z111">
        <v>1</v>
      </c>
      <c r="AA111">
        <v>0</v>
      </c>
      <c r="AB111">
        <v>1</v>
      </c>
      <c r="AC111">
        <v>0</v>
      </c>
      <c r="AD111">
        <v>0</v>
      </c>
      <c r="AE111">
        <v>0</v>
      </c>
    </row>
    <row r="112" spans="1:31" x14ac:dyDescent="0.2">
      <c r="A112" t="s">
        <v>114</v>
      </c>
      <c r="B112" t="s">
        <v>107</v>
      </c>
      <c r="C112">
        <v>72</v>
      </c>
      <c r="D112" t="s">
        <v>33</v>
      </c>
      <c r="E112" t="s">
        <v>52</v>
      </c>
      <c r="F112" t="s">
        <v>74</v>
      </c>
      <c r="G112">
        <v>5336</v>
      </c>
      <c r="H112">
        <v>1</v>
      </c>
      <c r="I112">
        <v>1</v>
      </c>
      <c r="J112">
        <v>1</v>
      </c>
      <c r="K112">
        <v>0</v>
      </c>
      <c r="L112" t="s">
        <v>35</v>
      </c>
      <c r="M112" t="s">
        <v>35</v>
      </c>
      <c r="N112" t="s">
        <v>35</v>
      </c>
      <c r="O112" t="s">
        <v>35</v>
      </c>
      <c r="P112" t="s">
        <v>35</v>
      </c>
      <c r="Q112" t="s">
        <v>35</v>
      </c>
      <c r="R112" t="s">
        <v>35</v>
      </c>
      <c r="S112">
        <v>1</v>
      </c>
      <c r="T112">
        <v>0</v>
      </c>
      <c r="U112">
        <v>1</v>
      </c>
      <c r="V112">
        <v>0</v>
      </c>
      <c r="W112">
        <v>0</v>
      </c>
      <c r="X112">
        <v>1</v>
      </c>
      <c r="Y112">
        <v>1</v>
      </c>
      <c r="Z112">
        <v>1</v>
      </c>
      <c r="AA112">
        <v>0</v>
      </c>
      <c r="AB112">
        <v>1</v>
      </c>
      <c r="AC112">
        <v>0</v>
      </c>
      <c r="AD112">
        <v>0</v>
      </c>
      <c r="AE112">
        <v>0</v>
      </c>
    </row>
    <row r="113" spans="1:31" x14ac:dyDescent="0.2">
      <c r="A113" t="s">
        <v>114</v>
      </c>
      <c r="B113" t="s">
        <v>107</v>
      </c>
      <c r="C113">
        <v>72</v>
      </c>
      <c r="D113" t="s">
        <v>33</v>
      </c>
      <c r="E113" t="s">
        <v>75</v>
      </c>
      <c r="F113" t="s">
        <v>35</v>
      </c>
      <c r="G113">
        <v>49188</v>
      </c>
      <c r="H113" t="s">
        <v>115</v>
      </c>
      <c r="I113" t="s">
        <v>116</v>
      </c>
      <c r="J113" t="s">
        <v>117</v>
      </c>
      <c r="K113" t="s">
        <v>35</v>
      </c>
      <c r="L113" t="s">
        <v>35</v>
      </c>
      <c r="M113" t="s">
        <v>35</v>
      </c>
      <c r="N113" t="s">
        <v>35</v>
      </c>
      <c r="O113" t="s">
        <v>35</v>
      </c>
      <c r="P113" t="s">
        <v>35</v>
      </c>
      <c r="Q113" t="s">
        <v>35</v>
      </c>
      <c r="R113" t="s">
        <v>35</v>
      </c>
      <c r="S113" t="s">
        <v>35</v>
      </c>
      <c r="T113" t="s">
        <v>35</v>
      </c>
      <c r="U113" t="s">
        <v>35</v>
      </c>
      <c r="V113" t="s">
        <v>35</v>
      </c>
      <c r="W113" t="s">
        <v>35</v>
      </c>
      <c r="X113" t="s">
        <v>35</v>
      </c>
      <c r="Y113" t="s">
        <v>35</v>
      </c>
      <c r="Z113" t="s">
        <v>35</v>
      </c>
      <c r="AA113" t="s">
        <v>35</v>
      </c>
      <c r="AB113" t="s">
        <v>35</v>
      </c>
      <c r="AC113" t="s">
        <v>35</v>
      </c>
      <c r="AD113" t="s">
        <v>35</v>
      </c>
      <c r="AE113" t="s">
        <v>35</v>
      </c>
    </row>
    <row r="114" spans="1:31" x14ac:dyDescent="0.2">
      <c r="A114" t="s">
        <v>118</v>
      </c>
      <c r="B114" t="s">
        <v>102</v>
      </c>
      <c r="C114">
        <v>51</v>
      </c>
      <c r="D114" t="s">
        <v>33</v>
      </c>
      <c r="E114" t="s">
        <v>34</v>
      </c>
      <c r="F114" t="s">
        <v>35</v>
      </c>
      <c r="G114">
        <v>41911</v>
      </c>
      <c r="H114" t="s">
        <v>35</v>
      </c>
      <c r="I114" t="s">
        <v>35</v>
      </c>
      <c r="J114" t="s">
        <v>35</v>
      </c>
      <c r="K114" t="s">
        <v>35</v>
      </c>
      <c r="L114" t="s">
        <v>35</v>
      </c>
      <c r="M114" t="s">
        <v>35</v>
      </c>
      <c r="N114" t="s">
        <v>35</v>
      </c>
      <c r="O114" t="s">
        <v>35</v>
      </c>
      <c r="P114" t="s">
        <v>35</v>
      </c>
      <c r="Q114" t="s">
        <v>35</v>
      </c>
      <c r="R114" t="s">
        <v>35</v>
      </c>
      <c r="S114" t="s">
        <v>35</v>
      </c>
      <c r="T114" t="s">
        <v>35</v>
      </c>
      <c r="U114" t="s">
        <v>35</v>
      </c>
      <c r="V114" t="s">
        <v>35</v>
      </c>
      <c r="W114" t="s">
        <v>35</v>
      </c>
      <c r="X114" t="s">
        <v>35</v>
      </c>
      <c r="Y114" t="s">
        <v>35</v>
      </c>
      <c r="Z114" t="s">
        <v>35</v>
      </c>
      <c r="AA114" t="s">
        <v>35</v>
      </c>
      <c r="AB114" t="s">
        <v>35</v>
      </c>
      <c r="AC114" t="s">
        <v>35</v>
      </c>
      <c r="AD114" t="s">
        <v>35</v>
      </c>
      <c r="AE114" t="s">
        <v>35</v>
      </c>
    </row>
    <row r="115" spans="1:31" x14ac:dyDescent="0.2">
      <c r="A115" t="s">
        <v>118</v>
      </c>
      <c r="B115" t="s">
        <v>102</v>
      </c>
      <c r="C115">
        <v>51</v>
      </c>
      <c r="D115" t="s">
        <v>33</v>
      </c>
      <c r="E115" t="s">
        <v>36</v>
      </c>
      <c r="F115" t="s">
        <v>37</v>
      </c>
      <c r="G115">
        <v>38289</v>
      </c>
      <c r="H115">
        <v>1</v>
      </c>
      <c r="I115">
        <v>1</v>
      </c>
      <c r="J115">
        <v>1</v>
      </c>
      <c r="K115">
        <v>0</v>
      </c>
      <c r="L115" t="s">
        <v>35</v>
      </c>
      <c r="M115" t="s">
        <v>35</v>
      </c>
      <c r="N115" t="s">
        <v>35</v>
      </c>
      <c r="O115" t="s">
        <v>35</v>
      </c>
      <c r="P115" t="s">
        <v>35</v>
      </c>
      <c r="Q115" t="s">
        <v>35</v>
      </c>
      <c r="R115" t="s">
        <v>35</v>
      </c>
      <c r="S115" t="s">
        <v>35</v>
      </c>
      <c r="T115" t="s">
        <v>35</v>
      </c>
      <c r="U115" t="s">
        <v>35</v>
      </c>
      <c r="V115" t="s">
        <v>35</v>
      </c>
      <c r="W115" t="s">
        <v>35</v>
      </c>
      <c r="X115" t="s">
        <v>35</v>
      </c>
      <c r="Y115" t="s">
        <v>35</v>
      </c>
      <c r="Z115" t="s">
        <v>35</v>
      </c>
      <c r="AA115" t="s">
        <v>35</v>
      </c>
      <c r="AB115" t="s">
        <v>35</v>
      </c>
      <c r="AC115" t="s">
        <v>35</v>
      </c>
      <c r="AD115" t="s">
        <v>35</v>
      </c>
      <c r="AE115" t="s">
        <v>35</v>
      </c>
    </row>
    <row r="116" spans="1:31" x14ac:dyDescent="0.2">
      <c r="A116" t="s">
        <v>118</v>
      </c>
      <c r="B116" t="s">
        <v>102</v>
      </c>
      <c r="C116">
        <v>51</v>
      </c>
      <c r="D116" t="s">
        <v>33</v>
      </c>
      <c r="E116" t="s">
        <v>36</v>
      </c>
      <c r="F116" t="s">
        <v>38</v>
      </c>
      <c r="G116">
        <v>28666</v>
      </c>
      <c r="H116">
        <v>1</v>
      </c>
      <c r="I116">
        <v>1</v>
      </c>
      <c r="J116">
        <v>1</v>
      </c>
      <c r="K116">
        <v>0</v>
      </c>
      <c r="L116" t="s">
        <v>35</v>
      </c>
      <c r="M116" t="s">
        <v>35</v>
      </c>
      <c r="N116" t="s">
        <v>35</v>
      </c>
      <c r="O116" t="s">
        <v>35</v>
      </c>
      <c r="P116" t="s">
        <v>35</v>
      </c>
      <c r="Q116" t="s">
        <v>35</v>
      </c>
      <c r="R116" t="s">
        <v>35</v>
      </c>
      <c r="S116" t="s">
        <v>35</v>
      </c>
      <c r="T116" t="s">
        <v>35</v>
      </c>
      <c r="U116" t="s">
        <v>35</v>
      </c>
      <c r="V116" t="s">
        <v>35</v>
      </c>
      <c r="W116" t="s">
        <v>35</v>
      </c>
      <c r="X116" t="s">
        <v>35</v>
      </c>
      <c r="Y116" t="s">
        <v>35</v>
      </c>
      <c r="Z116" t="s">
        <v>35</v>
      </c>
      <c r="AA116" t="s">
        <v>35</v>
      </c>
      <c r="AB116" t="s">
        <v>35</v>
      </c>
      <c r="AC116" t="s">
        <v>35</v>
      </c>
      <c r="AD116" t="s">
        <v>35</v>
      </c>
      <c r="AE116" t="s">
        <v>35</v>
      </c>
    </row>
    <row r="117" spans="1:31" x14ac:dyDescent="0.2">
      <c r="A117" t="s">
        <v>118</v>
      </c>
      <c r="B117" t="s">
        <v>102</v>
      </c>
      <c r="C117">
        <v>51</v>
      </c>
      <c r="D117" t="s">
        <v>33</v>
      </c>
      <c r="E117" t="s">
        <v>39</v>
      </c>
      <c r="F117" t="s">
        <v>63</v>
      </c>
      <c r="G117">
        <v>45014</v>
      </c>
      <c r="H117">
        <v>1</v>
      </c>
      <c r="I117">
        <v>1</v>
      </c>
      <c r="J117">
        <v>0</v>
      </c>
      <c r="K117">
        <v>0</v>
      </c>
      <c r="L117" t="s">
        <v>66</v>
      </c>
      <c r="M117" t="s">
        <v>85</v>
      </c>
      <c r="N117" t="s">
        <v>64</v>
      </c>
      <c r="O117" t="s">
        <v>45</v>
      </c>
      <c r="P117" t="s">
        <v>51</v>
      </c>
      <c r="Q117" t="s">
        <v>67</v>
      </c>
      <c r="R117">
        <v>0</v>
      </c>
      <c r="S117">
        <v>0</v>
      </c>
      <c r="T117">
        <v>0</v>
      </c>
      <c r="U117">
        <v>1</v>
      </c>
      <c r="V117">
        <v>1</v>
      </c>
      <c r="W117">
        <v>0</v>
      </c>
      <c r="X117">
        <v>1</v>
      </c>
      <c r="Y117">
        <v>0</v>
      </c>
      <c r="Z117">
        <v>0</v>
      </c>
      <c r="AA117">
        <v>0</v>
      </c>
      <c r="AB117">
        <v>0</v>
      </c>
      <c r="AC117">
        <v>1</v>
      </c>
      <c r="AD117">
        <v>0</v>
      </c>
      <c r="AE117">
        <v>0</v>
      </c>
    </row>
    <row r="118" spans="1:31" x14ac:dyDescent="0.2">
      <c r="A118" t="s">
        <v>118</v>
      </c>
      <c r="B118" t="s">
        <v>102</v>
      </c>
      <c r="C118">
        <v>51</v>
      </c>
      <c r="D118" t="s">
        <v>33</v>
      </c>
      <c r="E118" t="s">
        <v>39</v>
      </c>
      <c r="F118" t="s">
        <v>70</v>
      </c>
      <c r="G118">
        <v>6157</v>
      </c>
      <c r="H118">
        <v>1</v>
      </c>
      <c r="I118">
        <v>1</v>
      </c>
      <c r="J118">
        <v>0</v>
      </c>
      <c r="K118">
        <v>0</v>
      </c>
      <c r="L118" t="s">
        <v>72</v>
      </c>
      <c r="M118" t="s">
        <v>71</v>
      </c>
      <c r="N118" t="s">
        <v>73</v>
      </c>
      <c r="O118" t="s">
        <v>67</v>
      </c>
      <c r="P118" t="s">
        <v>45</v>
      </c>
      <c r="Q118" t="s">
        <v>44</v>
      </c>
      <c r="R118">
        <v>0</v>
      </c>
      <c r="S118">
        <v>1</v>
      </c>
      <c r="T118">
        <v>0</v>
      </c>
      <c r="U118">
        <v>1</v>
      </c>
      <c r="V118">
        <v>1</v>
      </c>
      <c r="W118">
        <v>0</v>
      </c>
      <c r="X118">
        <v>1</v>
      </c>
      <c r="Y118">
        <v>0</v>
      </c>
      <c r="Z118">
        <v>0</v>
      </c>
      <c r="AA118">
        <v>0</v>
      </c>
      <c r="AB118">
        <v>1</v>
      </c>
      <c r="AC118">
        <v>1</v>
      </c>
      <c r="AD118">
        <v>0</v>
      </c>
      <c r="AE118">
        <v>0</v>
      </c>
    </row>
    <row r="119" spans="1:31" x14ac:dyDescent="0.2">
      <c r="A119" t="s">
        <v>118</v>
      </c>
      <c r="B119" t="s">
        <v>102</v>
      </c>
      <c r="C119">
        <v>51</v>
      </c>
      <c r="D119" t="s">
        <v>33</v>
      </c>
      <c r="E119" t="s">
        <v>52</v>
      </c>
      <c r="F119" t="s">
        <v>53</v>
      </c>
      <c r="G119">
        <v>22222</v>
      </c>
      <c r="H119">
        <v>1</v>
      </c>
      <c r="I119">
        <v>1</v>
      </c>
      <c r="J119">
        <v>0</v>
      </c>
      <c r="K119">
        <v>0</v>
      </c>
      <c r="L119" t="s">
        <v>35</v>
      </c>
      <c r="M119" t="s">
        <v>35</v>
      </c>
      <c r="N119" t="s">
        <v>35</v>
      </c>
      <c r="O119" t="s">
        <v>35</v>
      </c>
      <c r="P119" t="s">
        <v>35</v>
      </c>
      <c r="Q119" t="s">
        <v>35</v>
      </c>
      <c r="R119" t="s">
        <v>35</v>
      </c>
      <c r="S119">
        <v>1</v>
      </c>
      <c r="T119">
        <v>0</v>
      </c>
      <c r="U119">
        <v>1</v>
      </c>
      <c r="V119">
        <v>1</v>
      </c>
      <c r="W119">
        <v>0</v>
      </c>
      <c r="X119">
        <v>1</v>
      </c>
      <c r="Y119">
        <v>0</v>
      </c>
      <c r="Z119">
        <v>0</v>
      </c>
      <c r="AA119">
        <v>0</v>
      </c>
      <c r="AB119">
        <v>1</v>
      </c>
      <c r="AC119">
        <v>1</v>
      </c>
      <c r="AD119">
        <v>0</v>
      </c>
      <c r="AE119">
        <v>0</v>
      </c>
    </row>
    <row r="120" spans="1:31" x14ac:dyDescent="0.2">
      <c r="A120" t="s">
        <v>118</v>
      </c>
      <c r="B120" t="s">
        <v>102</v>
      </c>
      <c r="C120">
        <v>51</v>
      </c>
      <c r="D120" t="s">
        <v>33</v>
      </c>
      <c r="E120" t="s">
        <v>39</v>
      </c>
      <c r="F120" t="s">
        <v>47</v>
      </c>
      <c r="G120">
        <v>9090</v>
      </c>
      <c r="H120">
        <v>1</v>
      </c>
      <c r="I120">
        <v>1</v>
      </c>
      <c r="J120">
        <v>0</v>
      </c>
      <c r="K120">
        <v>0</v>
      </c>
      <c r="L120" t="s">
        <v>79</v>
      </c>
      <c r="M120" t="s">
        <v>48</v>
      </c>
      <c r="N120" t="s">
        <v>80</v>
      </c>
      <c r="O120" t="s">
        <v>45</v>
      </c>
      <c r="P120" t="s">
        <v>46</v>
      </c>
      <c r="Q120" t="s">
        <v>67</v>
      </c>
      <c r="R120">
        <v>0</v>
      </c>
      <c r="S120">
        <v>0</v>
      </c>
      <c r="T120">
        <v>1</v>
      </c>
      <c r="U120">
        <v>1</v>
      </c>
      <c r="V120">
        <v>1</v>
      </c>
      <c r="W120">
        <v>0</v>
      </c>
      <c r="X120">
        <v>1</v>
      </c>
      <c r="Y120">
        <v>0</v>
      </c>
      <c r="Z120">
        <v>0</v>
      </c>
      <c r="AA120">
        <v>1</v>
      </c>
      <c r="AB120">
        <v>0</v>
      </c>
      <c r="AC120">
        <v>1</v>
      </c>
      <c r="AD120">
        <v>0</v>
      </c>
      <c r="AE120">
        <v>0</v>
      </c>
    </row>
    <row r="121" spans="1:31" x14ac:dyDescent="0.2">
      <c r="A121" t="s">
        <v>118</v>
      </c>
      <c r="B121" t="s">
        <v>102</v>
      </c>
      <c r="C121">
        <v>51</v>
      </c>
      <c r="D121" t="s">
        <v>33</v>
      </c>
      <c r="E121" t="s">
        <v>39</v>
      </c>
      <c r="F121" t="s">
        <v>59</v>
      </c>
      <c r="G121">
        <v>5078</v>
      </c>
      <c r="H121">
        <v>0</v>
      </c>
      <c r="I121">
        <v>1</v>
      </c>
      <c r="J121">
        <v>1</v>
      </c>
      <c r="K121">
        <v>0</v>
      </c>
      <c r="L121" t="s">
        <v>60</v>
      </c>
      <c r="M121" t="s">
        <v>62</v>
      </c>
      <c r="N121" t="s">
        <v>61</v>
      </c>
      <c r="O121" t="s">
        <v>44</v>
      </c>
      <c r="P121" t="s">
        <v>45</v>
      </c>
      <c r="Q121" t="s">
        <v>46</v>
      </c>
      <c r="R121">
        <v>0</v>
      </c>
      <c r="S121">
        <v>1</v>
      </c>
      <c r="T121">
        <v>1</v>
      </c>
      <c r="U121">
        <v>0</v>
      </c>
      <c r="V121">
        <v>1</v>
      </c>
      <c r="W121">
        <v>0</v>
      </c>
      <c r="X121">
        <v>1</v>
      </c>
      <c r="Y121">
        <v>0</v>
      </c>
      <c r="Z121">
        <v>0</v>
      </c>
      <c r="AA121">
        <v>1</v>
      </c>
      <c r="AB121">
        <v>0</v>
      </c>
      <c r="AC121">
        <v>1</v>
      </c>
      <c r="AD121">
        <v>0</v>
      </c>
      <c r="AE121">
        <v>0</v>
      </c>
    </row>
    <row r="122" spans="1:31" x14ac:dyDescent="0.2">
      <c r="A122" t="s">
        <v>118</v>
      </c>
      <c r="B122" t="s">
        <v>102</v>
      </c>
      <c r="C122">
        <v>51</v>
      </c>
      <c r="D122" t="s">
        <v>33</v>
      </c>
      <c r="E122" t="s">
        <v>52</v>
      </c>
      <c r="F122" t="s">
        <v>74</v>
      </c>
      <c r="G122">
        <v>4777</v>
      </c>
      <c r="H122">
        <v>0</v>
      </c>
      <c r="I122">
        <v>1</v>
      </c>
      <c r="J122">
        <v>1</v>
      </c>
      <c r="K122">
        <v>0</v>
      </c>
      <c r="L122" t="s">
        <v>35</v>
      </c>
      <c r="M122" t="s">
        <v>35</v>
      </c>
      <c r="N122" t="s">
        <v>35</v>
      </c>
      <c r="O122" t="s">
        <v>35</v>
      </c>
      <c r="P122" t="s">
        <v>35</v>
      </c>
      <c r="Q122" t="s">
        <v>35</v>
      </c>
      <c r="R122" t="s">
        <v>35</v>
      </c>
      <c r="S122">
        <v>1</v>
      </c>
      <c r="T122">
        <v>1</v>
      </c>
      <c r="U122">
        <v>0</v>
      </c>
      <c r="V122">
        <v>1</v>
      </c>
      <c r="W122">
        <v>0</v>
      </c>
      <c r="X122">
        <v>1</v>
      </c>
      <c r="Y122">
        <v>0</v>
      </c>
      <c r="Z122">
        <v>0</v>
      </c>
      <c r="AA122">
        <v>1</v>
      </c>
      <c r="AB122">
        <v>0</v>
      </c>
      <c r="AC122">
        <v>1</v>
      </c>
      <c r="AD122">
        <v>0</v>
      </c>
      <c r="AE122">
        <v>0</v>
      </c>
    </row>
    <row r="123" spans="1:31" x14ac:dyDescent="0.2">
      <c r="A123" t="s">
        <v>118</v>
      </c>
      <c r="B123" t="s">
        <v>102</v>
      </c>
      <c r="C123">
        <v>51</v>
      </c>
      <c r="D123" t="s">
        <v>33</v>
      </c>
      <c r="E123" t="s">
        <v>39</v>
      </c>
      <c r="F123" t="s">
        <v>54</v>
      </c>
      <c r="G123">
        <v>9766</v>
      </c>
      <c r="H123">
        <v>1</v>
      </c>
      <c r="I123">
        <v>1</v>
      </c>
      <c r="J123">
        <v>0</v>
      </c>
      <c r="K123">
        <v>0</v>
      </c>
      <c r="L123" t="s">
        <v>57</v>
      </c>
      <c r="M123" t="s">
        <v>88</v>
      </c>
      <c r="N123" t="s">
        <v>55</v>
      </c>
      <c r="O123" t="s">
        <v>46</v>
      </c>
      <c r="P123" t="s">
        <v>51</v>
      </c>
      <c r="Q123" t="s">
        <v>44</v>
      </c>
      <c r="R123">
        <v>0</v>
      </c>
      <c r="S123">
        <v>1</v>
      </c>
      <c r="T123">
        <v>1</v>
      </c>
      <c r="U123">
        <v>0</v>
      </c>
      <c r="V123">
        <v>0</v>
      </c>
      <c r="W123">
        <v>0</v>
      </c>
      <c r="X123">
        <v>1</v>
      </c>
      <c r="Y123">
        <v>0</v>
      </c>
      <c r="Z123">
        <v>0</v>
      </c>
      <c r="AA123">
        <v>1</v>
      </c>
      <c r="AB123">
        <v>0</v>
      </c>
      <c r="AC123">
        <v>0</v>
      </c>
      <c r="AD123">
        <v>0</v>
      </c>
      <c r="AE123">
        <v>0</v>
      </c>
    </row>
    <row r="124" spans="1:31" x14ac:dyDescent="0.2">
      <c r="A124" t="s">
        <v>118</v>
      </c>
      <c r="B124" t="s">
        <v>102</v>
      </c>
      <c r="C124">
        <v>51</v>
      </c>
      <c r="D124" t="s">
        <v>33</v>
      </c>
      <c r="E124" t="s">
        <v>52</v>
      </c>
      <c r="F124" t="s">
        <v>69</v>
      </c>
      <c r="G124">
        <v>5645</v>
      </c>
      <c r="H124">
        <v>1</v>
      </c>
      <c r="I124">
        <v>1</v>
      </c>
      <c r="J124">
        <v>0</v>
      </c>
      <c r="K124">
        <v>0</v>
      </c>
      <c r="L124" t="s">
        <v>35</v>
      </c>
      <c r="M124" t="s">
        <v>35</v>
      </c>
      <c r="N124" t="s">
        <v>35</v>
      </c>
      <c r="O124" t="s">
        <v>35</v>
      </c>
      <c r="P124" t="s">
        <v>35</v>
      </c>
      <c r="Q124" t="s">
        <v>35</v>
      </c>
      <c r="R124" t="s">
        <v>35</v>
      </c>
      <c r="S124">
        <v>1</v>
      </c>
      <c r="T124">
        <v>1</v>
      </c>
      <c r="U124">
        <v>0</v>
      </c>
      <c r="V124">
        <v>0</v>
      </c>
      <c r="W124">
        <v>0</v>
      </c>
      <c r="X124">
        <v>1</v>
      </c>
      <c r="Y124">
        <v>0</v>
      </c>
      <c r="Z124">
        <v>0</v>
      </c>
      <c r="AA124">
        <v>1</v>
      </c>
      <c r="AB124">
        <v>0</v>
      </c>
      <c r="AC124">
        <v>0</v>
      </c>
      <c r="AD124">
        <v>0</v>
      </c>
      <c r="AE124">
        <v>0</v>
      </c>
    </row>
    <row r="125" spans="1:31" x14ac:dyDescent="0.2">
      <c r="A125" t="s">
        <v>118</v>
      </c>
      <c r="B125" t="s">
        <v>102</v>
      </c>
      <c r="C125">
        <v>51</v>
      </c>
      <c r="D125" t="s">
        <v>33</v>
      </c>
      <c r="E125" t="s">
        <v>39</v>
      </c>
      <c r="F125" t="s">
        <v>40</v>
      </c>
      <c r="G125">
        <v>4521</v>
      </c>
      <c r="H125">
        <v>0</v>
      </c>
      <c r="I125">
        <v>1</v>
      </c>
      <c r="J125">
        <v>1</v>
      </c>
      <c r="K125">
        <v>0</v>
      </c>
      <c r="L125" t="s">
        <v>41</v>
      </c>
      <c r="M125" t="s">
        <v>42</v>
      </c>
      <c r="N125" t="s">
        <v>43</v>
      </c>
      <c r="O125" t="s">
        <v>44</v>
      </c>
      <c r="P125" t="s">
        <v>45</v>
      </c>
      <c r="Q125" t="s">
        <v>46</v>
      </c>
      <c r="R125">
        <v>0</v>
      </c>
      <c r="S125">
        <v>1</v>
      </c>
      <c r="T125">
        <v>1</v>
      </c>
      <c r="U125">
        <v>0</v>
      </c>
      <c r="V125">
        <v>1</v>
      </c>
      <c r="W125">
        <v>0</v>
      </c>
      <c r="X125">
        <v>1</v>
      </c>
      <c r="Y125">
        <v>0</v>
      </c>
      <c r="Z125">
        <v>0</v>
      </c>
      <c r="AA125">
        <v>1</v>
      </c>
      <c r="AB125">
        <v>0</v>
      </c>
      <c r="AC125">
        <v>1</v>
      </c>
      <c r="AD125">
        <v>0</v>
      </c>
      <c r="AE125">
        <v>0</v>
      </c>
    </row>
    <row r="126" spans="1:31" x14ac:dyDescent="0.2">
      <c r="A126" t="s">
        <v>118</v>
      </c>
      <c r="B126" t="s">
        <v>102</v>
      </c>
      <c r="C126">
        <v>51</v>
      </c>
      <c r="D126" t="s">
        <v>33</v>
      </c>
      <c r="E126" t="s">
        <v>52</v>
      </c>
      <c r="F126" t="s">
        <v>58</v>
      </c>
      <c r="G126">
        <v>4498</v>
      </c>
      <c r="H126">
        <v>1</v>
      </c>
      <c r="I126">
        <v>1</v>
      </c>
      <c r="J126">
        <v>0</v>
      </c>
      <c r="K126">
        <v>0</v>
      </c>
      <c r="L126" t="s">
        <v>35</v>
      </c>
      <c r="M126" t="s">
        <v>35</v>
      </c>
      <c r="N126" t="s">
        <v>35</v>
      </c>
      <c r="O126" t="s">
        <v>35</v>
      </c>
      <c r="P126" t="s">
        <v>35</v>
      </c>
      <c r="Q126" t="s">
        <v>35</v>
      </c>
      <c r="R126" t="s">
        <v>35</v>
      </c>
      <c r="S126">
        <v>1</v>
      </c>
      <c r="T126">
        <v>1</v>
      </c>
      <c r="U126">
        <v>0</v>
      </c>
      <c r="V126">
        <v>1</v>
      </c>
      <c r="W126">
        <v>0</v>
      </c>
      <c r="X126">
        <v>1</v>
      </c>
      <c r="Y126">
        <v>0</v>
      </c>
      <c r="Z126">
        <v>0</v>
      </c>
      <c r="AA126">
        <v>1</v>
      </c>
      <c r="AB126">
        <v>0</v>
      </c>
      <c r="AC126">
        <v>1</v>
      </c>
      <c r="AD126">
        <v>0</v>
      </c>
      <c r="AE126">
        <v>0</v>
      </c>
    </row>
    <row r="127" spans="1:31" x14ac:dyDescent="0.2">
      <c r="A127" t="s">
        <v>118</v>
      </c>
      <c r="B127" t="s">
        <v>102</v>
      </c>
      <c r="C127">
        <v>51</v>
      </c>
      <c r="D127" t="s">
        <v>33</v>
      </c>
      <c r="E127" t="s">
        <v>75</v>
      </c>
      <c r="F127" t="s">
        <v>35</v>
      </c>
      <c r="G127">
        <v>58911</v>
      </c>
      <c r="H127" t="s">
        <v>119</v>
      </c>
      <c r="I127" t="s">
        <v>120</v>
      </c>
      <c r="J127" t="s">
        <v>76</v>
      </c>
      <c r="K127" t="s">
        <v>35</v>
      </c>
      <c r="L127" t="s">
        <v>35</v>
      </c>
      <c r="M127" t="s">
        <v>35</v>
      </c>
      <c r="N127" t="s">
        <v>35</v>
      </c>
      <c r="O127" t="s">
        <v>35</v>
      </c>
      <c r="P127" t="s">
        <v>35</v>
      </c>
      <c r="Q127" t="s">
        <v>35</v>
      </c>
      <c r="R127" t="s">
        <v>35</v>
      </c>
      <c r="S127" t="s">
        <v>35</v>
      </c>
      <c r="T127" t="s">
        <v>35</v>
      </c>
      <c r="U127" t="s">
        <v>35</v>
      </c>
      <c r="V127" t="s">
        <v>35</v>
      </c>
      <c r="W127" t="s">
        <v>35</v>
      </c>
      <c r="X127" t="s">
        <v>35</v>
      </c>
      <c r="Y127" t="s">
        <v>35</v>
      </c>
      <c r="Z127" t="s">
        <v>35</v>
      </c>
      <c r="AA127" t="s">
        <v>35</v>
      </c>
      <c r="AB127" t="s">
        <v>35</v>
      </c>
      <c r="AC127" t="s">
        <v>35</v>
      </c>
      <c r="AD127" t="s">
        <v>35</v>
      </c>
      <c r="AE127" t="s">
        <v>35</v>
      </c>
    </row>
    <row r="128" spans="1:31" x14ac:dyDescent="0.2">
      <c r="A128" t="s">
        <v>121</v>
      </c>
      <c r="B128" t="s">
        <v>32</v>
      </c>
      <c r="C128">
        <v>35</v>
      </c>
      <c r="D128" t="s">
        <v>78</v>
      </c>
      <c r="E128" t="s">
        <v>34</v>
      </c>
      <c r="F128" t="s">
        <v>35</v>
      </c>
      <c r="G128">
        <v>29931</v>
      </c>
      <c r="H128" t="s">
        <v>35</v>
      </c>
      <c r="I128" t="s">
        <v>35</v>
      </c>
      <c r="J128" t="s">
        <v>35</v>
      </c>
      <c r="K128" t="s">
        <v>35</v>
      </c>
      <c r="L128" t="s">
        <v>35</v>
      </c>
      <c r="M128" t="s">
        <v>35</v>
      </c>
      <c r="N128" t="s">
        <v>35</v>
      </c>
      <c r="O128" t="s">
        <v>35</v>
      </c>
      <c r="P128" t="s">
        <v>35</v>
      </c>
      <c r="Q128" t="s">
        <v>35</v>
      </c>
      <c r="R128" t="s">
        <v>35</v>
      </c>
      <c r="S128" t="s">
        <v>35</v>
      </c>
      <c r="T128" t="s">
        <v>35</v>
      </c>
      <c r="U128" t="s">
        <v>35</v>
      </c>
      <c r="V128" t="s">
        <v>35</v>
      </c>
      <c r="W128" t="s">
        <v>35</v>
      </c>
      <c r="X128" t="s">
        <v>35</v>
      </c>
      <c r="Y128" t="s">
        <v>35</v>
      </c>
      <c r="Z128" t="s">
        <v>35</v>
      </c>
      <c r="AA128" t="s">
        <v>35</v>
      </c>
      <c r="AB128" t="s">
        <v>35</v>
      </c>
      <c r="AC128" t="s">
        <v>35</v>
      </c>
      <c r="AD128" t="s">
        <v>35</v>
      </c>
      <c r="AE128" t="s">
        <v>35</v>
      </c>
    </row>
    <row r="129" spans="1:31" x14ac:dyDescent="0.2">
      <c r="A129" t="s">
        <v>121</v>
      </c>
      <c r="B129" t="s">
        <v>32</v>
      </c>
      <c r="C129">
        <v>35</v>
      </c>
      <c r="D129" t="s">
        <v>78</v>
      </c>
      <c r="E129" t="s">
        <v>36</v>
      </c>
      <c r="F129" t="s">
        <v>38</v>
      </c>
      <c r="G129">
        <v>39429</v>
      </c>
      <c r="H129">
        <v>0</v>
      </c>
      <c r="I129">
        <v>0</v>
      </c>
      <c r="J129">
        <v>0</v>
      </c>
      <c r="K129">
        <v>1</v>
      </c>
      <c r="L129" t="s">
        <v>35</v>
      </c>
      <c r="M129" t="s">
        <v>35</v>
      </c>
      <c r="N129" t="s">
        <v>35</v>
      </c>
      <c r="O129" t="s">
        <v>35</v>
      </c>
      <c r="P129" t="s">
        <v>35</v>
      </c>
      <c r="Q129" t="s">
        <v>35</v>
      </c>
      <c r="R129" t="s">
        <v>35</v>
      </c>
      <c r="S129" t="s">
        <v>35</v>
      </c>
      <c r="T129" t="s">
        <v>35</v>
      </c>
      <c r="U129" t="s">
        <v>35</v>
      </c>
      <c r="V129" t="s">
        <v>35</v>
      </c>
      <c r="W129" t="s">
        <v>35</v>
      </c>
      <c r="X129" t="s">
        <v>35</v>
      </c>
      <c r="Y129" t="s">
        <v>35</v>
      </c>
      <c r="Z129" t="s">
        <v>35</v>
      </c>
      <c r="AA129" t="s">
        <v>35</v>
      </c>
      <c r="AB129" t="s">
        <v>35</v>
      </c>
      <c r="AC129" t="s">
        <v>35</v>
      </c>
      <c r="AD129" t="s">
        <v>35</v>
      </c>
      <c r="AE129" t="s">
        <v>35</v>
      </c>
    </row>
    <row r="130" spans="1:31" x14ac:dyDescent="0.2">
      <c r="A130" t="s">
        <v>121</v>
      </c>
      <c r="B130" t="s">
        <v>32</v>
      </c>
      <c r="C130">
        <v>35</v>
      </c>
      <c r="D130" t="s">
        <v>78</v>
      </c>
      <c r="E130" t="s">
        <v>36</v>
      </c>
      <c r="F130" t="s">
        <v>37</v>
      </c>
      <c r="G130">
        <v>39903</v>
      </c>
      <c r="H130">
        <v>0</v>
      </c>
      <c r="I130">
        <v>0</v>
      </c>
      <c r="J130">
        <v>1</v>
      </c>
      <c r="K130">
        <v>0</v>
      </c>
      <c r="L130" t="s">
        <v>35</v>
      </c>
      <c r="M130" t="s">
        <v>35</v>
      </c>
      <c r="N130" t="s">
        <v>35</v>
      </c>
      <c r="O130" t="s">
        <v>35</v>
      </c>
      <c r="P130" t="s">
        <v>35</v>
      </c>
      <c r="Q130" t="s">
        <v>35</v>
      </c>
      <c r="R130" t="s">
        <v>35</v>
      </c>
      <c r="S130" t="s">
        <v>35</v>
      </c>
      <c r="T130" t="s">
        <v>35</v>
      </c>
      <c r="U130" t="s">
        <v>35</v>
      </c>
      <c r="V130" t="s">
        <v>35</v>
      </c>
      <c r="W130" t="s">
        <v>35</v>
      </c>
      <c r="X130" t="s">
        <v>35</v>
      </c>
      <c r="Y130" t="s">
        <v>35</v>
      </c>
      <c r="Z130" t="s">
        <v>35</v>
      </c>
      <c r="AA130" t="s">
        <v>35</v>
      </c>
      <c r="AB130" t="s">
        <v>35</v>
      </c>
      <c r="AC130" t="s">
        <v>35</v>
      </c>
      <c r="AD130" t="s">
        <v>35</v>
      </c>
      <c r="AE130" t="s">
        <v>35</v>
      </c>
    </row>
    <row r="131" spans="1:31" x14ac:dyDescent="0.2">
      <c r="A131" t="s">
        <v>121</v>
      </c>
      <c r="B131" t="s">
        <v>32</v>
      </c>
      <c r="C131">
        <v>35</v>
      </c>
      <c r="D131" t="s">
        <v>78</v>
      </c>
      <c r="E131" t="s">
        <v>39</v>
      </c>
      <c r="F131" t="s">
        <v>70</v>
      </c>
      <c r="G131">
        <v>38899</v>
      </c>
      <c r="H131">
        <v>1</v>
      </c>
      <c r="I131">
        <v>1</v>
      </c>
      <c r="J131">
        <v>1</v>
      </c>
      <c r="K131">
        <v>0</v>
      </c>
      <c r="L131" t="s">
        <v>93</v>
      </c>
      <c r="M131" t="s">
        <v>72</v>
      </c>
      <c r="N131" t="s">
        <v>86</v>
      </c>
      <c r="O131" t="s">
        <v>68</v>
      </c>
      <c r="P131" t="s">
        <v>67</v>
      </c>
      <c r="Q131" t="s">
        <v>46</v>
      </c>
      <c r="R131">
        <v>1</v>
      </c>
      <c r="S131">
        <v>0</v>
      </c>
      <c r="T131">
        <v>1</v>
      </c>
      <c r="U131">
        <v>1</v>
      </c>
      <c r="V131">
        <v>0</v>
      </c>
      <c r="W131">
        <v>0</v>
      </c>
      <c r="X131">
        <v>1</v>
      </c>
      <c r="Y131">
        <v>1</v>
      </c>
      <c r="Z131">
        <v>0</v>
      </c>
      <c r="AA131">
        <v>1</v>
      </c>
      <c r="AB131">
        <v>1</v>
      </c>
      <c r="AC131">
        <v>0</v>
      </c>
      <c r="AD131">
        <v>0</v>
      </c>
      <c r="AE131">
        <v>0</v>
      </c>
    </row>
    <row r="132" spans="1:31" x14ac:dyDescent="0.2">
      <c r="A132" t="s">
        <v>121</v>
      </c>
      <c r="B132" t="s">
        <v>32</v>
      </c>
      <c r="C132">
        <v>35</v>
      </c>
      <c r="D132" t="s">
        <v>78</v>
      </c>
      <c r="E132" t="s">
        <v>39</v>
      </c>
      <c r="F132" t="s">
        <v>54</v>
      </c>
      <c r="G132">
        <v>21350</v>
      </c>
      <c r="H132">
        <v>1</v>
      </c>
      <c r="I132">
        <v>1</v>
      </c>
      <c r="J132">
        <v>1</v>
      </c>
      <c r="K132">
        <v>0</v>
      </c>
      <c r="L132" t="s">
        <v>57</v>
      </c>
      <c r="M132" t="s">
        <v>122</v>
      </c>
      <c r="N132" t="s">
        <v>55</v>
      </c>
      <c r="O132" t="s">
        <v>46</v>
      </c>
      <c r="P132" t="s">
        <v>68</v>
      </c>
      <c r="Q132" t="s">
        <v>44</v>
      </c>
      <c r="R132">
        <v>1</v>
      </c>
      <c r="S132">
        <v>1</v>
      </c>
      <c r="T132">
        <v>1</v>
      </c>
      <c r="U132">
        <v>0</v>
      </c>
      <c r="V132">
        <v>0</v>
      </c>
      <c r="W132">
        <v>0</v>
      </c>
      <c r="X132">
        <v>1</v>
      </c>
      <c r="Y132">
        <v>1</v>
      </c>
      <c r="Z132">
        <v>1</v>
      </c>
      <c r="AA132">
        <v>1</v>
      </c>
      <c r="AB132">
        <v>0</v>
      </c>
      <c r="AC132">
        <v>0</v>
      </c>
      <c r="AD132">
        <v>0</v>
      </c>
      <c r="AE132">
        <v>0</v>
      </c>
    </row>
    <row r="133" spans="1:31" x14ac:dyDescent="0.2">
      <c r="A133" t="s">
        <v>121</v>
      </c>
      <c r="B133" t="s">
        <v>32</v>
      </c>
      <c r="C133">
        <v>35</v>
      </c>
      <c r="D133" t="s">
        <v>78</v>
      </c>
      <c r="E133" t="s">
        <v>52</v>
      </c>
      <c r="F133" t="s">
        <v>74</v>
      </c>
      <c r="G133">
        <v>19325</v>
      </c>
      <c r="H133">
        <v>1</v>
      </c>
      <c r="I133">
        <v>1</v>
      </c>
      <c r="J133">
        <v>0</v>
      </c>
      <c r="K133">
        <v>0</v>
      </c>
      <c r="L133" t="s">
        <v>35</v>
      </c>
      <c r="M133" t="s">
        <v>35</v>
      </c>
      <c r="N133" t="s">
        <v>35</v>
      </c>
      <c r="O133" t="s">
        <v>35</v>
      </c>
      <c r="P133" t="s">
        <v>35</v>
      </c>
      <c r="Q133" t="s">
        <v>35</v>
      </c>
      <c r="R133" t="s">
        <v>35</v>
      </c>
      <c r="S133">
        <v>1</v>
      </c>
      <c r="T133">
        <v>1</v>
      </c>
      <c r="U133">
        <v>0</v>
      </c>
      <c r="V133">
        <v>0</v>
      </c>
      <c r="W133">
        <v>0</v>
      </c>
      <c r="X133">
        <v>1</v>
      </c>
      <c r="Y133">
        <v>1</v>
      </c>
      <c r="Z133">
        <v>1</v>
      </c>
      <c r="AA133">
        <v>1</v>
      </c>
      <c r="AB133">
        <v>0</v>
      </c>
      <c r="AC133">
        <v>0</v>
      </c>
      <c r="AD133">
        <v>0</v>
      </c>
      <c r="AE133">
        <v>0</v>
      </c>
    </row>
    <row r="134" spans="1:31" x14ac:dyDescent="0.2">
      <c r="A134" t="s">
        <v>121</v>
      </c>
      <c r="B134" t="s">
        <v>32</v>
      </c>
      <c r="C134">
        <v>35</v>
      </c>
      <c r="D134" t="s">
        <v>78</v>
      </c>
      <c r="E134" t="s">
        <v>39</v>
      </c>
      <c r="F134" t="s">
        <v>40</v>
      </c>
      <c r="G134">
        <v>20586</v>
      </c>
      <c r="H134">
        <v>1</v>
      </c>
      <c r="I134">
        <v>1</v>
      </c>
      <c r="J134">
        <v>1</v>
      </c>
      <c r="K134">
        <v>0</v>
      </c>
      <c r="L134" t="s">
        <v>81</v>
      </c>
      <c r="M134" t="s">
        <v>82</v>
      </c>
      <c r="N134" t="s">
        <v>42</v>
      </c>
      <c r="O134" t="s">
        <v>67</v>
      </c>
      <c r="P134" t="s">
        <v>68</v>
      </c>
      <c r="Q134" t="s">
        <v>45</v>
      </c>
      <c r="R134">
        <v>1</v>
      </c>
      <c r="S134">
        <v>0</v>
      </c>
      <c r="T134">
        <v>0</v>
      </c>
      <c r="U134">
        <v>1</v>
      </c>
      <c r="V134">
        <v>1</v>
      </c>
      <c r="W134">
        <v>0</v>
      </c>
      <c r="X134">
        <v>1</v>
      </c>
      <c r="Y134">
        <v>1</v>
      </c>
      <c r="Z134">
        <v>0</v>
      </c>
      <c r="AA134">
        <v>0</v>
      </c>
      <c r="AB134">
        <v>1</v>
      </c>
      <c r="AC134">
        <v>1</v>
      </c>
      <c r="AD134">
        <v>0</v>
      </c>
      <c r="AE134">
        <v>0</v>
      </c>
    </row>
    <row r="135" spans="1:31" x14ac:dyDescent="0.2">
      <c r="A135" t="s">
        <v>121</v>
      </c>
      <c r="B135" t="s">
        <v>32</v>
      </c>
      <c r="C135">
        <v>35</v>
      </c>
      <c r="D135" t="s">
        <v>78</v>
      </c>
      <c r="E135" t="s">
        <v>39</v>
      </c>
      <c r="F135" t="s">
        <v>59</v>
      </c>
      <c r="G135">
        <v>17740</v>
      </c>
      <c r="H135">
        <v>1</v>
      </c>
      <c r="I135">
        <v>1</v>
      </c>
      <c r="J135">
        <v>1</v>
      </c>
      <c r="K135">
        <v>0</v>
      </c>
      <c r="L135" t="s">
        <v>62</v>
      </c>
      <c r="M135" t="s">
        <v>99</v>
      </c>
      <c r="N135" t="s">
        <v>94</v>
      </c>
      <c r="O135" t="s">
        <v>45</v>
      </c>
      <c r="P135" t="s">
        <v>67</v>
      </c>
      <c r="Q135" t="s">
        <v>68</v>
      </c>
      <c r="R135">
        <v>1</v>
      </c>
      <c r="S135">
        <v>0</v>
      </c>
      <c r="T135">
        <v>0</v>
      </c>
      <c r="U135">
        <v>1</v>
      </c>
      <c r="V135">
        <v>1</v>
      </c>
      <c r="W135">
        <v>0</v>
      </c>
      <c r="X135">
        <v>1</v>
      </c>
      <c r="Y135">
        <v>1</v>
      </c>
      <c r="Z135">
        <v>0</v>
      </c>
      <c r="AA135">
        <v>0</v>
      </c>
      <c r="AB135">
        <v>1</v>
      </c>
      <c r="AC135">
        <v>1</v>
      </c>
      <c r="AD135">
        <v>0</v>
      </c>
      <c r="AE135">
        <v>0</v>
      </c>
    </row>
    <row r="136" spans="1:31" x14ac:dyDescent="0.2">
      <c r="A136" t="s">
        <v>121</v>
      </c>
      <c r="B136" t="s">
        <v>32</v>
      </c>
      <c r="C136">
        <v>35</v>
      </c>
      <c r="D136" t="s">
        <v>78</v>
      </c>
      <c r="E136" t="s">
        <v>52</v>
      </c>
      <c r="F136" t="s">
        <v>58</v>
      </c>
      <c r="G136">
        <v>33433</v>
      </c>
      <c r="H136">
        <v>1</v>
      </c>
      <c r="I136">
        <v>0</v>
      </c>
      <c r="J136">
        <v>0</v>
      </c>
      <c r="K136">
        <v>0</v>
      </c>
      <c r="L136" t="s">
        <v>35</v>
      </c>
      <c r="M136" t="s">
        <v>35</v>
      </c>
      <c r="N136" t="s">
        <v>35</v>
      </c>
      <c r="O136" t="s">
        <v>35</v>
      </c>
      <c r="P136" t="s">
        <v>35</v>
      </c>
      <c r="Q136" t="s">
        <v>35</v>
      </c>
      <c r="R136" t="s">
        <v>35</v>
      </c>
      <c r="S136">
        <v>0</v>
      </c>
      <c r="T136">
        <v>0</v>
      </c>
      <c r="U136">
        <v>1</v>
      </c>
      <c r="V136">
        <v>1</v>
      </c>
      <c r="W136">
        <v>0</v>
      </c>
      <c r="X136">
        <v>1</v>
      </c>
      <c r="Y136">
        <v>1</v>
      </c>
      <c r="Z136">
        <v>0</v>
      </c>
      <c r="AA136">
        <v>0</v>
      </c>
      <c r="AB136">
        <v>1</v>
      </c>
      <c r="AC136">
        <v>1</v>
      </c>
      <c r="AD136">
        <v>0</v>
      </c>
      <c r="AE136">
        <v>0</v>
      </c>
    </row>
    <row r="137" spans="1:31" x14ac:dyDescent="0.2">
      <c r="A137" t="s">
        <v>121</v>
      </c>
      <c r="B137" t="s">
        <v>32</v>
      </c>
      <c r="C137">
        <v>35</v>
      </c>
      <c r="D137" t="s">
        <v>78</v>
      </c>
      <c r="E137" t="s">
        <v>39</v>
      </c>
      <c r="F137" t="s">
        <v>63</v>
      </c>
      <c r="G137">
        <v>19551</v>
      </c>
      <c r="H137">
        <v>1</v>
      </c>
      <c r="I137">
        <v>1</v>
      </c>
      <c r="J137">
        <v>1</v>
      </c>
      <c r="K137">
        <v>0</v>
      </c>
      <c r="L137" t="s">
        <v>90</v>
      </c>
      <c r="M137" t="s">
        <v>64</v>
      </c>
      <c r="N137" t="s">
        <v>84</v>
      </c>
      <c r="O137" t="s">
        <v>44</v>
      </c>
      <c r="P137" t="s">
        <v>67</v>
      </c>
      <c r="Q137" t="s">
        <v>46</v>
      </c>
      <c r="R137">
        <v>0</v>
      </c>
      <c r="S137">
        <v>1</v>
      </c>
      <c r="T137">
        <v>1</v>
      </c>
      <c r="U137">
        <v>1</v>
      </c>
      <c r="V137">
        <v>0</v>
      </c>
      <c r="W137">
        <v>0</v>
      </c>
      <c r="X137">
        <v>1</v>
      </c>
      <c r="Y137">
        <v>0</v>
      </c>
      <c r="Z137">
        <v>1</v>
      </c>
      <c r="AA137">
        <v>1</v>
      </c>
      <c r="AB137">
        <v>1</v>
      </c>
      <c r="AC137">
        <v>0</v>
      </c>
      <c r="AD137">
        <v>0</v>
      </c>
      <c r="AE137">
        <v>0</v>
      </c>
    </row>
    <row r="138" spans="1:31" x14ac:dyDescent="0.2">
      <c r="A138" t="s">
        <v>121</v>
      </c>
      <c r="B138" t="s">
        <v>32</v>
      </c>
      <c r="C138">
        <v>35</v>
      </c>
      <c r="D138" t="s">
        <v>78</v>
      </c>
      <c r="E138" t="s">
        <v>52</v>
      </c>
      <c r="F138" t="s">
        <v>69</v>
      </c>
      <c r="G138">
        <v>23026</v>
      </c>
      <c r="H138">
        <v>0</v>
      </c>
      <c r="I138">
        <v>0</v>
      </c>
      <c r="J138">
        <v>1</v>
      </c>
      <c r="K138">
        <v>0</v>
      </c>
      <c r="L138" t="s">
        <v>35</v>
      </c>
      <c r="M138" t="s">
        <v>35</v>
      </c>
      <c r="N138" t="s">
        <v>35</v>
      </c>
      <c r="O138" t="s">
        <v>35</v>
      </c>
      <c r="P138" t="s">
        <v>35</v>
      </c>
      <c r="Q138" t="s">
        <v>35</v>
      </c>
      <c r="R138" t="s">
        <v>35</v>
      </c>
      <c r="S138">
        <v>1</v>
      </c>
      <c r="T138">
        <v>1</v>
      </c>
      <c r="U138">
        <v>1</v>
      </c>
      <c r="V138">
        <v>0</v>
      </c>
      <c r="W138">
        <v>0</v>
      </c>
      <c r="X138">
        <v>1</v>
      </c>
      <c r="Y138">
        <v>0</v>
      </c>
      <c r="Z138">
        <v>1</v>
      </c>
      <c r="AA138">
        <v>1</v>
      </c>
      <c r="AB138">
        <v>1</v>
      </c>
      <c r="AC138">
        <v>0</v>
      </c>
      <c r="AD138">
        <v>0</v>
      </c>
      <c r="AE138">
        <v>0</v>
      </c>
    </row>
    <row r="139" spans="1:31" x14ac:dyDescent="0.2">
      <c r="A139" t="s">
        <v>121</v>
      </c>
      <c r="B139" t="s">
        <v>32</v>
      </c>
      <c r="C139">
        <v>35</v>
      </c>
      <c r="D139" t="s">
        <v>78</v>
      </c>
      <c r="E139" t="s">
        <v>39</v>
      </c>
      <c r="F139" t="s">
        <v>47</v>
      </c>
      <c r="G139">
        <v>12873</v>
      </c>
      <c r="H139">
        <v>0</v>
      </c>
      <c r="I139">
        <v>1</v>
      </c>
      <c r="J139">
        <v>0</v>
      </c>
      <c r="K139">
        <v>0</v>
      </c>
      <c r="L139" t="s">
        <v>50</v>
      </c>
      <c r="M139" t="s">
        <v>79</v>
      </c>
      <c r="N139" t="s">
        <v>48</v>
      </c>
      <c r="O139" t="s">
        <v>51</v>
      </c>
      <c r="P139" t="s">
        <v>45</v>
      </c>
      <c r="Q139" t="s">
        <v>46</v>
      </c>
      <c r="R139">
        <v>0</v>
      </c>
      <c r="S139">
        <v>0</v>
      </c>
      <c r="T139">
        <v>1</v>
      </c>
      <c r="U139">
        <v>0</v>
      </c>
      <c r="V139">
        <v>1</v>
      </c>
      <c r="W139">
        <v>0</v>
      </c>
      <c r="X139">
        <v>1</v>
      </c>
      <c r="Y139">
        <v>0</v>
      </c>
      <c r="Z139">
        <v>0</v>
      </c>
      <c r="AA139">
        <v>0</v>
      </c>
      <c r="AB139">
        <v>0</v>
      </c>
      <c r="AC139">
        <v>1</v>
      </c>
      <c r="AD139">
        <v>0</v>
      </c>
      <c r="AE139">
        <v>0</v>
      </c>
    </row>
    <row r="140" spans="1:31" x14ac:dyDescent="0.2">
      <c r="A140" t="s">
        <v>121</v>
      </c>
      <c r="B140" t="s">
        <v>32</v>
      </c>
      <c r="C140">
        <v>35</v>
      </c>
      <c r="D140" t="s">
        <v>78</v>
      </c>
      <c r="E140" t="s">
        <v>52</v>
      </c>
      <c r="F140" t="s">
        <v>53</v>
      </c>
      <c r="G140">
        <v>21163</v>
      </c>
      <c r="H140">
        <v>1</v>
      </c>
      <c r="I140">
        <v>1</v>
      </c>
      <c r="J140">
        <v>0</v>
      </c>
      <c r="K140">
        <v>0</v>
      </c>
      <c r="L140" t="s">
        <v>35</v>
      </c>
      <c r="M140" t="s">
        <v>35</v>
      </c>
      <c r="N140" t="s">
        <v>35</v>
      </c>
      <c r="O140" t="s">
        <v>35</v>
      </c>
      <c r="P140" t="s">
        <v>35</v>
      </c>
      <c r="Q140" t="s">
        <v>35</v>
      </c>
      <c r="R140" t="s">
        <v>35</v>
      </c>
      <c r="S140">
        <v>0</v>
      </c>
      <c r="T140">
        <v>1</v>
      </c>
      <c r="U140">
        <v>0</v>
      </c>
      <c r="V140">
        <v>1</v>
      </c>
      <c r="W140">
        <v>0</v>
      </c>
      <c r="X140">
        <v>1</v>
      </c>
      <c r="Y140">
        <v>0</v>
      </c>
      <c r="Z140">
        <v>0</v>
      </c>
      <c r="AA140">
        <v>0</v>
      </c>
      <c r="AB140">
        <v>0</v>
      </c>
      <c r="AC140">
        <v>1</v>
      </c>
      <c r="AD140">
        <v>0</v>
      </c>
      <c r="AE140">
        <v>0</v>
      </c>
    </row>
    <row r="141" spans="1:31" x14ac:dyDescent="0.2">
      <c r="A141" t="s">
        <v>121</v>
      </c>
      <c r="B141" t="s">
        <v>32</v>
      </c>
      <c r="C141">
        <v>35</v>
      </c>
      <c r="D141" t="s">
        <v>78</v>
      </c>
      <c r="E141" t="s">
        <v>75</v>
      </c>
      <c r="F141" t="s">
        <v>35</v>
      </c>
      <c r="G141">
        <v>27099</v>
      </c>
      <c r="H141" t="s">
        <v>123</v>
      </c>
      <c r="K141" t="s">
        <v>35</v>
      </c>
      <c r="L141" t="s">
        <v>35</v>
      </c>
      <c r="M141" t="s">
        <v>35</v>
      </c>
      <c r="N141" t="s">
        <v>35</v>
      </c>
      <c r="O141" t="s">
        <v>35</v>
      </c>
      <c r="P141" t="s">
        <v>35</v>
      </c>
      <c r="Q141" t="s">
        <v>35</v>
      </c>
      <c r="R141" t="s">
        <v>35</v>
      </c>
      <c r="S141" t="s">
        <v>35</v>
      </c>
      <c r="T141" t="s">
        <v>35</v>
      </c>
      <c r="U141" t="s">
        <v>35</v>
      </c>
      <c r="V141" t="s">
        <v>35</v>
      </c>
      <c r="W141" t="s">
        <v>35</v>
      </c>
      <c r="X141" t="s">
        <v>35</v>
      </c>
      <c r="Y141" t="s">
        <v>35</v>
      </c>
      <c r="Z141" t="s">
        <v>35</v>
      </c>
      <c r="AA141" t="s">
        <v>35</v>
      </c>
      <c r="AB141" t="s">
        <v>35</v>
      </c>
      <c r="AC141" t="s">
        <v>35</v>
      </c>
      <c r="AD141" t="s">
        <v>35</v>
      </c>
      <c r="AE141" t="s">
        <v>35</v>
      </c>
    </row>
    <row r="142" spans="1:31" x14ac:dyDescent="0.2">
      <c r="A142" t="s">
        <v>124</v>
      </c>
      <c r="B142" t="s">
        <v>102</v>
      </c>
      <c r="C142">
        <v>38</v>
      </c>
      <c r="D142" t="s">
        <v>33</v>
      </c>
      <c r="E142" t="s">
        <v>34</v>
      </c>
      <c r="F142" t="s">
        <v>35</v>
      </c>
      <c r="G142">
        <v>39463</v>
      </c>
      <c r="H142" t="s">
        <v>35</v>
      </c>
      <c r="I142" t="s">
        <v>35</v>
      </c>
      <c r="J142" t="s">
        <v>35</v>
      </c>
      <c r="K142" t="s">
        <v>35</v>
      </c>
      <c r="L142" t="s">
        <v>35</v>
      </c>
      <c r="M142" t="s">
        <v>35</v>
      </c>
      <c r="N142" t="s">
        <v>35</v>
      </c>
      <c r="O142" t="s">
        <v>35</v>
      </c>
      <c r="P142" t="s">
        <v>35</v>
      </c>
      <c r="Q142" t="s">
        <v>35</v>
      </c>
      <c r="R142" t="s">
        <v>35</v>
      </c>
      <c r="S142" t="s">
        <v>35</v>
      </c>
      <c r="T142" t="s">
        <v>35</v>
      </c>
      <c r="U142" t="s">
        <v>35</v>
      </c>
      <c r="V142" t="s">
        <v>35</v>
      </c>
      <c r="W142" t="s">
        <v>35</v>
      </c>
      <c r="X142" t="s">
        <v>35</v>
      </c>
      <c r="Y142" t="s">
        <v>35</v>
      </c>
      <c r="Z142" t="s">
        <v>35</v>
      </c>
      <c r="AA142" t="s">
        <v>35</v>
      </c>
      <c r="AB142" t="s">
        <v>35</v>
      </c>
      <c r="AC142" t="s">
        <v>35</v>
      </c>
      <c r="AD142" t="s">
        <v>35</v>
      </c>
      <c r="AE142" t="s">
        <v>35</v>
      </c>
    </row>
    <row r="143" spans="1:31" x14ac:dyDescent="0.2">
      <c r="A143" t="s">
        <v>124</v>
      </c>
      <c r="B143" t="s">
        <v>102</v>
      </c>
      <c r="C143">
        <v>38</v>
      </c>
      <c r="D143" t="s">
        <v>33</v>
      </c>
      <c r="E143" t="s">
        <v>36</v>
      </c>
      <c r="F143" t="s">
        <v>38</v>
      </c>
      <c r="G143">
        <v>25302</v>
      </c>
      <c r="H143">
        <v>0</v>
      </c>
      <c r="I143">
        <v>0</v>
      </c>
      <c r="J143">
        <v>0</v>
      </c>
      <c r="K143">
        <v>1</v>
      </c>
      <c r="L143" t="s">
        <v>35</v>
      </c>
      <c r="M143" t="s">
        <v>35</v>
      </c>
      <c r="N143" t="s">
        <v>35</v>
      </c>
      <c r="O143" t="s">
        <v>35</v>
      </c>
      <c r="P143" t="s">
        <v>35</v>
      </c>
      <c r="Q143" t="s">
        <v>35</v>
      </c>
      <c r="R143" t="s">
        <v>35</v>
      </c>
      <c r="S143" t="s">
        <v>35</v>
      </c>
      <c r="T143" t="s">
        <v>35</v>
      </c>
      <c r="U143" t="s">
        <v>35</v>
      </c>
      <c r="V143" t="s">
        <v>35</v>
      </c>
      <c r="W143" t="s">
        <v>35</v>
      </c>
      <c r="X143" t="s">
        <v>35</v>
      </c>
      <c r="Y143" t="s">
        <v>35</v>
      </c>
      <c r="Z143" t="s">
        <v>35</v>
      </c>
      <c r="AA143" t="s">
        <v>35</v>
      </c>
      <c r="AB143" t="s">
        <v>35</v>
      </c>
      <c r="AC143" t="s">
        <v>35</v>
      </c>
      <c r="AD143" t="s">
        <v>35</v>
      </c>
      <c r="AE143" t="s">
        <v>35</v>
      </c>
    </row>
    <row r="144" spans="1:31" x14ac:dyDescent="0.2">
      <c r="A144" t="s">
        <v>124</v>
      </c>
      <c r="B144" t="s">
        <v>102</v>
      </c>
      <c r="C144">
        <v>38</v>
      </c>
      <c r="D144" t="s">
        <v>33</v>
      </c>
      <c r="E144" t="s">
        <v>36</v>
      </c>
      <c r="F144" t="s">
        <v>37</v>
      </c>
      <c r="G144">
        <v>22346</v>
      </c>
      <c r="H144">
        <v>0</v>
      </c>
      <c r="I144">
        <v>0</v>
      </c>
      <c r="J144">
        <v>1</v>
      </c>
      <c r="K144">
        <v>0</v>
      </c>
      <c r="L144" t="s">
        <v>35</v>
      </c>
      <c r="M144" t="s">
        <v>35</v>
      </c>
      <c r="N144" t="s">
        <v>35</v>
      </c>
      <c r="O144" t="s">
        <v>35</v>
      </c>
      <c r="P144" t="s">
        <v>35</v>
      </c>
      <c r="Q144" t="s">
        <v>35</v>
      </c>
      <c r="R144" t="s">
        <v>35</v>
      </c>
      <c r="S144" t="s">
        <v>35</v>
      </c>
      <c r="T144" t="s">
        <v>35</v>
      </c>
      <c r="U144" t="s">
        <v>35</v>
      </c>
      <c r="V144" t="s">
        <v>35</v>
      </c>
      <c r="W144" t="s">
        <v>35</v>
      </c>
      <c r="X144" t="s">
        <v>35</v>
      </c>
      <c r="Y144" t="s">
        <v>35</v>
      </c>
      <c r="Z144" t="s">
        <v>35</v>
      </c>
      <c r="AA144" t="s">
        <v>35</v>
      </c>
      <c r="AB144" t="s">
        <v>35</v>
      </c>
      <c r="AC144" t="s">
        <v>35</v>
      </c>
      <c r="AD144" t="s">
        <v>35</v>
      </c>
      <c r="AE144" t="s">
        <v>35</v>
      </c>
    </row>
    <row r="145" spans="1:31" x14ac:dyDescent="0.2">
      <c r="A145" t="s">
        <v>124</v>
      </c>
      <c r="B145" t="s">
        <v>102</v>
      </c>
      <c r="C145">
        <v>38</v>
      </c>
      <c r="D145" t="s">
        <v>33</v>
      </c>
      <c r="E145" t="s">
        <v>39</v>
      </c>
      <c r="F145" t="s">
        <v>59</v>
      </c>
      <c r="G145">
        <v>42898</v>
      </c>
      <c r="H145">
        <v>0</v>
      </c>
      <c r="I145">
        <v>1</v>
      </c>
      <c r="J145">
        <v>0</v>
      </c>
      <c r="K145">
        <v>0</v>
      </c>
      <c r="L145" t="s">
        <v>83</v>
      </c>
      <c r="M145" t="s">
        <v>60</v>
      </c>
      <c r="N145" t="s">
        <v>62</v>
      </c>
      <c r="O145" t="s">
        <v>51</v>
      </c>
      <c r="P145" t="s">
        <v>44</v>
      </c>
      <c r="Q145" t="s">
        <v>45</v>
      </c>
      <c r="R145">
        <v>0</v>
      </c>
      <c r="S145">
        <v>1</v>
      </c>
      <c r="T145">
        <v>0</v>
      </c>
      <c r="U145">
        <v>0</v>
      </c>
      <c r="V145">
        <v>1</v>
      </c>
      <c r="W145">
        <v>0</v>
      </c>
      <c r="X145">
        <v>1</v>
      </c>
      <c r="Y145">
        <v>0</v>
      </c>
      <c r="Z145">
        <v>1</v>
      </c>
      <c r="AA145">
        <v>0</v>
      </c>
      <c r="AB145">
        <v>0</v>
      </c>
      <c r="AC145">
        <v>0</v>
      </c>
      <c r="AD145">
        <v>0</v>
      </c>
      <c r="AE145">
        <v>0</v>
      </c>
    </row>
    <row r="146" spans="1:31" x14ac:dyDescent="0.2">
      <c r="A146" t="s">
        <v>124</v>
      </c>
      <c r="B146" t="s">
        <v>102</v>
      </c>
      <c r="C146">
        <v>38</v>
      </c>
      <c r="D146" t="s">
        <v>33</v>
      </c>
      <c r="E146" t="s">
        <v>39</v>
      </c>
      <c r="F146" t="s">
        <v>70</v>
      </c>
      <c r="G146">
        <v>16610</v>
      </c>
      <c r="H146">
        <v>1</v>
      </c>
      <c r="I146">
        <v>0</v>
      </c>
      <c r="J146">
        <v>0</v>
      </c>
      <c r="K146">
        <v>0</v>
      </c>
      <c r="L146" t="s">
        <v>73</v>
      </c>
      <c r="M146" t="s">
        <v>93</v>
      </c>
      <c r="N146" t="s">
        <v>71</v>
      </c>
      <c r="O146" t="s">
        <v>44</v>
      </c>
      <c r="P146" t="s">
        <v>68</v>
      </c>
      <c r="Q146" t="s">
        <v>45</v>
      </c>
      <c r="R146">
        <v>1</v>
      </c>
      <c r="S146">
        <v>1</v>
      </c>
      <c r="T146">
        <v>0</v>
      </c>
      <c r="U146">
        <v>0</v>
      </c>
      <c r="V146">
        <v>1</v>
      </c>
      <c r="W146">
        <v>0</v>
      </c>
      <c r="X146">
        <v>1</v>
      </c>
      <c r="Y146">
        <v>0</v>
      </c>
      <c r="Z146">
        <v>1</v>
      </c>
      <c r="AA146">
        <v>0</v>
      </c>
      <c r="AB146">
        <v>0</v>
      </c>
      <c r="AC146">
        <v>0</v>
      </c>
      <c r="AD146">
        <v>0</v>
      </c>
      <c r="AE146">
        <v>0</v>
      </c>
    </row>
    <row r="147" spans="1:31" x14ac:dyDescent="0.2">
      <c r="A147" t="s">
        <v>124</v>
      </c>
      <c r="B147" t="s">
        <v>102</v>
      </c>
      <c r="C147">
        <v>38</v>
      </c>
      <c r="D147" t="s">
        <v>33</v>
      </c>
      <c r="E147" t="s">
        <v>52</v>
      </c>
      <c r="F147" t="s">
        <v>69</v>
      </c>
      <c r="G147">
        <v>24107</v>
      </c>
      <c r="H147">
        <v>1</v>
      </c>
      <c r="I147">
        <v>1</v>
      </c>
      <c r="J147">
        <v>1</v>
      </c>
      <c r="K147">
        <v>0</v>
      </c>
      <c r="L147" t="s">
        <v>35</v>
      </c>
      <c r="M147" t="s">
        <v>35</v>
      </c>
      <c r="N147" t="s">
        <v>35</v>
      </c>
      <c r="O147" t="s">
        <v>35</v>
      </c>
      <c r="P147" t="s">
        <v>35</v>
      </c>
      <c r="Q147" t="s">
        <v>35</v>
      </c>
      <c r="R147" t="s">
        <v>35</v>
      </c>
      <c r="S147">
        <v>1</v>
      </c>
      <c r="T147">
        <v>0</v>
      </c>
      <c r="U147">
        <v>0</v>
      </c>
      <c r="V147">
        <v>1</v>
      </c>
      <c r="W147">
        <v>0</v>
      </c>
      <c r="X147">
        <v>1</v>
      </c>
      <c r="Y147">
        <v>0</v>
      </c>
      <c r="Z147">
        <v>1</v>
      </c>
      <c r="AA147">
        <v>0</v>
      </c>
      <c r="AB147">
        <v>0</v>
      </c>
      <c r="AC147">
        <v>0</v>
      </c>
      <c r="AD147">
        <v>0</v>
      </c>
      <c r="AE147">
        <v>0</v>
      </c>
    </row>
    <row r="148" spans="1:31" x14ac:dyDescent="0.2">
      <c r="A148" t="s">
        <v>124</v>
      </c>
      <c r="B148" t="s">
        <v>102</v>
      </c>
      <c r="C148">
        <v>38</v>
      </c>
      <c r="D148" t="s">
        <v>33</v>
      </c>
      <c r="E148" t="s">
        <v>39</v>
      </c>
      <c r="F148" t="s">
        <v>54</v>
      </c>
      <c r="G148">
        <v>13939</v>
      </c>
      <c r="H148">
        <v>1</v>
      </c>
      <c r="I148">
        <v>0</v>
      </c>
      <c r="J148">
        <v>0</v>
      </c>
      <c r="K148">
        <v>0</v>
      </c>
      <c r="L148" t="s">
        <v>122</v>
      </c>
      <c r="M148" t="s">
        <v>57</v>
      </c>
      <c r="N148" t="s">
        <v>88</v>
      </c>
      <c r="O148" t="s">
        <v>68</v>
      </c>
      <c r="P148" t="s">
        <v>46</v>
      </c>
      <c r="Q148" t="s">
        <v>51</v>
      </c>
      <c r="R148">
        <v>1</v>
      </c>
      <c r="S148">
        <v>0</v>
      </c>
      <c r="T148">
        <v>1</v>
      </c>
      <c r="U148">
        <v>0</v>
      </c>
      <c r="V148">
        <v>0</v>
      </c>
      <c r="W148">
        <v>0</v>
      </c>
      <c r="X148">
        <v>1</v>
      </c>
      <c r="Y148">
        <v>1</v>
      </c>
      <c r="Z148">
        <v>0</v>
      </c>
      <c r="AA148">
        <v>0</v>
      </c>
      <c r="AB148">
        <v>0</v>
      </c>
      <c r="AC148">
        <v>0</v>
      </c>
      <c r="AD148">
        <v>0</v>
      </c>
      <c r="AE148">
        <v>0</v>
      </c>
    </row>
    <row r="149" spans="1:31" x14ac:dyDescent="0.2">
      <c r="A149" t="s">
        <v>124</v>
      </c>
      <c r="B149" t="s">
        <v>102</v>
      </c>
      <c r="C149">
        <v>38</v>
      </c>
      <c r="D149" t="s">
        <v>33</v>
      </c>
      <c r="E149" t="s">
        <v>39</v>
      </c>
      <c r="F149" t="s">
        <v>63</v>
      </c>
      <c r="G149">
        <v>15443</v>
      </c>
      <c r="H149">
        <v>1</v>
      </c>
      <c r="I149">
        <v>0</v>
      </c>
      <c r="J149">
        <v>0</v>
      </c>
      <c r="K149">
        <v>0</v>
      </c>
      <c r="L149" t="s">
        <v>90</v>
      </c>
      <c r="M149" t="s">
        <v>64</v>
      </c>
      <c r="N149" t="s">
        <v>85</v>
      </c>
      <c r="O149" t="s">
        <v>44</v>
      </c>
      <c r="P149" t="s">
        <v>67</v>
      </c>
      <c r="Q149" t="s">
        <v>51</v>
      </c>
      <c r="R149">
        <v>0</v>
      </c>
      <c r="S149">
        <v>1</v>
      </c>
      <c r="T149">
        <v>0</v>
      </c>
      <c r="U149">
        <v>1</v>
      </c>
      <c r="V149">
        <v>0</v>
      </c>
      <c r="W149">
        <v>0</v>
      </c>
      <c r="X149">
        <v>1</v>
      </c>
      <c r="Y149">
        <v>0</v>
      </c>
      <c r="Z149">
        <v>1</v>
      </c>
      <c r="AA149">
        <v>0</v>
      </c>
      <c r="AB149">
        <v>0</v>
      </c>
      <c r="AC149">
        <v>0</v>
      </c>
      <c r="AD149">
        <v>0</v>
      </c>
      <c r="AE149">
        <v>0</v>
      </c>
    </row>
    <row r="150" spans="1:31" x14ac:dyDescent="0.2">
      <c r="A150" t="s">
        <v>124</v>
      </c>
      <c r="B150" t="s">
        <v>102</v>
      </c>
      <c r="C150">
        <v>38</v>
      </c>
      <c r="D150" t="s">
        <v>33</v>
      </c>
      <c r="E150" t="s">
        <v>52</v>
      </c>
      <c r="F150" t="s">
        <v>58</v>
      </c>
      <c r="G150">
        <v>20191</v>
      </c>
      <c r="H150">
        <v>1</v>
      </c>
      <c r="I150">
        <v>0</v>
      </c>
      <c r="J150">
        <v>0</v>
      </c>
      <c r="K150">
        <v>0</v>
      </c>
      <c r="L150" t="s">
        <v>35</v>
      </c>
      <c r="M150" t="s">
        <v>35</v>
      </c>
      <c r="N150" t="s">
        <v>35</v>
      </c>
      <c r="O150" t="s">
        <v>35</v>
      </c>
      <c r="P150" t="s">
        <v>35</v>
      </c>
      <c r="Q150" t="s">
        <v>35</v>
      </c>
      <c r="R150" t="s">
        <v>35</v>
      </c>
      <c r="S150">
        <v>1</v>
      </c>
      <c r="T150">
        <v>0</v>
      </c>
      <c r="U150">
        <v>1</v>
      </c>
      <c r="V150">
        <v>0</v>
      </c>
      <c r="W150">
        <v>0</v>
      </c>
      <c r="X150">
        <v>1</v>
      </c>
      <c r="Y150">
        <v>0</v>
      </c>
      <c r="Z150">
        <v>1</v>
      </c>
      <c r="AA150">
        <v>0</v>
      </c>
      <c r="AB150">
        <v>0</v>
      </c>
      <c r="AC150">
        <v>0</v>
      </c>
      <c r="AD150">
        <v>0</v>
      </c>
      <c r="AE150">
        <v>0</v>
      </c>
    </row>
    <row r="151" spans="1:31" x14ac:dyDescent="0.2">
      <c r="A151" t="s">
        <v>124</v>
      </c>
      <c r="B151" t="s">
        <v>102</v>
      </c>
      <c r="C151">
        <v>38</v>
      </c>
      <c r="D151" t="s">
        <v>33</v>
      </c>
      <c r="E151" t="s">
        <v>39</v>
      </c>
      <c r="F151" t="s">
        <v>47</v>
      </c>
      <c r="G151">
        <v>7121</v>
      </c>
      <c r="H151">
        <v>1</v>
      </c>
      <c r="I151">
        <v>0</v>
      </c>
      <c r="J151">
        <v>0</v>
      </c>
      <c r="K151">
        <v>0</v>
      </c>
      <c r="L151" t="s">
        <v>49</v>
      </c>
      <c r="M151" t="s">
        <v>79</v>
      </c>
      <c r="N151" t="s">
        <v>50</v>
      </c>
      <c r="O151" t="s">
        <v>44</v>
      </c>
      <c r="P151" t="s">
        <v>45</v>
      </c>
      <c r="Q151" t="s">
        <v>51</v>
      </c>
      <c r="R151">
        <v>0</v>
      </c>
      <c r="S151">
        <v>1</v>
      </c>
      <c r="T151">
        <v>0</v>
      </c>
      <c r="U151">
        <v>0</v>
      </c>
      <c r="V151">
        <v>1</v>
      </c>
      <c r="W151">
        <v>0</v>
      </c>
      <c r="X151">
        <v>1</v>
      </c>
      <c r="Y151">
        <v>0</v>
      </c>
      <c r="Z151">
        <v>1</v>
      </c>
      <c r="AA151">
        <v>0</v>
      </c>
      <c r="AB151">
        <v>0</v>
      </c>
      <c r="AC151">
        <v>0</v>
      </c>
      <c r="AD151">
        <v>0</v>
      </c>
      <c r="AE151">
        <v>0</v>
      </c>
    </row>
    <row r="152" spans="1:31" x14ac:dyDescent="0.2">
      <c r="A152" t="s">
        <v>124</v>
      </c>
      <c r="B152" t="s">
        <v>102</v>
      </c>
      <c r="C152">
        <v>38</v>
      </c>
      <c r="D152" t="s">
        <v>33</v>
      </c>
      <c r="E152" t="s">
        <v>52</v>
      </c>
      <c r="F152" t="s">
        <v>74</v>
      </c>
      <c r="G152">
        <v>7587</v>
      </c>
      <c r="H152">
        <v>1</v>
      </c>
      <c r="I152">
        <v>0</v>
      </c>
      <c r="J152">
        <v>0</v>
      </c>
      <c r="K152">
        <v>0</v>
      </c>
      <c r="L152" t="s">
        <v>35</v>
      </c>
      <c r="M152" t="s">
        <v>35</v>
      </c>
      <c r="N152" t="s">
        <v>35</v>
      </c>
      <c r="O152" t="s">
        <v>35</v>
      </c>
      <c r="P152" t="s">
        <v>35</v>
      </c>
      <c r="Q152" t="s">
        <v>35</v>
      </c>
      <c r="R152" t="s">
        <v>35</v>
      </c>
      <c r="S152">
        <v>1</v>
      </c>
      <c r="T152">
        <v>0</v>
      </c>
      <c r="U152">
        <v>0</v>
      </c>
      <c r="V152">
        <v>1</v>
      </c>
      <c r="W152">
        <v>0</v>
      </c>
      <c r="X152">
        <v>1</v>
      </c>
      <c r="Y152">
        <v>0</v>
      </c>
      <c r="Z152">
        <v>1</v>
      </c>
      <c r="AA152">
        <v>0</v>
      </c>
      <c r="AB152">
        <v>0</v>
      </c>
      <c r="AC152">
        <v>0</v>
      </c>
      <c r="AD152">
        <v>0</v>
      </c>
      <c r="AE152">
        <v>0</v>
      </c>
    </row>
    <row r="153" spans="1:31" x14ac:dyDescent="0.2">
      <c r="A153" t="s">
        <v>124</v>
      </c>
      <c r="B153" t="s">
        <v>102</v>
      </c>
      <c r="C153">
        <v>38</v>
      </c>
      <c r="D153" t="s">
        <v>33</v>
      </c>
      <c r="E153" t="s">
        <v>39</v>
      </c>
      <c r="F153" t="s">
        <v>40</v>
      </c>
      <c r="G153">
        <v>9974</v>
      </c>
      <c r="H153">
        <v>0</v>
      </c>
      <c r="I153">
        <v>1</v>
      </c>
      <c r="J153">
        <v>0</v>
      </c>
      <c r="K153">
        <v>0</v>
      </c>
      <c r="L153" t="s">
        <v>43</v>
      </c>
      <c r="M153" t="s">
        <v>81</v>
      </c>
      <c r="N153" t="s">
        <v>82</v>
      </c>
      <c r="O153" t="s">
        <v>46</v>
      </c>
      <c r="P153" t="s">
        <v>67</v>
      </c>
      <c r="Q153" t="s">
        <v>68</v>
      </c>
      <c r="R153">
        <v>1</v>
      </c>
      <c r="S153">
        <v>0</v>
      </c>
      <c r="T153">
        <v>1</v>
      </c>
      <c r="U153">
        <v>1</v>
      </c>
      <c r="V153">
        <v>0</v>
      </c>
      <c r="W153">
        <v>0</v>
      </c>
      <c r="X153">
        <v>1</v>
      </c>
      <c r="Y153">
        <v>0</v>
      </c>
      <c r="Z153">
        <v>0</v>
      </c>
      <c r="AA153">
        <v>0</v>
      </c>
      <c r="AB153">
        <v>1</v>
      </c>
      <c r="AC153">
        <v>0</v>
      </c>
      <c r="AD153">
        <v>0</v>
      </c>
      <c r="AE153">
        <v>0</v>
      </c>
    </row>
    <row r="154" spans="1:31" x14ac:dyDescent="0.2">
      <c r="A154" t="s">
        <v>124</v>
      </c>
      <c r="B154" t="s">
        <v>102</v>
      </c>
      <c r="C154">
        <v>38</v>
      </c>
      <c r="D154" t="s">
        <v>33</v>
      </c>
      <c r="E154" t="s">
        <v>52</v>
      </c>
      <c r="F154" t="s">
        <v>53</v>
      </c>
      <c r="G154">
        <v>31465</v>
      </c>
      <c r="H154">
        <v>0</v>
      </c>
      <c r="I154">
        <v>0</v>
      </c>
      <c r="J154">
        <v>1</v>
      </c>
      <c r="K154">
        <v>0</v>
      </c>
      <c r="L154" t="s">
        <v>35</v>
      </c>
      <c r="M154" t="s">
        <v>35</v>
      </c>
      <c r="N154" t="s">
        <v>35</v>
      </c>
      <c r="O154" t="s">
        <v>35</v>
      </c>
      <c r="P154" t="s">
        <v>35</v>
      </c>
      <c r="Q154" t="s">
        <v>35</v>
      </c>
      <c r="R154" t="s">
        <v>35</v>
      </c>
      <c r="S154">
        <v>0</v>
      </c>
      <c r="T154">
        <v>1</v>
      </c>
      <c r="U154">
        <v>1</v>
      </c>
      <c r="V154">
        <v>0</v>
      </c>
      <c r="W154">
        <v>0</v>
      </c>
      <c r="X154">
        <v>1</v>
      </c>
      <c r="Y154">
        <v>0</v>
      </c>
      <c r="Z154">
        <v>0</v>
      </c>
      <c r="AA154">
        <v>0</v>
      </c>
      <c r="AB154">
        <v>1</v>
      </c>
      <c r="AC154">
        <v>0</v>
      </c>
      <c r="AD154">
        <v>0</v>
      </c>
      <c r="AE154">
        <v>0</v>
      </c>
    </row>
    <row r="155" spans="1:31" x14ac:dyDescent="0.2">
      <c r="A155" t="s">
        <v>124</v>
      </c>
      <c r="B155" t="s">
        <v>102</v>
      </c>
      <c r="C155">
        <v>38</v>
      </c>
      <c r="D155" t="s">
        <v>33</v>
      </c>
      <c r="E155" t="s">
        <v>75</v>
      </c>
      <c r="F155" t="s">
        <v>35</v>
      </c>
      <c r="G155">
        <v>53222</v>
      </c>
      <c r="H155" t="s">
        <v>125</v>
      </c>
      <c r="I155" t="s">
        <v>126</v>
      </c>
      <c r="J155" t="s">
        <v>127</v>
      </c>
      <c r="K155" t="s">
        <v>35</v>
      </c>
      <c r="L155" t="s">
        <v>35</v>
      </c>
      <c r="M155" t="s">
        <v>35</v>
      </c>
      <c r="N155" t="s">
        <v>35</v>
      </c>
      <c r="O155" t="s">
        <v>35</v>
      </c>
      <c r="P155" t="s">
        <v>35</v>
      </c>
      <c r="Q155" t="s">
        <v>35</v>
      </c>
      <c r="R155" t="s">
        <v>35</v>
      </c>
      <c r="S155" t="s">
        <v>35</v>
      </c>
      <c r="T155" t="s">
        <v>35</v>
      </c>
      <c r="U155" t="s">
        <v>35</v>
      </c>
      <c r="V155" t="s">
        <v>35</v>
      </c>
      <c r="W155" t="s">
        <v>35</v>
      </c>
      <c r="X155" t="s">
        <v>35</v>
      </c>
      <c r="Y155" t="s">
        <v>35</v>
      </c>
      <c r="Z155" t="s">
        <v>35</v>
      </c>
      <c r="AA155" t="s">
        <v>35</v>
      </c>
      <c r="AB155" t="s">
        <v>35</v>
      </c>
      <c r="AC155" t="s">
        <v>35</v>
      </c>
      <c r="AD155" t="s">
        <v>35</v>
      </c>
      <c r="AE155" t="s">
        <v>35</v>
      </c>
    </row>
    <row r="156" spans="1:31" x14ac:dyDescent="0.2">
      <c r="A156" t="s">
        <v>128</v>
      </c>
      <c r="B156" t="s">
        <v>102</v>
      </c>
      <c r="C156">
        <v>34</v>
      </c>
      <c r="D156" t="s">
        <v>78</v>
      </c>
      <c r="E156" t="s">
        <v>34</v>
      </c>
      <c r="F156" t="s">
        <v>35</v>
      </c>
      <c r="G156">
        <v>41492</v>
      </c>
      <c r="H156" t="s">
        <v>35</v>
      </c>
      <c r="I156" t="s">
        <v>35</v>
      </c>
      <c r="J156" t="s">
        <v>35</v>
      </c>
      <c r="K156" t="s">
        <v>35</v>
      </c>
      <c r="L156" t="s">
        <v>35</v>
      </c>
      <c r="M156" t="s">
        <v>35</v>
      </c>
      <c r="N156" t="s">
        <v>35</v>
      </c>
      <c r="O156" t="s">
        <v>35</v>
      </c>
      <c r="P156" t="s">
        <v>35</v>
      </c>
      <c r="Q156" t="s">
        <v>35</v>
      </c>
      <c r="R156" t="s">
        <v>35</v>
      </c>
      <c r="S156" t="s">
        <v>35</v>
      </c>
      <c r="T156" t="s">
        <v>35</v>
      </c>
      <c r="U156" t="s">
        <v>35</v>
      </c>
      <c r="V156" t="s">
        <v>35</v>
      </c>
      <c r="W156" t="s">
        <v>35</v>
      </c>
      <c r="X156" t="s">
        <v>35</v>
      </c>
      <c r="Y156" t="s">
        <v>35</v>
      </c>
      <c r="Z156" t="s">
        <v>35</v>
      </c>
      <c r="AA156" t="s">
        <v>35</v>
      </c>
      <c r="AB156" t="s">
        <v>35</v>
      </c>
      <c r="AC156" t="s">
        <v>35</v>
      </c>
      <c r="AD156" t="s">
        <v>35</v>
      </c>
      <c r="AE156" t="s">
        <v>35</v>
      </c>
    </row>
    <row r="157" spans="1:31" x14ac:dyDescent="0.2">
      <c r="A157" t="s">
        <v>128</v>
      </c>
      <c r="B157" t="s">
        <v>102</v>
      </c>
      <c r="C157">
        <v>34</v>
      </c>
      <c r="D157" t="s">
        <v>78</v>
      </c>
      <c r="E157" t="s">
        <v>36</v>
      </c>
      <c r="F157" t="s">
        <v>37</v>
      </c>
      <c r="G157">
        <v>30787</v>
      </c>
      <c r="H157">
        <v>0</v>
      </c>
      <c r="I157">
        <v>1</v>
      </c>
      <c r="J157">
        <v>0</v>
      </c>
      <c r="K157">
        <v>0</v>
      </c>
      <c r="L157" t="s">
        <v>35</v>
      </c>
      <c r="M157" t="s">
        <v>35</v>
      </c>
      <c r="N157" t="s">
        <v>35</v>
      </c>
      <c r="O157" t="s">
        <v>35</v>
      </c>
      <c r="P157" t="s">
        <v>35</v>
      </c>
      <c r="Q157" t="s">
        <v>35</v>
      </c>
      <c r="R157" t="s">
        <v>35</v>
      </c>
      <c r="S157" t="s">
        <v>35</v>
      </c>
      <c r="T157" t="s">
        <v>35</v>
      </c>
      <c r="U157" t="s">
        <v>35</v>
      </c>
      <c r="V157" t="s">
        <v>35</v>
      </c>
      <c r="W157" t="s">
        <v>35</v>
      </c>
      <c r="X157" t="s">
        <v>35</v>
      </c>
      <c r="Y157" t="s">
        <v>35</v>
      </c>
      <c r="Z157" t="s">
        <v>35</v>
      </c>
      <c r="AA157" t="s">
        <v>35</v>
      </c>
      <c r="AB157" t="s">
        <v>35</v>
      </c>
      <c r="AC157" t="s">
        <v>35</v>
      </c>
      <c r="AD157" t="s">
        <v>35</v>
      </c>
      <c r="AE157" t="s">
        <v>35</v>
      </c>
    </row>
    <row r="158" spans="1:31" x14ac:dyDescent="0.2">
      <c r="A158" t="s">
        <v>128</v>
      </c>
      <c r="B158" t="s">
        <v>102</v>
      </c>
      <c r="C158">
        <v>34</v>
      </c>
      <c r="D158" t="s">
        <v>78</v>
      </c>
      <c r="E158" t="s">
        <v>36</v>
      </c>
      <c r="F158" t="s">
        <v>38</v>
      </c>
      <c r="G158">
        <v>40157</v>
      </c>
      <c r="H158">
        <v>0</v>
      </c>
      <c r="I158">
        <v>0</v>
      </c>
      <c r="J158">
        <v>0</v>
      </c>
      <c r="K158">
        <v>1</v>
      </c>
      <c r="L158" t="s">
        <v>35</v>
      </c>
      <c r="M158" t="s">
        <v>35</v>
      </c>
      <c r="N158" t="s">
        <v>35</v>
      </c>
      <c r="O158" t="s">
        <v>35</v>
      </c>
      <c r="P158" t="s">
        <v>35</v>
      </c>
      <c r="Q158" t="s">
        <v>35</v>
      </c>
      <c r="R158" t="s">
        <v>35</v>
      </c>
      <c r="S158" t="s">
        <v>35</v>
      </c>
      <c r="T158" t="s">
        <v>35</v>
      </c>
      <c r="U158" t="s">
        <v>35</v>
      </c>
      <c r="V158" t="s">
        <v>35</v>
      </c>
      <c r="W158" t="s">
        <v>35</v>
      </c>
      <c r="X158" t="s">
        <v>35</v>
      </c>
      <c r="Y158" t="s">
        <v>35</v>
      </c>
      <c r="Z158" t="s">
        <v>35</v>
      </c>
      <c r="AA158" t="s">
        <v>35</v>
      </c>
      <c r="AB158" t="s">
        <v>35</v>
      </c>
      <c r="AC158" t="s">
        <v>35</v>
      </c>
      <c r="AD158" t="s">
        <v>35</v>
      </c>
      <c r="AE158" t="s">
        <v>35</v>
      </c>
    </row>
    <row r="159" spans="1:31" x14ac:dyDescent="0.2">
      <c r="A159" t="s">
        <v>128</v>
      </c>
      <c r="B159" t="s">
        <v>102</v>
      </c>
      <c r="C159">
        <v>34</v>
      </c>
      <c r="D159" t="s">
        <v>78</v>
      </c>
      <c r="E159" t="s">
        <v>39</v>
      </c>
      <c r="F159" t="s">
        <v>70</v>
      </c>
      <c r="G159">
        <v>64706</v>
      </c>
      <c r="H159">
        <v>1</v>
      </c>
      <c r="I159">
        <v>0</v>
      </c>
      <c r="J159">
        <v>0</v>
      </c>
      <c r="K159">
        <v>0</v>
      </c>
      <c r="L159" t="s">
        <v>72</v>
      </c>
      <c r="M159" t="s">
        <v>86</v>
      </c>
      <c r="N159" t="s">
        <v>71</v>
      </c>
      <c r="O159" t="s">
        <v>67</v>
      </c>
      <c r="P159" t="s">
        <v>46</v>
      </c>
      <c r="Q159" t="s">
        <v>45</v>
      </c>
      <c r="R159">
        <v>0</v>
      </c>
      <c r="S159">
        <v>0</v>
      </c>
      <c r="T159">
        <v>1</v>
      </c>
      <c r="U159">
        <v>1</v>
      </c>
      <c r="V159">
        <v>1</v>
      </c>
      <c r="W159">
        <v>0</v>
      </c>
      <c r="X159">
        <v>1</v>
      </c>
      <c r="Y159">
        <v>0</v>
      </c>
      <c r="Z159">
        <v>0</v>
      </c>
      <c r="AA159">
        <v>0</v>
      </c>
      <c r="AB159">
        <v>1</v>
      </c>
      <c r="AC159">
        <v>0</v>
      </c>
      <c r="AD159">
        <v>0</v>
      </c>
      <c r="AE159">
        <v>0</v>
      </c>
    </row>
    <row r="160" spans="1:31" x14ac:dyDescent="0.2">
      <c r="A160" t="s">
        <v>128</v>
      </c>
      <c r="B160" t="s">
        <v>102</v>
      </c>
      <c r="C160">
        <v>34</v>
      </c>
      <c r="D160" t="s">
        <v>78</v>
      </c>
      <c r="E160" t="s">
        <v>39</v>
      </c>
      <c r="F160" t="s">
        <v>40</v>
      </c>
      <c r="G160">
        <v>33536</v>
      </c>
      <c r="H160">
        <v>1</v>
      </c>
      <c r="I160">
        <v>0</v>
      </c>
      <c r="J160">
        <v>0</v>
      </c>
      <c r="K160">
        <v>0</v>
      </c>
      <c r="L160" t="s">
        <v>81</v>
      </c>
      <c r="M160" t="s">
        <v>91</v>
      </c>
      <c r="N160" t="s">
        <v>82</v>
      </c>
      <c r="O160" t="s">
        <v>67</v>
      </c>
      <c r="P160" t="s">
        <v>51</v>
      </c>
      <c r="Q160" t="s">
        <v>68</v>
      </c>
      <c r="R160">
        <v>1</v>
      </c>
      <c r="S160">
        <v>0</v>
      </c>
      <c r="T160">
        <v>0</v>
      </c>
      <c r="U160">
        <v>1</v>
      </c>
      <c r="V160">
        <v>0</v>
      </c>
      <c r="W160">
        <v>0</v>
      </c>
      <c r="X160">
        <v>1</v>
      </c>
      <c r="Y160">
        <v>0</v>
      </c>
      <c r="Z160">
        <v>0</v>
      </c>
      <c r="AA160">
        <v>0</v>
      </c>
      <c r="AB160">
        <v>1</v>
      </c>
      <c r="AC160">
        <v>0</v>
      </c>
      <c r="AD160">
        <v>0</v>
      </c>
      <c r="AE160">
        <v>0</v>
      </c>
    </row>
    <row r="161" spans="1:31" x14ac:dyDescent="0.2">
      <c r="A161" t="s">
        <v>128</v>
      </c>
      <c r="B161" t="s">
        <v>102</v>
      </c>
      <c r="C161">
        <v>34</v>
      </c>
      <c r="D161" t="s">
        <v>78</v>
      </c>
      <c r="E161" t="s">
        <v>52</v>
      </c>
      <c r="F161" t="s">
        <v>58</v>
      </c>
      <c r="G161">
        <v>24101</v>
      </c>
      <c r="H161">
        <v>1</v>
      </c>
      <c r="I161">
        <v>0</v>
      </c>
      <c r="J161">
        <v>0</v>
      </c>
      <c r="K161">
        <v>0</v>
      </c>
      <c r="L161" t="s">
        <v>35</v>
      </c>
      <c r="M161" t="s">
        <v>35</v>
      </c>
      <c r="N161" t="s">
        <v>35</v>
      </c>
      <c r="O161" t="s">
        <v>35</v>
      </c>
      <c r="P161" t="s">
        <v>35</v>
      </c>
      <c r="Q161" t="s">
        <v>35</v>
      </c>
      <c r="R161" t="s">
        <v>35</v>
      </c>
      <c r="S161">
        <v>0</v>
      </c>
      <c r="T161">
        <v>0</v>
      </c>
      <c r="U161">
        <v>1</v>
      </c>
      <c r="V161">
        <v>0</v>
      </c>
      <c r="W161">
        <v>0</v>
      </c>
      <c r="X161">
        <v>1</v>
      </c>
      <c r="Y161">
        <v>0</v>
      </c>
      <c r="Z161">
        <v>0</v>
      </c>
      <c r="AA161">
        <v>0</v>
      </c>
      <c r="AB161">
        <v>1</v>
      </c>
      <c r="AC161">
        <v>0</v>
      </c>
      <c r="AD161">
        <v>0</v>
      </c>
      <c r="AE161">
        <v>0</v>
      </c>
    </row>
    <row r="162" spans="1:31" x14ac:dyDescent="0.2">
      <c r="A162" t="s">
        <v>128</v>
      </c>
      <c r="B162" t="s">
        <v>102</v>
      </c>
      <c r="C162">
        <v>34</v>
      </c>
      <c r="D162" t="s">
        <v>78</v>
      </c>
      <c r="E162" t="s">
        <v>39</v>
      </c>
      <c r="F162" t="s">
        <v>63</v>
      </c>
      <c r="G162">
        <v>25074</v>
      </c>
      <c r="H162">
        <v>1</v>
      </c>
      <c r="I162">
        <v>0</v>
      </c>
      <c r="J162">
        <v>0</v>
      </c>
      <c r="K162">
        <v>0</v>
      </c>
      <c r="L162" t="s">
        <v>90</v>
      </c>
      <c r="M162" t="s">
        <v>84</v>
      </c>
      <c r="N162" t="s">
        <v>66</v>
      </c>
      <c r="O162" t="s">
        <v>44</v>
      </c>
      <c r="P162" t="s">
        <v>46</v>
      </c>
      <c r="Q162" t="s">
        <v>45</v>
      </c>
      <c r="R162">
        <v>0</v>
      </c>
      <c r="S162">
        <v>1</v>
      </c>
      <c r="T162">
        <v>1</v>
      </c>
      <c r="U162">
        <v>0</v>
      </c>
      <c r="V162">
        <v>1</v>
      </c>
      <c r="W162">
        <v>0</v>
      </c>
      <c r="X162">
        <v>1</v>
      </c>
      <c r="Y162">
        <v>0</v>
      </c>
      <c r="Z162">
        <v>1</v>
      </c>
      <c r="AA162">
        <v>0</v>
      </c>
      <c r="AB162">
        <v>0</v>
      </c>
      <c r="AC162">
        <v>0</v>
      </c>
      <c r="AD162">
        <v>0</v>
      </c>
      <c r="AE162">
        <v>0</v>
      </c>
    </row>
    <row r="163" spans="1:31" x14ac:dyDescent="0.2">
      <c r="A163" t="s">
        <v>128</v>
      </c>
      <c r="B163" t="s">
        <v>102</v>
      </c>
      <c r="C163">
        <v>34</v>
      </c>
      <c r="D163" t="s">
        <v>78</v>
      </c>
      <c r="E163" t="s">
        <v>52</v>
      </c>
      <c r="F163" t="s">
        <v>53</v>
      </c>
      <c r="G163">
        <v>53100</v>
      </c>
      <c r="H163">
        <v>0</v>
      </c>
      <c r="I163">
        <v>1</v>
      </c>
      <c r="J163">
        <v>1</v>
      </c>
      <c r="K163">
        <v>0</v>
      </c>
      <c r="L163" t="s">
        <v>35</v>
      </c>
      <c r="M163" t="s">
        <v>35</v>
      </c>
      <c r="N163" t="s">
        <v>35</v>
      </c>
      <c r="O163" t="s">
        <v>35</v>
      </c>
      <c r="P163" t="s">
        <v>35</v>
      </c>
      <c r="Q163" t="s">
        <v>35</v>
      </c>
      <c r="R163" t="s">
        <v>35</v>
      </c>
      <c r="S163">
        <v>1</v>
      </c>
      <c r="T163">
        <v>1</v>
      </c>
      <c r="U163">
        <v>0</v>
      </c>
      <c r="V163">
        <v>1</v>
      </c>
      <c r="W163">
        <v>0</v>
      </c>
      <c r="X163">
        <v>1</v>
      </c>
      <c r="Y163">
        <v>0</v>
      </c>
      <c r="Z163">
        <v>1</v>
      </c>
      <c r="AA163">
        <v>0</v>
      </c>
      <c r="AB163">
        <v>0</v>
      </c>
      <c r="AC163">
        <v>0</v>
      </c>
      <c r="AD163">
        <v>0</v>
      </c>
      <c r="AE163">
        <v>0</v>
      </c>
    </row>
    <row r="164" spans="1:31" x14ac:dyDescent="0.2">
      <c r="A164" t="s">
        <v>128</v>
      </c>
      <c r="B164" t="s">
        <v>102</v>
      </c>
      <c r="C164">
        <v>34</v>
      </c>
      <c r="D164" t="s">
        <v>78</v>
      </c>
      <c r="E164" t="s">
        <v>39</v>
      </c>
      <c r="F164" t="s">
        <v>54</v>
      </c>
      <c r="G164">
        <v>22202</v>
      </c>
      <c r="H164">
        <v>0</v>
      </c>
      <c r="I164">
        <v>0</v>
      </c>
      <c r="J164">
        <v>1</v>
      </c>
      <c r="K164">
        <v>0</v>
      </c>
      <c r="L164" t="s">
        <v>57</v>
      </c>
      <c r="M164" t="s">
        <v>56</v>
      </c>
      <c r="N164" t="s">
        <v>55</v>
      </c>
      <c r="O164" t="s">
        <v>46</v>
      </c>
      <c r="P164" t="s">
        <v>45</v>
      </c>
      <c r="Q164" t="s">
        <v>44</v>
      </c>
      <c r="R164">
        <v>0</v>
      </c>
      <c r="S164">
        <v>1</v>
      </c>
      <c r="T164">
        <v>1</v>
      </c>
      <c r="U164">
        <v>0</v>
      </c>
      <c r="V164">
        <v>1</v>
      </c>
      <c r="W164">
        <v>0</v>
      </c>
      <c r="X164">
        <v>1</v>
      </c>
      <c r="Y164">
        <v>0</v>
      </c>
      <c r="Z164">
        <v>1</v>
      </c>
      <c r="AA164">
        <v>0</v>
      </c>
      <c r="AB164">
        <v>0</v>
      </c>
      <c r="AC164">
        <v>0</v>
      </c>
      <c r="AD164">
        <v>0</v>
      </c>
      <c r="AE164">
        <v>0</v>
      </c>
    </row>
    <row r="165" spans="1:31" x14ac:dyDescent="0.2">
      <c r="A165" t="s">
        <v>128</v>
      </c>
      <c r="B165" t="s">
        <v>102</v>
      </c>
      <c r="C165">
        <v>34</v>
      </c>
      <c r="D165" t="s">
        <v>78</v>
      </c>
      <c r="E165" t="s">
        <v>39</v>
      </c>
      <c r="F165" t="s">
        <v>59</v>
      </c>
      <c r="G165">
        <v>14873</v>
      </c>
      <c r="H165">
        <v>0</v>
      </c>
      <c r="I165">
        <v>1</v>
      </c>
      <c r="J165">
        <v>0</v>
      </c>
      <c r="K165">
        <v>0</v>
      </c>
      <c r="L165" t="s">
        <v>61</v>
      </c>
      <c r="M165" t="s">
        <v>94</v>
      </c>
      <c r="N165" t="s">
        <v>83</v>
      </c>
      <c r="O165" t="s">
        <v>46</v>
      </c>
      <c r="P165" t="s">
        <v>68</v>
      </c>
      <c r="Q165" t="s">
        <v>51</v>
      </c>
      <c r="R165">
        <v>1</v>
      </c>
      <c r="S165">
        <v>0</v>
      </c>
      <c r="T165">
        <v>1</v>
      </c>
      <c r="U165">
        <v>0</v>
      </c>
      <c r="V165">
        <v>0</v>
      </c>
      <c r="W165">
        <v>0</v>
      </c>
      <c r="X165">
        <v>1</v>
      </c>
      <c r="Y165">
        <v>1</v>
      </c>
      <c r="Z165">
        <v>0</v>
      </c>
      <c r="AA165">
        <v>0</v>
      </c>
      <c r="AB165">
        <v>0</v>
      </c>
      <c r="AC165">
        <v>0</v>
      </c>
      <c r="AD165">
        <v>0</v>
      </c>
      <c r="AE165">
        <v>0</v>
      </c>
    </row>
    <row r="166" spans="1:31" x14ac:dyDescent="0.2">
      <c r="A166" t="s">
        <v>128</v>
      </c>
      <c r="B166" t="s">
        <v>102</v>
      </c>
      <c r="C166">
        <v>34</v>
      </c>
      <c r="D166" t="s">
        <v>78</v>
      </c>
      <c r="E166" t="s">
        <v>52</v>
      </c>
      <c r="F166" t="s">
        <v>74</v>
      </c>
      <c r="G166">
        <v>15509</v>
      </c>
      <c r="H166">
        <v>1</v>
      </c>
      <c r="I166">
        <v>0</v>
      </c>
      <c r="J166">
        <v>0</v>
      </c>
      <c r="K166">
        <v>0</v>
      </c>
      <c r="L166" t="s">
        <v>35</v>
      </c>
      <c r="M166" t="s">
        <v>35</v>
      </c>
      <c r="N166" t="s">
        <v>35</v>
      </c>
      <c r="O166" t="s">
        <v>35</v>
      </c>
      <c r="P166" t="s">
        <v>35</v>
      </c>
      <c r="Q166" t="s">
        <v>35</v>
      </c>
      <c r="R166" t="s">
        <v>35</v>
      </c>
      <c r="S166">
        <v>0</v>
      </c>
      <c r="T166">
        <v>1</v>
      </c>
      <c r="U166">
        <v>0</v>
      </c>
      <c r="V166">
        <v>0</v>
      </c>
      <c r="W166">
        <v>0</v>
      </c>
      <c r="X166">
        <v>1</v>
      </c>
      <c r="Y166">
        <v>1</v>
      </c>
      <c r="Z166">
        <v>0</v>
      </c>
      <c r="AA166">
        <v>0</v>
      </c>
      <c r="AB166">
        <v>0</v>
      </c>
      <c r="AC166">
        <v>0</v>
      </c>
      <c r="AD166">
        <v>0</v>
      </c>
      <c r="AE166">
        <v>0</v>
      </c>
    </row>
    <row r="167" spans="1:31" x14ac:dyDescent="0.2">
      <c r="A167" t="s">
        <v>128</v>
      </c>
      <c r="B167" t="s">
        <v>102</v>
      </c>
      <c r="C167">
        <v>34</v>
      </c>
      <c r="D167" t="s">
        <v>78</v>
      </c>
      <c r="E167" t="s">
        <v>39</v>
      </c>
      <c r="F167" t="s">
        <v>47</v>
      </c>
      <c r="G167">
        <v>13567</v>
      </c>
      <c r="H167">
        <v>1</v>
      </c>
      <c r="I167">
        <v>0</v>
      </c>
      <c r="J167">
        <v>0</v>
      </c>
      <c r="K167">
        <v>0</v>
      </c>
      <c r="L167" t="s">
        <v>49</v>
      </c>
      <c r="M167" t="s">
        <v>80</v>
      </c>
      <c r="N167" t="s">
        <v>79</v>
      </c>
      <c r="O167" t="s">
        <v>44</v>
      </c>
      <c r="P167" t="s">
        <v>67</v>
      </c>
      <c r="Q167" t="s">
        <v>45</v>
      </c>
      <c r="R167">
        <v>0</v>
      </c>
      <c r="S167">
        <v>1</v>
      </c>
      <c r="T167">
        <v>0</v>
      </c>
      <c r="U167">
        <v>1</v>
      </c>
      <c r="V167">
        <v>1</v>
      </c>
      <c r="W167">
        <v>0</v>
      </c>
      <c r="X167">
        <v>1</v>
      </c>
      <c r="Y167">
        <v>0</v>
      </c>
      <c r="Z167">
        <v>1</v>
      </c>
      <c r="AA167">
        <v>0</v>
      </c>
      <c r="AB167">
        <v>0</v>
      </c>
      <c r="AC167">
        <v>0</v>
      </c>
      <c r="AD167">
        <v>0</v>
      </c>
      <c r="AE167">
        <v>0</v>
      </c>
    </row>
    <row r="168" spans="1:31" x14ac:dyDescent="0.2">
      <c r="A168" t="s">
        <v>128</v>
      </c>
      <c r="B168" t="s">
        <v>102</v>
      </c>
      <c r="C168">
        <v>34</v>
      </c>
      <c r="D168" t="s">
        <v>78</v>
      </c>
      <c r="E168" t="s">
        <v>52</v>
      </c>
      <c r="F168" t="s">
        <v>69</v>
      </c>
      <c r="G168">
        <v>21468</v>
      </c>
      <c r="H168">
        <v>1</v>
      </c>
      <c r="I168">
        <v>0</v>
      </c>
      <c r="J168">
        <v>1</v>
      </c>
      <c r="K168">
        <v>0</v>
      </c>
      <c r="L168" t="s">
        <v>35</v>
      </c>
      <c r="M168" t="s">
        <v>35</v>
      </c>
      <c r="N168" t="s">
        <v>35</v>
      </c>
      <c r="O168" t="s">
        <v>35</v>
      </c>
      <c r="P168" t="s">
        <v>35</v>
      </c>
      <c r="Q168" t="s">
        <v>35</v>
      </c>
      <c r="R168" t="s">
        <v>35</v>
      </c>
      <c r="S168">
        <v>1</v>
      </c>
      <c r="T168">
        <v>0</v>
      </c>
      <c r="U168">
        <v>1</v>
      </c>
      <c r="V168">
        <v>1</v>
      </c>
      <c r="W168">
        <v>0</v>
      </c>
      <c r="X168">
        <v>1</v>
      </c>
      <c r="Y168">
        <v>0</v>
      </c>
      <c r="Z168">
        <v>1</v>
      </c>
      <c r="AA168">
        <v>0</v>
      </c>
      <c r="AB168">
        <v>0</v>
      </c>
      <c r="AC168">
        <v>0</v>
      </c>
      <c r="AD168">
        <v>0</v>
      </c>
      <c r="AE168">
        <v>0</v>
      </c>
    </row>
    <row r="169" spans="1:31" x14ac:dyDescent="0.2">
      <c r="A169" t="s">
        <v>128</v>
      </c>
      <c r="B169" t="s">
        <v>102</v>
      </c>
      <c r="C169">
        <v>34</v>
      </c>
      <c r="D169" t="s">
        <v>78</v>
      </c>
      <c r="E169" t="s">
        <v>75</v>
      </c>
      <c r="F169" t="s">
        <v>35</v>
      </c>
      <c r="G169">
        <v>50414</v>
      </c>
      <c r="H169" t="s">
        <v>129</v>
      </c>
      <c r="I169" t="s">
        <v>130</v>
      </c>
      <c r="J169" t="s">
        <v>131</v>
      </c>
      <c r="K169" t="s">
        <v>35</v>
      </c>
      <c r="L169" t="s">
        <v>35</v>
      </c>
      <c r="M169" t="s">
        <v>35</v>
      </c>
      <c r="N169" t="s">
        <v>35</v>
      </c>
      <c r="O169" t="s">
        <v>35</v>
      </c>
      <c r="P169" t="s">
        <v>35</v>
      </c>
      <c r="Q169" t="s">
        <v>35</v>
      </c>
      <c r="R169" t="s">
        <v>35</v>
      </c>
      <c r="S169" t="s">
        <v>35</v>
      </c>
      <c r="T169" t="s">
        <v>35</v>
      </c>
      <c r="U169" t="s">
        <v>35</v>
      </c>
      <c r="V169" t="s">
        <v>35</v>
      </c>
      <c r="W169" t="s">
        <v>35</v>
      </c>
      <c r="X169" t="s">
        <v>35</v>
      </c>
      <c r="Y169" t="s">
        <v>35</v>
      </c>
      <c r="Z169" t="s">
        <v>35</v>
      </c>
      <c r="AA169" t="s">
        <v>35</v>
      </c>
      <c r="AB169" t="s">
        <v>35</v>
      </c>
      <c r="AC169" t="s">
        <v>35</v>
      </c>
      <c r="AD169" t="s">
        <v>35</v>
      </c>
      <c r="AE169" t="s">
        <v>35</v>
      </c>
    </row>
    <row r="170" spans="1:31" x14ac:dyDescent="0.2">
      <c r="A170" t="s">
        <v>132</v>
      </c>
      <c r="B170" t="s">
        <v>107</v>
      </c>
      <c r="C170">
        <v>33</v>
      </c>
      <c r="D170" t="s">
        <v>78</v>
      </c>
      <c r="E170" t="s">
        <v>34</v>
      </c>
      <c r="F170" t="s">
        <v>35</v>
      </c>
      <c r="G170">
        <v>10542</v>
      </c>
      <c r="H170" t="s">
        <v>35</v>
      </c>
      <c r="I170" t="s">
        <v>35</v>
      </c>
      <c r="J170" t="s">
        <v>35</v>
      </c>
      <c r="K170" t="s">
        <v>35</v>
      </c>
      <c r="L170" t="s">
        <v>35</v>
      </c>
      <c r="M170" t="s">
        <v>35</v>
      </c>
      <c r="N170" t="s">
        <v>35</v>
      </c>
      <c r="O170" t="s">
        <v>35</v>
      </c>
      <c r="P170" t="s">
        <v>35</v>
      </c>
      <c r="Q170" t="s">
        <v>35</v>
      </c>
      <c r="R170" t="s">
        <v>35</v>
      </c>
      <c r="S170" t="s">
        <v>35</v>
      </c>
      <c r="T170" t="s">
        <v>35</v>
      </c>
      <c r="U170" t="s">
        <v>35</v>
      </c>
      <c r="V170" t="s">
        <v>35</v>
      </c>
      <c r="W170" t="s">
        <v>35</v>
      </c>
      <c r="X170" t="s">
        <v>35</v>
      </c>
      <c r="Y170" t="s">
        <v>35</v>
      </c>
      <c r="Z170" t="s">
        <v>35</v>
      </c>
      <c r="AA170" t="s">
        <v>35</v>
      </c>
      <c r="AB170" t="s">
        <v>35</v>
      </c>
      <c r="AC170" t="s">
        <v>35</v>
      </c>
      <c r="AD170" t="s">
        <v>35</v>
      </c>
      <c r="AE170" t="s">
        <v>35</v>
      </c>
    </row>
    <row r="171" spans="1:31" x14ac:dyDescent="0.2">
      <c r="A171" t="s">
        <v>132</v>
      </c>
      <c r="B171" t="s">
        <v>107</v>
      </c>
      <c r="C171">
        <v>33</v>
      </c>
      <c r="D171" t="s">
        <v>78</v>
      </c>
      <c r="E171" t="s">
        <v>36</v>
      </c>
      <c r="F171" t="s">
        <v>38</v>
      </c>
      <c r="G171">
        <v>23362</v>
      </c>
      <c r="H171">
        <v>0</v>
      </c>
      <c r="I171">
        <v>0</v>
      </c>
      <c r="J171">
        <v>0</v>
      </c>
      <c r="K171">
        <v>1</v>
      </c>
      <c r="L171" t="s">
        <v>35</v>
      </c>
      <c r="M171" t="s">
        <v>35</v>
      </c>
      <c r="N171" t="s">
        <v>35</v>
      </c>
      <c r="O171" t="s">
        <v>35</v>
      </c>
      <c r="P171" t="s">
        <v>35</v>
      </c>
      <c r="Q171" t="s">
        <v>35</v>
      </c>
      <c r="R171" t="s">
        <v>35</v>
      </c>
      <c r="S171" t="s">
        <v>35</v>
      </c>
      <c r="T171" t="s">
        <v>35</v>
      </c>
      <c r="U171" t="s">
        <v>35</v>
      </c>
      <c r="V171" t="s">
        <v>35</v>
      </c>
      <c r="W171" t="s">
        <v>35</v>
      </c>
      <c r="X171" t="s">
        <v>35</v>
      </c>
      <c r="Y171" t="s">
        <v>35</v>
      </c>
      <c r="Z171" t="s">
        <v>35</v>
      </c>
      <c r="AA171" t="s">
        <v>35</v>
      </c>
      <c r="AB171" t="s">
        <v>35</v>
      </c>
      <c r="AC171" t="s">
        <v>35</v>
      </c>
      <c r="AD171" t="s">
        <v>35</v>
      </c>
      <c r="AE171" t="s">
        <v>35</v>
      </c>
    </row>
    <row r="172" spans="1:31" x14ac:dyDescent="0.2">
      <c r="A172" t="s">
        <v>132</v>
      </c>
      <c r="B172" t="s">
        <v>107</v>
      </c>
      <c r="C172">
        <v>33</v>
      </c>
      <c r="D172" t="s">
        <v>78</v>
      </c>
      <c r="E172" t="s">
        <v>36</v>
      </c>
      <c r="F172" t="s">
        <v>37</v>
      </c>
      <c r="G172">
        <v>24515</v>
      </c>
      <c r="H172">
        <v>0</v>
      </c>
      <c r="I172">
        <v>0</v>
      </c>
      <c r="J172">
        <v>1</v>
      </c>
      <c r="K172">
        <v>0</v>
      </c>
      <c r="L172" t="s">
        <v>35</v>
      </c>
      <c r="M172" t="s">
        <v>35</v>
      </c>
      <c r="N172" t="s">
        <v>35</v>
      </c>
      <c r="O172" t="s">
        <v>35</v>
      </c>
      <c r="P172" t="s">
        <v>35</v>
      </c>
      <c r="Q172" t="s">
        <v>35</v>
      </c>
      <c r="R172" t="s">
        <v>35</v>
      </c>
      <c r="S172" t="s">
        <v>35</v>
      </c>
      <c r="T172" t="s">
        <v>35</v>
      </c>
      <c r="U172" t="s">
        <v>35</v>
      </c>
      <c r="V172" t="s">
        <v>35</v>
      </c>
      <c r="W172" t="s">
        <v>35</v>
      </c>
      <c r="X172" t="s">
        <v>35</v>
      </c>
      <c r="Y172" t="s">
        <v>35</v>
      </c>
      <c r="Z172" t="s">
        <v>35</v>
      </c>
      <c r="AA172" t="s">
        <v>35</v>
      </c>
      <c r="AB172" t="s">
        <v>35</v>
      </c>
      <c r="AC172" t="s">
        <v>35</v>
      </c>
      <c r="AD172" t="s">
        <v>35</v>
      </c>
      <c r="AE172" t="s">
        <v>35</v>
      </c>
    </row>
    <row r="173" spans="1:31" x14ac:dyDescent="0.2">
      <c r="A173" t="s">
        <v>132</v>
      </c>
      <c r="B173" t="s">
        <v>107</v>
      </c>
      <c r="C173">
        <v>33</v>
      </c>
      <c r="D173" t="s">
        <v>78</v>
      </c>
      <c r="E173" t="s">
        <v>39</v>
      </c>
      <c r="F173" t="s">
        <v>47</v>
      </c>
      <c r="G173">
        <v>28134</v>
      </c>
      <c r="H173">
        <v>0</v>
      </c>
      <c r="I173">
        <v>0</v>
      </c>
      <c r="J173">
        <v>0</v>
      </c>
      <c r="K173">
        <v>1</v>
      </c>
      <c r="L173" t="s">
        <v>49</v>
      </c>
      <c r="M173" t="s">
        <v>79</v>
      </c>
      <c r="N173" t="s">
        <v>48</v>
      </c>
      <c r="O173" t="s">
        <v>44</v>
      </c>
      <c r="P173" t="s">
        <v>45</v>
      </c>
      <c r="Q173" t="s">
        <v>46</v>
      </c>
      <c r="R173">
        <v>0</v>
      </c>
      <c r="S173">
        <v>1</v>
      </c>
      <c r="T173">
        <v>1</v>
      </c>
      <c r="U173">
        <v>0</v>
      </c>
      <c r="V173">
        <v>1</v>
      </c>
      <c r="W173">
        <v>0</v>
      </c>
      <c r="X173">
        <v>1</v>
      </c>
      <c r="Y173">
        <v>0</v>
      </c>
      <c r="Z173">
        <v>0</v>
      </c>
      <c r="AA173">
        <v>0</v>
      </c>
      <c r="AB173">
        <v>0</v>
      </c>
      <c r="AC173">
        <v>0</v>
      </c>
      <c r="AD173">
        <v>0</v>
      </c>
      <c r="AE173">
        <v>1</v>
      </c>
    </row>
    <row r="174" spans="1:31" x14ac:dyDescent="0.2">
      <c r="A174" t="s">
        <v>132</v>
      </c>
      <c r="B174" t="s">
        <v>107</v>
      </c>
      <c r="C174">
        <v>33</v>
      </c>
      <c r="D174" t="s">
        <v>78</v>
      </c>
      <c r="E174" t="s">
        <v>39</v>
      </c>
      <c r="F174" t="s">
        <v>63</v>
      </c>
      <c r="G174">
        <v>32398</v>
      </c>
      <c r="H174">
        <v>0</v>
      </c>
      <c r="I174">
        <v>0</v>
      </c>
      <c r="J174">
        <v>0</v>
      </c>
      <c r="K174">
        <v>1</v>
      </c>
      <c r="L174" t="s">
        <v>90</v>
      </c>
      <c r="M174" t="s">
        <v>65</v>
      </c>
      <c r="N174" t="s">
        <v>64</v>
      </c>
      <c r="O174" t="s">
        <v>44</v>
      </c>
      <c r="P174" t="s">
        <v>68</v>
      </c>
      <c r="Q174" t="s">
        <v>67</v>
      </c>
      <c r="R174">
        <v>1</v>
      </c>
      <c r="S174">
        <v>1</v>
      </c>
      <c r="T174">
        <v>0</v>
      </c>
      <c r="U174">
        <v>1</v>
      </c>
      <c r="V174">
        <v>0</v>
      </c>
      <c r="W174">
        <v>0</v>
      </c>
      <c r="X174">
        <v>1</v>
      </c>
      <c r="Y174">
        <v>0</v>
      </c>
      <c r="Z174">
        <v>0</v>
      </c>
      <c r="AA174">
        <v>0</v>
      </c>
      <c r="AB174">
        <v>0</v>
      </c>
      <c r="AC174">
        <v>0</v>
      </c>
      <c r="AD174">
        <v>0</v>
      </c>
      <c r="AE174">
        <v>1</v>
      </c>
    </row>
    <row r="175" spans="1:31" x14ac:dyDescent="0.2">
      <c r="A175" t="s">
        <v>132</v>
      </c>
      <c r="B175" t="s">
        <v>107</v>
      </c>
      <c r="C175">
        <v>33</v>
      </c>
      <c r="D175" t="s">
        <v>78</v>
      </c>
      <c r="E175" t="s">
        <v>52</v>
      </c>
      <c r="F175" t="s">
        <v>69</v>
      </c>
      <c r="G175">
        <v>21143</v>
      </c>
      <c r="H175">
        <v>0</v>
      </c>
      <c r="I175">
        <v>1</v>
      </c>
      <c r="J175">
        <v>0</v>
      </c>
      <c r="K175">
        <v>0</v>
      </c>
      <c r="L175" t="s">
        <v>35</v>
      </c>
      <c r="M175" t="s">
        <v>35</v>
      </c>
      <c r="N175" t="s">
        <v>35</v>
      </c>
      <c r="O175" t="s">
        <v>35</v>
      </c>
      <c r="P175" t="s">
        <v>35</v>
      </c>
      <c r="Q175" t="s">
        <v>35</v>
      </c>
      <c r="R175" t="s">
        <v>35</v>
      </c>
      <c r="S175">
        <v>1</v>
      </c>
      <c r="T175">
        <v>0</v>
      </c>
      <c r="U175">
        <v>1</v>
      </c>
      <c r="V175">
        <v>0</v>
      </c>
      <c r="W175">
        <v>0</v>
      </c>
      <c r="X175">
        <v>1</v>
      </c>
      <c r="Y175">
        <v>0</v>
      </c>
      <c r="Z175">
        <v>0</v>
      </c>
      <c r="AA175">
        <v>0</v>
      </c>
      <c r="AB175">
        <v>0</v>
      </c>
      <c r="AC175">
        <v>0</v>
      </c>
      <c r="AD175">
        <v>0</v>
      </c>
      <c r="AE175">
        <v>1</v>
      </c>
    </row>
    <row r="176" spans="1:31" x14ac:dyDescent="0.2">
      <c r="A176" t="s">
        <v>132</v>
      </c>
      <c r="B176" t="s">
        <v>107</v>
      </c>
      <c r="C176">
        <v>33</v>
      </c>
      <c r="D176" t="s">
        <v>78</v>
      </c>
      <c r="E176" t="s">
        <v>39</v>
      </c>
      <c r="F176" t="s">
        <v>70</v>
      </c>
      <c r="G176">
        <v>17541</v>
      </c>
      <c r="H176">
        <v>0</v>
      </c>
      <c r="I176">
        <v>0</v>
      </c>
      <c r="J176">
        <v>0</v>
      </c>
      <c r="K176">
        <v>1</v>
      </c>
      <c r="L176" t="s">
        <v>73</v>
      </c>
      <c r="M176" t="s">
        <v>86</v>
      </c>
      <c r="N176" t="s">
        <v>72</v>
      </c>
      <c r="O176" t="s">
        <v>44</v>
      </c>
      <c r="P176" t="s">
        <v>46</v>
      </c>
      <c r="Q176" t="s">
        <v>67</v>
      </c>
      <c r="R176">
        <v>0</v>
      </c>
      <c r="S176">
        <v>1</v>
      </c>
      <c r="T176">
        <v>1</v>
      </c>
      <c r="U176">
        <v>1</v>
      </c>
      <c r="V176">
        <v>0</v>
      </c>
      <c r="W176">
        <v>0</v>
      </c>
      <c r="X176">
        <v>1</v>
      </c>
      <c r="Y176">
        <v>0</v>
      </c>
      <c r="Z176">
        <v>0</v>
      </c>
      <c r="AA176">
        <v>0</v>
      </c>
      <c r="AB176">
        <v>0</v>
      </c>
      <c r="AC176">
        <v>0</v>
      </c>
      <c r="AD176">
        <v>0</v>
      </c>
      <c r="AE176">
        <v>1</v>
      </c>
    </row>
    <row r="177" spans="1:31" x14ac:dyDescent="0.2">
      <c r="A177" t="s">
        <v>132</v>
      </c>
      <c r="B177" t="s">
        <v>107</v>
      </c>
      <c r="C177">
        <v>33</v>
      </c>
      <c r="D177" t="s">
        <v>78</v>
      </c>
      <c r="E177" t="s">
        <v>52</v>
      </c>
      <c r="F177" t="s">
        <v>74</v>
      </c>
      <c r="G177">
        <v>11509</v>
      </c>
      <c r="H177">
        <v>1</v>
      </c>
      <c r="I177">
        <v>0</v>
      </c>
      <c r="J177">
        <v>0</v>
      </c>
      <c r="K177">
        <v>0</v>
      </c>
      <c r="L177" t="s">
        <v>35</v>
      </c>
      <c r="M177" t="s">
        <v>35</v>
      </c>
      <c r="N177" t="s">
        <v>35</v>
      </c>
      <c r="O177" t="s">
        <v>35</v>
      </c>
      <c r="P177" t="s">
        <v>35</v>
      </c>
      <c r="Q177" t="s">
        <v>35</v>
      </c>
      <c r="R177" t="s">
        <v>35</v>
      </c>
      <c r="S177">
        <v>1</v>
      </c>
      <c r="T177">
        <v>1</v>
      </c>
      <c r="U177">
        <v>1</v>
      </c>
      <c r="V177">
        <v>0</v>
      </c>
      <c r="W177">
        <v>0</v>
      </c>
      <c r="X177">
        <v>1</v>
      </c>
      <c r="Y177">
        <v>0</v>
      </c>
      <c r="Z177">
        <v>0</v>
      </c>
      <c r="AA177">
        <v>0</v>
      </c>
      <c r="AB177">
        <v>0</v>
      </c>
      <c r="AC177">
        <v>0</v>
      </c>
      <c r="AD177">
        <v>0</v>
      </c>
      <c r="AE177">
        <v>1</v>
      </c>
    </row>
    <row r="178" spans="1:31" x14ac:dyDescent="0.2">
      <c r="A178" t="s">
        <v>132</v>
      </c>
      <c r="B178" t="s">
        <v>107</v>
      </c>
      <c r="C178">
        <v>33</v>
      </c>
      <c r="D178" t="s">
        <v>78</v>
      </c>
      <c r="E178" t="s">
        <v>39</v>
      </c>
      <c r="F178" t="s">
        <v>54</v>
      </c>
      <c r="G178">
        <v>13317</v>
      </c>
      <c r="H178">
        <v>0</v>
      </c>
      <c r="I178">
        <v>0</v>
      </c>
      <c r="J178">
        <v>0</v>
      </c>
      <c r="K178">
        <v>1</v>
      </c>
      <c r="L178" t="s">
        <v>88</v>
      </c>
      <c r="M178" t="s">
        <v>56</v>
      </c>
      <c r="N178" t="s">
        <v>55</v>
      </c>
      <c r="O178" t="s">
        <v>51</v>
      </c>
      <c r="P178" t="s">
        <v>45</v>
      </c>
      <c r="Q178" t="s">
        <v>44</v>
      </c>
      <c r="R178">
        <v>0</v>
      </c>
      <c r="S178">
        <v>1</v>
      </c>
      <c r="T178">
        <v>0</v>
      </c>
      <c r="U178">
        <v>0</v>
      </c>
      <c r="V178">
        <v>1</v>
      </c>
      <c r="W178">
        <v>0</v>
      </c>
      <c r="X178">
        <v>1</v>
      </c>
      <c r="Y178">
        <v>0</v>
      </c>
      <c r="Z178">
        <v>0</v>
      </c>
      <c r="AA178">
        <v>0</v>
      </c>
      <c r="AB178">
        <v>0</v>
      </c>
      <c r="AC178">
        <v>0</v>
      </c>
      <c r="AD178">
        <v>0</v>
      </c>
      <c r="AE178">
        <v>1</v>
      </c>
    </row>
    <row r="179" spans="1:31" x14ac:dyDescent="0.2">
      <c r="A179" t="s">
        <v>132</v>
      </c>
      <c r="B179" t="s">
        <v>107</v>
      </c>
      <c r="C179">
        <v>33</v>
      </c>
      <c r="D179" t="s">
        <v>78</v>
      </c>
      <c r="E179" t="s">
        <v>39</v>
      </c>
      <c r="F179" t="s">
        <v>59</v>
      </c>
      <c r="G179">
        <v>13750</v>
      </c>
      <c r="H179">
        <v>0</v>
      </c>
      <c r="I179">
        <v>0</v>
      </c>
      <c r="J179">
        <v>0</v>
      </c>
      <c r="K179">
        <v>1</v>
      </c>
      <c r="L179" t="s">
        <v>99</v>
      </c>
      <c r="M179" t="s">
        <v>62</v>
      </c>
      <c r="N179" t="s">
        <v>83</v>
      </c>
      <c r="O179" t="s">
        <v>67</v>
      </c>
      <c r="P179" t="s">
        <v>45</v>
      </c>
      <c r="Q179" t="s">
        <v>51</v>
      </c>
      <c r="R179">
        <v>0</v>
      </c>
      <c r="S179">
        <v>0</v>
      </c>
      <c r="T179">
        <v>0</v>
      </c>
      <c r="U179">
        <v>1</v>
      </c>
      <c r="V179">
        <v>1</v>
      </c>
      <c r="W179">
        <v>0</v>
      </c>
      <c r="X179">
        <v>1</v>
      </c>
      <c r="Y179">
        <v>0</v>
      </c>
      <c r="Z179">
        <v>0</v>
      </c>
      <c r="AA179">
        <v>0</v>
      </c>
      <c r="AB179">
        <v>0</v>
      </c>
      <c r="AC179">
        <v>0</v>
      </c>
      <c r="AD179">
        <v>0</v>
      </c>
      <c r="AE179">
        <v>1</v>
      </c>
    </row>
    <row r="180" spans="1:31" x14ac:dyDescent="0.2">
      <c r="A180" t="s">
        <v>132</v>
      </c>
      <c r="B180" t="s">
        <v>107</v>
      </c>
      <c r="C180">
        <v>33</v>
      </c>
      <c r="D180" t="s">
        <v>78</v>
      </c>
      <c r="E180" t="s">
        <v>52</v>
      </c>
      <c r="F180" t="s">
        <v>53</v>
      </c>
      <c r="G180">
        <v>23877</v>
      </c>
      <c r="H180">
        <v>0</v>
      </c>
      <c r="I180">
        <v>0</v>
      </c>
      <c r="J180">
        <v>0</v>
      </c>
      <c r="K180">
        <v>1</v>
      </c>
      <c r="L180" t="s">
        <v>35</v>
      </c>
      <c r="M180" t="s">
        <v>35</v>
      </c>
      <c r="N180" t="s">
        <v>35</v>
      </c>
      <c r="O180" t="s">
        <v>35</v>
      </c>
      <c r="P180" t="s">
        <v>35</v>
      </c>
      <c r="Q180" t="s">
        <v>35</v>
      </c>
      <c r="R180" t="s">
        <v>35</v>
      </c>
      <c r="S180">
        <v>0</v>
      </c>
      <c r="T180">
        <v>0</v>
      </c>
      <c r="U180">
        <v>1</v>
      </c>
      <c r="V180">
        <v>1</v>
      </c>
      <c r="W180">
        <v>0</v>
      </c>
      <c r="X180">
        <v>1</v>
      </c>
      <c r="Y180">
        <v>0</v>
      </c>
      <c r="Z180">
        <v>0</v>
      </c>
      <c r="AA180">
        <v>0</v>
      </c>
      <c r="AB180">
        <v>0</v>
      </c>
      <c r="AC180">
        <v>0</v>
      </c>
      <c r="AD180">
        <v>0</v>
      </c>
      <c r="AE180">
        <v>1</v>
      </c>
    </row>
    <row r="181" spans="1:31" x14ac:dyDescent="0.2">
      <c r="A181" t="s">
        <v>132</v>
      </c>
      <c r="B181" t="s">
        <v>107</v>
      </c>
      <c r="C181">
        <v>33</v>
      </c>
      <c r="D181" t="s">
        <v>78</v>
      </c>
      <c r="E181" t="s">
        <v>39</v>
      </c>
      <c r="F181" t="s">
        <v>40</v>
      </c>
      <c r="G181">
        <v>17478</v>
      </c>
      <c r="H181">
        <v>0</v>
      </c>
      <c r="I181">
        <v>0</v>
      </c>
      <c r="J181">
        <v>0</v>
      </c>
      <c r="K181">
        <v>1</v>
      </c>
      <c r="L181" t="s">
        <v>42</v>
      </c>
      <c r="M181" t="s">
        <v>43</v>
      </c>
      <c r="N181" t="s">
        <v>81</v>
      </c>
      <c r="O181" t="s">
        <v>45</v>
      </c>
      <c r="P181" t="s">
        <v>46</v>
      </c>
      <c r="Q181" t="s">
        <v>67</v>
      </c>
      <c r="R181">
        <v>0</v>
      </c>
      <c r="S181">
        <v>0</v>
      </c>
      <c r="T181">
        <v>1</v>
      </c>
      <c r="U181">
        <v>1</v>
      </c>
      <c r="V181">
        <v>1</v>
      </c>
      <c r="W181">
        <v>0</v>
      </c>
      <c r="X181">
        <v>1</v>
      </c>
      <c r="Y181">
        <v>0</v>
      </c>
      <c r="Z181">
        <v>0</v>
      </c>
      <c r="AA181">
        <v>0</v>
      </c>
      <c r="AB181">
        <v>0</v>
      </c>
      <c r="AC181">
        <v>0</v>
      </c>
      <c r="AD181">
        <v>0</v>
      </c>
      <c r="AE181">
        <v>1</v>
      </c>
    </row>
    <row r="182" spans="1:31" x14ac:dyDescent="0.2">
      <c r="A182" t="s">
        <v>132</v>
      </c>
      <c r="B182" t="s">
        <v>107</v>
      </c>
      <c r="C182">
        <v>33</v>
      </c>
      <c r="D182" t="s">
        <v>78</v>
      </c>
      <c r="E182" t="s">
        <v>52</v>
      </c>
      <c r="F182" t="s">
        <v>58</v>
      </c>
      <c r="G182">
        <v>20352</v>
      </c>
      <c r="H182">
        <v>1</v>
      </c>
      <c r="I182">
        <v>1</v>
      </c>
      <c r="J182">
        <v>0</v>
      </c>
      <c r="K182">
        <v>0</v>
      </c>
      <c r="L182" t="s">
        <v>35</v>
      </c>
      <c r="M182" t="s">
        <v>35</v>
      </c>
      <c r="N182" t="s">
        <v>35</v>
      </c>
      <c r="O182" t="s">
        <v>35</v>
      </c>
      <c r="P182" t="s">
        <v>35</v>
      </c>
      <c r="Q182" t="s">
        <v>35</v>
      </c>
      <c r="R182" t="s">
        <v>35</v>
      </c>
      <c r="S182">
        <v>0</v>
      </c>
      <c r="T182">
        <v>1</v>
      </c>
      <c r="U182">
        <v>1</v>
      </c>
      <c r="V182">
        <v>1</v>
      </c>
      <c r="W182">
        <v>0</v>
      </c>
      <c r="X182">
        <v>1</v>
      </c>
      <c r="Y182">
        <v>0</v>
      </c>
      <c r="Z182">
        <v>0</v>
      </c>
      <c r="AA182">
        <v>0</v>
      </c>
      <c r="AB182">
        <v>0</v>
      </c>
      <c r="AC182">
        <v>0</v>
      </c>
      <c r="AD182">
        <v>0</v>
      </c>
      <c r="AE182">
        <v>1</v>
      </c>
    </row>
    <row r="183" spans="1:31" x14ac:dyDescent="0.2">
      <c r="A183" t="s">
        <v>132</v>
      </c>
      <c r="B183" t="s">
        <v>107</v>
      </c>
      <c r="C183">
        <v>33</v>
      </c>
      <c r="D183" t="s">
        <v>78</v>
      </c>
      <c r="E183" t="s">
        <v>75</v>
      </c>
      <c r="F183" t="s">
        <v>35</v>
      </c>
      <c r="G183">
        <v>78934</v>
      </c>
      <c r="H183" t="s">
        <v>133</v>
      </c>
      <c r="I183" t="s">
        <v>134</v>
      </c>
      <c r="J183" t="s">
        <v>100</v>
      </c>
      <c r="K183" t="s">
        <v>35</v>
      </c>
      <c r="L183" t="s">
        <v>35</v>
      </c>
      <c r="M183" t="s">
        <v>35</v>
      </c>
      <c r="N183" t="s">
        <v>35</v>
      </c>
      <c r="O183" t="s">
        <v>35</v>
      </c>
      <c r="P183" t="s">
        <v>35</v>
      </c>
      <c r="Q183" t="s">
        <v>35</v>
      </c>
      <c r="R183" t="s">
        <v>35</v>
      </c>
      <c r="S183" t="s">
        <v>35</v>
      </c>
      <c r="T183" t="s">
        <v>35</v>
      </c>
      <c r="U183" t="s">
        <v>35</v>
      </c>
      <c r="V183" t="s">
        <v>35</v>
      </c>
      <c r="W183" t="s">
        <v>35</v>
      </c>
      <c r="X183" t="s">
        <v>35</v>
      </c>
      <c r="Y183" t="s">
        <v>35</v>
      </c>
      <c r="Z183" t="s">
        <v>35</v>
      </c>
      <c r="AA183" t="s">
        <v>35</v>
      </c>
      <c r="AB183" t="s">
        <v>35</v>
      </c>
      <c r="AC183" t="s">
        <v>35</v>
      </c>
      <c r="AD183" t="s">
        <v>35</v>
      </c>
      <c r="AE183" t="s">
        <v>35</v>
      </c>
    </row>
    <row r="184" spans="1:31" x14ac:dyDescent="0.2">
      <c r="A184" t="s">
        <v>135</v>
      </c>
      <c r="B184" t="s">
        <v>102</v>
      </c>
      <c r="C184">
        <v>38</v>
      </c>
      <c r="D184" t="s">
        <v>78</v>
      </c>
      <c r="E184" t="s">
        <v>34</v>
      </c>
      <c r="F184" t="s">
        <v>35</v>
      </c>
      <c r="G184">
        <v>32343</v>
      </c>
      <c r="H184" t="s">
        <v>35</v>
      </c>
      <c r="I184" t="s">
        <v>35</v>
      </c>
      <c r="J184" t="s">
        <v>35</v>
      </c>
      <c r="K184" t="s">
        <v>35</v>
      </c>
      <c r="L184" t="s">
        <v>35</v>
      </c>
      <c r="M184" t="s">
        <v>35</v>
      </c>
      <c r="N184" t="s">
        <v>35</v>
      </c>
      <c r="O184" t="s">
        <v>35</v>
      </c>
      <c r="P184" t="s">
        <v>35</v>
      </c>
      <c r="Q184" t="s">
        <v>35</v>
      </c>
      <c r="R184" t="s">
        <v>35</v>
      </c>
      <c r="S184" t="s">
        <v>35</v>
      </c>
      <c r="T184" t="s">
        <v>35</v>
      </c>
      <c r="U184" t="s">
        <v>35</v>
      </c>
      <c r="V184" t="s">
        <v>35</v>
      </c>
      <c r="W184" t="s">
        <v>35</v>
      </c>
      <c r="X184" t="s">
        <v>35</v>
      </c>
      <c r="Y184" t="s">
        <v>35</v>
      </c>
      <c r="Z184" t="s">
        <v>35</v>
      </c>
      <c r="AA184" t="s">
        <v>35</v>
      </c>
      <c r="AB184" t="s">
        <v>35</v>
      </c>
      <c r="AC184" t="s">
        <v>35</v>
      </c>
      <c r="AD184" t="s">
        <v>35</v>
      </c>
      <c r="AE184" t="s">
        <v>35</v>
      </c>
    </row>
    <row r="185" spans="1:31" x14ac:dyDescent="0.2">
      <c r="A185" t="s">
        <v>135</v>
      </c>
      <c r="B185" t="s">
        <v>102</v>
      </c>
      <c r="C185">
        <v>38</v>
      </c>
      <c r="D185" t="s">
        <v>78</v>
      </c>
      <c r="E185" t="s">
        <v>36</v>
      </c>
      <c r="F185" t="s">
        <v>38</v>
      </c>
      <c r="G185">
        <v>25977</v>
      </c>
      <c r="H185">
        <v>0</v>
      </c>
      <c r="I185">
        <v>0</v>
      </c>
      <c r="J185">
        <v>0</v>
      </c>
      <c r="K185">
        <v>1</v>
      </c>
      <c r="L185" t="s">
        <v>35</v>
      </c>
      <c r="M185" t="s">
        <v>35</v>
      </c>
      <c r="N185" t="s">
        <v>35</v>
      </c>
      <c r="O185" t="s">
        <v>35</v>
      </c>
      <c r="P185" t="s">
        <v>35</v>
      </c>
      <c r="Q185" t="s">
        <v>35</v>
      </c>
      <c r="R185" t="s">
        <v>35</v>
      </c>
      <c r="S185" t="s">
        <v>35</v>
      </c>
      <c r="T185" t="s">
        <v>35</v>
      </c>
      <c r="U185" t="s">
        <v>35</v>
      </c>
      <c r="V185" t="s">
        <v>35</v>
      </c>
      <c r="W185" t="s">
        <v>35</v>
      </c>
      <c r="X185" t="s">
        <v>35</v>
      </c>
      <c r="Y185" t="s">
        <v>35</v>
      </c>
      <c r="Z185" t="s">
        <v>35</v>
      </c>
      <c r="AA185" t="s">
        <v>35</v>
      </c>
      <c r="AB185" t="s">
        <v>35</v>
      </c>
      <c r="AC185" t="s">
        <v>35</v>
      </c>
      <c r="AD185" t="s">
        <v>35</v>
      </c>
      <c r="AE185" t="s">
        <v>35</v>
      </c>
    </row>
    <row r="186" spans="1:31" x14ac:dyDescent="0.2">
      <c r="A186" t="s">
        <v>135</v>
      </c>
      <c r="B186" t="s">
        <v>102</v>
      </c>
      <c r="C186">
        <v>38</v>
      </c>
      <c r="D186" t="s">
        <v>78</v>
      </c>
      <c r="E186" t="s">
        <v>36</v>
      </c>
      <c r="F186" t="s">
        <v>37</v>
      </c>
      <c r="G186">
        <v>24656</v>
      </c>
      <c r="H186">
        <v>0</v>
      </c>
      <c r="I186">
        <v>0</v>
      </c>
      <c r="J186">
        <v>1</v>
      </c>
      <c r="K186">
        <v>0</v>
      </c>
      <c r="L186" t="s">
        <v>35</v>
      </c>
      <c r="M186" t="s">
        <v>35</v>
      </c>
      <c r="N186" t="s">
        <v>35</v>
      </c>
      <c r="O186" t="s">
        <v>35</v>
      </c>
      <c r="P186" t="s">
        <v>35</v>
      </c>
      <c r="Q186" t="s">
        <v>35</v>
      </c>
      <c r="R186" t="s">
        <v>35</v>
      </c>
      <c r="S186" t="s">
        <v>35</v>
      </c>
      <c r="T186" t="s">
        <v>35</v>
      </c>
      <c r="U186" t="s">
        <v>35</v>
      </c>
      <c r="V186" t="s">
        <v>35</v>
      </c>
      <c r="W186" t="s">
        <v>35</v>
      </c>
      <c r="X186" t="s">
        <v>35</v>
      </c>
      <c r="Y186" t="s">
        <v>35</v>
      </c>
      <c r="Z186" t="s">
        <v>35</v>
      </c>
      <c r="AA186" t="s">
        <v>35</v>
      </c>
      <c r="AB186" t="s">
        <v>35</v>
      </c>
      <c r="AC186" t="s">
        <v>35</v>
      </c>
      <c r="AD186" t="s">
        <v>35</v>
      </c>
      <c r="AE186" t="s">
        <v>35</v>
      </c>
    </row>
    <row r="187" spans="1:31" x14ac:dyDescent="0.2">
      <c r="A187" t="s">
        <v>135</v>
      </c>
      <c r="B187" t="s">
        <v>102</v>
      </c>
      <c r="C187">
        <v>38</v>
      </c>
      <c r="D187" t="s">
        <v>78</v>
      </c>
      <c r="E187" t="s">
        <v>39</v>
      </c>
      <c r="F187" t="s">
        <v>47</v>
      </c>
      <c r="G187">
        <v>38172</v>
      </c>
      <c r="H187">
        <v>0</v>
      </c>
      <c r="I187">
        <v>0</v>
      </c>
      <c r="J187">
        <v>0</v>
      </c>
      <c r="K187">
        <v>1</v>
      </c>
      <c r="L187" t="s">
        <v>49</v>
      </c>
      <c r="M187" t="s">
        <v>95</v>
      </c>
      <c r="N187" t="s">
        <v>79</v>
      </c>
      <c r="O187" t="s">
        <v>44</v>
      </c>
      <c r="P187" t="s">
        <v>68</v>
      </c>
      <c r="Q187" t="s">
        <v>45</v>
      </c>
      <c r="R187">
        <v>1</v>
      </c>
      <c r="S187">
        <v>1</v>
      </c>
      <c r="T187">
        <v>0</v>
      </c>
      <c r="U187">
        <v>0</v>
      </c>
      <c r="V187">
        <v>1</v>
      </c>
      <c r="W187">
        <v>0</v>
      </c>
      <c r="X187">
        <v>1</v>
      </c>
      <c r="Y187">
        <v>0</v>
      </c>
      <c r="Z187">
        <v>0</v>
      </c>
      <c r="AA187">
        <v>0</v>
      </c>
      <c r="AB187">
        <v>0</v>
      </c>
      <c r="AC187">
        <v>0</v>
      </c>
      <c r="AD187">
        <v>0</v>
      </c>
      <c r="AE187">
        <v>1</v>
      </c>
    </row>
    <row r="188" spans="1:31" x14ac:dyDescent="0.2">
      <c r="A188" t="s">
        <v>135</v>
      </c>
      <c r="B188" t="s">
        <v>102</v>
      </c>
      <c r="C188">
        <v>38</v>
      </c>
      <c r="D188" t="s">
        <v>78</v>
      </c>
      <c r="E188" t="s">
        <v>39</v>
      </c>
      <c r="F188" t="s">
        <v>54</v>
      </c>
      <c r="G188">
        <v>37618</v>
      </c>
      <c r="H188">
        <v>0</v>
      </c>
      <c r="I188">
        <v>1</v>
      </c>
      <c r="J188">
        <v>0</v>
      </c>
      <c r="K188">
        <v>0</v>
      </c>
      <c r="L188" t="s">
        <v>88</v>
      </c>
      <c r="M188" t="s">
        <v>89</v>
      </c>
      <c r="N188" t="s">
        <v>57</v>
      </c>
      <c r="O188" t="s">
        <v>51</v>
      </c>
      <c r="P188" t="s">
        <v>67</v>
      </c>
      <c r="Q188" t="s">
        <v>46</v>
      </c>
      <c r="R188">
        <v>0</v>
      </c>
      <c r="S188">
        <v>0</v>
      </c>
      <c r="T188">
        <v>1</v>
      </c>
      <c r="U188">
        <v>1</v>
      </c>
      <c r="V188">
        <v>0</v>
      </c>
      <c r="W188">
        <v>0</v>
      </c>
      <c r="X188">
        <v>1</v>
      </c>
      <c r="Y188">
        <v>0</v>
      </c>
      <c r="Z188">
        <v>0</v>
      </c>
      <c r="AA188">
        <v>0</v>
      </c>
      <c r="AB188">
        <v>1</v>
      </c>
      <c r="AC188">
        <v>0</v>
      </c>
      <c r="AD188">
        <v>0</v>
      </c>
      <c r="AE188">
        <v>0</v>
      </c>
    </row>
    <row r="189" spans="1:31" x14ac:dyDescent="0.2">
      <c r="A189" t="s">
        <v>135</v>
      </c>
      <c r="B189" t="s">
        <v>102</v>
      </c>
      <c r="C189">
        <v>38</v>
      </c>
      <c r="D189" t="s">
        <v>78</v>
      </c>
      <c r="E189" t="s">
        <v>52</v>
      </c>
      <c r="F189" t="s">
        <v>58</v>
      </c>
      <c r="G189">
        <v>16654</v>
      </c>
      <c r="H189">
        <v>1</v>
      </c>
      <c r="I189">
        <v>1</v>
      </c>
      <c r="J189">
        <v>0</v>
      </c>
      <c r="K189">
        <v>0</v>
      </c>
      <c r="L189" t="s">
        <v>35</v>
      </c>
      <c r="M189" t="s">
        <v>35</v>
      </c>
      <c r="N189" t="s">
        <v>35</v>
      </c>
      <c r="O189" t="s">
        <v>35</v>
      </c>
      <c r="P189" t="s">
        <v>35</v>
      </c>
      <c r="Q189" t="s">
        <v>35</v>
      </c>
      <c r="R189" t="s">
        <v>35</v>
      </c>
      <c r="S189">
        <v>0</v>
      </c>
      <c r="T189">
        <v>1</v>
      </c>
      <c r="U189">
        <v>1</v>
      </c>
      <c r="V189">
        <v>0</v>
      </c>
      <c r="W189">
        <v>0</v>
      </c>
      <c r="X189">
        <v>1</v>
      </c>
      <c r="Y189">
        <v>0</v>
      </c>
      <c r="Z189">
        <v>0</v>
      </c>
      <c r="AA189">
        <v>0</v>
      </c>
      <c r="AB189">
        <v>1</v>
      </c>
      <c r="AC189">
        <v>0</v>
      </c>
      <c r="AD189">
        <v>0</v>
      </c>
      <c r="AE189">
        <v>0</v>
      </c>
    </row>
    <row r="190" spans="1:31" x14ac:dyDescent="0.2">
      <c r="A190" t="s">
        <v>135</v>
      </c>
      <c r="B190" t="s">
        <v>102</v>
      </c>
      <c r="C190">
        <v>38</v>
      </c>
      <c r="D190" t="s">
        <v>78</v>
      </c>
      <c r="E190" t="s">
        <v>39</v>
      </c>
      <c r="F190" t="s">
        <v>40</v>
      </c>
      <c r="G190">
        <v>19340</v>
      </c>
      <c r="H190">
        <v>1</v>
      </c>
      <c r="I190">
        <v>0</v>
      </c>
      <c r="J190">
        <v>0</v>
      </c>
      <c r="K190">
        <v>0</v>
      </c>
      <c r="L190" t="s">
        <v>41</v>
      </c>
      <c r="M190" t="s">
        <v>91</v>
      </c>
      <c r="N190" t="s">
        <v>43</v>
      </c>
      <c r="O190" t="s">
        <v>44</v>
      </c>
      <c r="P190" t="s">
        <v>51</v>
      </c>
      <c r="Q190" t="s">
        <v>46</v>
      </c>
      <c r="R190">
        <v>0</v>
      </c>
      <c r="S190">
        <v>1</v>
      </c>
      <c r="T190">
        <v>1</v>
      </c>
      <c r="U190">
        <v>0</v>
      </c>
      <c r="V190">
        <v>0</v>
      </c>
      <c r="W190">
        <v>0</v>
      </c>
      <c r="X190">
        <v>1</v>
      </c>
      <c r="Y190">
        <v>0</v>
      </c>
      <c r="Z190">
        <v>1</v>
      </c>
      <c r="AA190">
        <v>0</v>
      </c>
      <c r="AB190">
        <v>0</v>
      </c>
      <c r="AC190">
        <v>0</v>
      </c>
      <c r="AD190">
        <v>0</v>
      </c>
      <c r="AE190">
        <v>0</v>
      </c>
    </row>
    <row r="191" spans="1:31" x14ac:dyDescent="0.2">
      <c r="A191" t="s">
        <v>135</v>
      </c>
      <c r="B191" t="s">
        <v>102</v>
      </c>
      <c r="C191">
        <v>38</v>
      </c>
      <c r="D191" t="s">
        <v>78</v>
      </c>
      <c r="E191" t="s">
        <v>39</v>
      </c>
      <c r="F191" t="s">
        <v>70</v>
      </c>
      <c r="G191">
        <v>20945</v>
      </c>
      <c r="H191">
        <v>0</v>
      </c>
      <c r="I191">
        <v>1</v>
      </c>
      <c r="J191">
        <v>0</v>
      </c>
      <c r="K191">
        <v>0</v>
      </c>
      <c r="L191" t="s">
        <v>92</v>
      </c>
      <c r="M191" t="s">
        <v>72</v>
      </c>
      <c r="N191" t="s">
        <v>86</v>
      </c>
      <c r="O191" t="s">
        <v>51</v>
      </c>
      <c r="P191" t="s">
        <v>67</v>
      </c>
      <c r="Q191" t="s">
        <v>46</v>
      </c>
      <c r="R191">
        <v>0</v>
      </c>
      <c r="S191">
        <v>0</v>
      </c>
      <c r="T191">
        <v>1</v>
      </c>
      <c r="U191">
        <v>1</v>
      </c>
      <c r="V191">
        <v>0</v>
      </c>
      <c r="W191">
        <v>0</v>
      </c>
      <c r="X191">
        <v>1</v>
      </c>
      <c r="Y191">
        <v>0</v>
      </c>
      <c r="Z191">
        <v>0</v>
      </c>
      <c r="AA191">
        <v>0</v>
      </c>
      <c r="AB191">
        <v>1</v>
      </c>
      <c r="AC191">
        <v>0</v>
      </c>
      <c r="AD191">
        <v>0</v>
      </c>
      <c r="AE191">
        <v>0</v>
      </c>
    </row>
    <row r="192" spans="1:31" x14ac:dyDescent="0.2">
      <c r="A192" t="s">
        <v>135</v>
      </c>
      <c r="B192" t="s">
        <v>102</v>
      </c>
      <c r="C192">
        <v>38</v>
      </c>
      <c r="D192" t="s">
        <v>78</v>
      </c>
      <c r="E192" t="s">
        <v>52</v>
      </c>
      <c r="F192" t="s">
        <v>74</v>
      </c>
      <c r="G192">
        <v>11738</v>
      </c>
      <c r="H192">
        <v>1</v>
      </c>
      <c r="I192">
        <v>0</v>
      </c>
      <c r="J192">
        <v>0</v>
      </c>
      <c r="K192">
        <v>0</v>
      </c>
      <c r="L192" t="s">
        <v>35</v>
      </c>
      <c r="M192" t="s">
        <v>35</v>
      </c>
      <c r="N192" t="s">
        <v>35</v>
      </c>
      <c r="O192" t="s">
        <v>35</v>
      </c>
      <c r="P192" t="s">
        <v>35</v>
      </c>
      <c r="Q192" t="s">
        <v>35</v>
      </c>
      <c r="R192" t="s">
        <v>35</v>
      </c>
      <c r="S192">
        <v>0</v>
      </c>
      <c r="T192">
        <v>1</v>
      </c>
      <c r="U192">
        <v>1</v>
      </c>
      <c r="V192">
        <v>0</v>
      </c>
      <c r="W192">
        <v>0</v>
      </c>
      <c r="X192">
        <v>1</v>
      </c>
      <c r="Y192">
        <v>0</v>
      </c>
      <c r="Z192">
        <v>0</v>
      </c>
      <c r="AA192">
        <v>0</v>
      </c>
      <c r="AB192">
        <v>1</v>
      </c>
      <c r="AC192">
        <v>0</v>
      </c>
      <c r="AD192">
        <v>0</v>
      </c>
      <c r="AE192">
        <v>0</v>
      </c>
    </row>
    <row r="193" spans="1:31" x14ac:dyDescent="0.2">
      <c r="A193" t="s">
        <v>135</v>
      </c>
      <c r="B193" t="s">
        <v>102</v>
      </c>
      <c r="C193">
        <v>38</v>
      </c>
      <c r="D193" t="s">
        <v>78</v>
      </c>
      <c r="E193" t="s">
        <v>39</v>
      </c>
      <c r="F193" t="s">
        <v>59</v>
      </c>
      <c r="G193">
        <v>17692</v>
      </c>
      <c r="H193">
        <v>0</v>
      </c>
      <c r="I193">
        <v>1</v>
      </c>
      <c r="J193">
        <v>0</v>
      </c>
      <c r="K193">
        <v>0</v>
      </c>
      <c r="L193" t="s">
        <v>62</v>
      </c>
      <c r="M193" t="s">
        <v>60</v>
      </c>
      <c r="N193" t="s">
        <v>99</v>
      </c>
      <c r="O193" t="s">
        <v>45</v>
      </c>
      <c r="P193" t="s">
        <v>44</v>
      </c>
      <c r="Q193" t="s">
        <v>67</v>
      </c>
      <c r="R193">
        <v>0</v>
      </c>
      <c r="S193">
        <v>1</v>
      </c>
      <c r="T193">
        <v>0</v>
      </c>
      <c r="U193">
        <v>1</v>
      </c>
      <c r="V193">
        <v>1</v>
      </c>
      <c r="W193">
        <v>0</v>
      </c>
      <c r="X193">
        <v>1</v>
      </c>
      <c r="Y193">
        <v>0</v>
      </c>
      <c r="Z193">
        <v>1</v>
      </c>
      <c r="AA193">
        <v>0</v>
      </c>
      <c r="AB193">
        <v>0</v>
      </c>
      <c r="AC193">
        <v>0</v>
      </c>
      <c r="AD193">
        <v>0</v>
      </c>
      <c r="AE193">
        <v>0</v>
      </c>
    </row>
    <row r="194" spans="1:31" x14ac:dyDescent="0.2">
      <c r="A194" t="s">
        <v>135</v>
      </c>
      <c r="B194" t="s">
        <v>102</v>
      </c>
      <c r="C194">
        <v>38</v>
      </c>
      <c r="D194" t="s">
        <v>78</v>
      </c>
      <c r="E194" t="s">
        <v>52</v>
      </c>
      <c r="F194" t="s">
        <v>69</v>
      </c>
      <c r="G194">
        <v>21411</v>
      </c>
      <c r="H194">
        <v>0</v>
      </c>
      <c r="I194">
        <v>0</v>
      </c>
      <c r="J194">
        <v>1</v>
      </c>
      <c r="K194">
        <v>0</v>
      </c>
      <c r="L194" t="s">
        <v>35</v>
      </c>
      <c r="M194" t="s">
        <v>35</v>
      </c>
      <c r="N194" t="s">
        <v>35</v>
      </c>
      <c r="O194" t="s">
        <v>35</v>
      </c>
      <c r="P194" t="s">
        <v>35</v>
      </c>
      <c r="Q194" t="s">
        <v>35</v>
      </c>
      <c r="R194" t="s">
        <v>35</v>
      </c>
      <c r="S194">
        <v>1</v>
      </c>
      <c r="T194">
        <v>0</v>
      </c>
      <c r="U194">
        <v>1</v>
      </c>
      <c r="V194">
        <v>1</v>
      </c>
      <c r="W194">
        <v>0</v>
      </c>
      <c r="X194">
        <v>1</v>
      </c>
      <c r="Y194">
        <v>0</v>
      </c>
      <c r="Z194">
        <v>1</v>
      </c>
      <c r="AA194">
        <v>0</v>
      </c>
      <c r="AB194">
        <v>0</v>
      </c>
      <c r="AC194">
        <v>0</v>
      </c>
      <c r="AD194">
        <v>0</v>
      </c>
      <c r="AE194">
        <v>0</v>
      </c>
    </row>
    <row r="195" spans="1:31" x14ac:dyDescent="0.2">
      <c r="A195" t="s">
        <v>135</v>
      </c>
      <c r="B195" t="s">
        <v>102</v>
      </c>
      <c r="C195">
        <v>38</v>
      </c>
      <c r="D195" t="s">
        <v>78</v>
      </c>
      <c r="E195" t="s">
        <v>39</v>
      </c>
      <c r="F195" t="s">
        <v>63</v>
      </c>
      <c r="G195">
        <v>27010</v>
      </c>
      <c r="H195">
        <v>0</v>
      </c>
      <c r="I195">
        <v>0</v>
      </c>
      <c r="J195">
        <v>1</v>
      </c>
      <c r="K195">
        <v>0</v>
      </c>
      <c r="L195" t="s">
        <v>84</v>
      </c>
      <c r="M195" t="s">
        <v>65</v>
      </c>
      <c r="N195" t="s">
        <v>90</v>
      </c>
      <c r="O195" t="s">
        <v>46</v>
      </c>
      <c r="P195" t="s">
        <v>68</v>
      </c>
      <c r="Q195" t="s">
        <v>44</v>
      </c>
      <c r="R195">
        <v>1</v>
      </c>
      <c r="S195">
        <v>1</v>
      </c>
      <c r="T195">
        <v>1</v>
      </c>
      <c r="U195">
        <v>0</v>
      </c>
      <c r="V195">
        <v>0</v>
      </c>
      <c r="W195">
        <v>0</v>
      </c>
      <c r="X195">
        <v>1</v>
      </c>
      <c r="Y195">
        <v>0</v>
      </c>
      <c r="Z195">
        <v>1</v>
      </c>
      <c r="AA195">
        <v>0</v>
      </c>
      <c r="AB195">
        <v>0</v>
      </c>
      <c r="AC195">
        <v>0</v>
      </c>
      <c r="AD195">
        <v>0</v>
      </c>
      <c r="AE195">
        <v>0</v>
      </c>
    </row>
    <row r="196" spans="1:31" x14ac:dyDescent="0.2">
      <c r="A196" t="s">
        <v>135</v>
      </c>
      <c r="B196" t="s">
        <v>102</v>
      </c>
      <c r="C196">
        <v>38</v>
      </c>
      <c r="D196" t="s">
        <v>78</v>
      </c>
      <c r="E196" t="s">
        <v>52</v>
      </c>
      <c r="F196" t="s">
        <v>53</v>
      </c>
      <c r="G196">
        <v>27572</v>
      </c>
      <c r="H196">
        <v>0</v>
      </c>
      <c r="I196">
        <v>0</v>
      </c>
      <c r="J196">
        <v>1</v>
      </c>
      <c r="K196">
        <v>0</v>
      </c>
      <c r="L196" t="s">
        <v>35</v>
      </c>
      <c r="M196" t="s">
        <v>35</v>
      </c>
      <c r="N196" t="s">
        <v>35</v>
      </c>
      <c r="O196" t="s">
        <v>35</v>
      </c>
      <c r="P196" t="s">
        <v>35</v>
      </c>
      <c r="Q196" t="s">
        <v>35</v>
      </c>
      <c r="R196" t="s">
        <v>35</v>
      </c>
      <c r="S196">
        <v>1</v>
      </c>
      <c r="T196">
        <v>1</v>
      </c>
      <c r="U196">
        <v>0</v>
      </c>
      <c r="V196">
        <v>0</v>
      </c>
      <c r="W196">
        <v>0</v>
      </c>
      <c r="X196">
        <v>1</v>
      </c>
      <c r="Y196">
        <v>0</v>
      </c>
      <c r="Z196">
        <v>1</v>
      </c>
      <c r="AA196">
        <v>0</v>
      </c>
      <c r="AB196">
        <v>0</v>
      </c>
      <c r="AC196">
        <v>0</v>
      </c>
      <c r="AD196">
        <v>0</v>
      </c>
      <c r="AE196">
        <v>0</v>
      </c>
    </row>
    <row r="197" spans="1:31" x14ac:dyDescent="0.2">
      <c r="A197" t="s">
        <v>135</v>
      </c>
      <c r="B197" t="s">
        <v>102</v>
      </c>
      <c r="C197">
        <v>38</v>
      </c>
      <c r="D197" t="s">
        <v>78</v>
      </c>
      <c r="E197" t="s">
        <v>75</v>
      </c>
      <c r="F197" t="s">
        <v>35</v>
      </c>
      <c r="G197">
        <v>36054</v>
      </c>
      <c r="H197" t="s">
        <v>136</v>
      </c>
      <c r="I197" t="s">
        <v>137</v>
      </c>
      <c r="K197" t="s">
        <v>35</v>
      </c>
      <c r="L197" t="s">
        <v>35</v>
      </c>
      <c r="M197" t="s">
        <v>35</v>
      </c>
      <c r="N197" t="s">
        <v>35</v>
      </c>
      <c r="O197" t="s">
        <v>35</v>
      </c>
      <c r="P197" t="s">
        <v>35</v>
      </c>
      <c r="Q197" t="s">
        <v>35</v>
      </c>
      <c r="R197" t="s">
        <v>35</v>
      </c>
      <c r="S197" t="s">
        <v>35</v>
      </c>
      <c r="T197" t="s">
        <v>35</v>
      </c>
      <c r="U197" t="s">
        <v>35</v>
      </c>
      <c r="V197" t="s">
        <v>35</v>
      </c>
      <c r="W197" t="s">
        <v>35</v>
      </c>
      <c r="X197" t="s">
        <v>35</v>
      </c>
      <c r="Y197" t="s">
        <v>35</v>
      </c>
      <c r="Z197" t="s">
        <v>35</v>
      </c>
      <c r="AA197" t="s">
        <v>35</v>
      </c>
      <c r="AB197" t="s">
        <v>35</v>
      </c>
      <c r="AC197" t="s">
        <v>35</v>
      </c>
      <c r="AD197" t="s">
        <v>35</v>
      </c>
      <c r="AE197" t="s">
        <v>35</v>
      </c>
    </row>
    <row r="198" spans="1:31" x14ac:dyDescent="0.2">
      <c r="A198" t="s">
        <v>138</v>
      </c>
      <c r="B198" t="s">
        <v>102</v>
      </c>
      <c r="C198">
        <v>29</v>
      </c>
      <c r="D198" t="s">
        <v>33</v>
      </c>
      <c r="E198" t="s">
        <v>34</v>
      </c>
      <c r="F198" t="s">
        <v>35</v>
      </c>
      <c r="G198">
        <v>27200</v>
      </c>
      <c r="H198" t="s">
        <v>35</v>
      </c>
      <c r="I198" t="s">
        <v>35</v>
      </c>
      <c r="J198" t="s">
        <v>35</v>
      </c>
      <c r="K198" t="s">
        <v>35</v>
      </c>
      <c r="L198" t="s">
        <v>35</v>
      </c>
      <c r="M198" t="s">
        <v>35</v>
      </c>
      <c r="N198" t="s">
        <v>35</v>
      </c>
      <c r="O198" t="s">
        <v>35</v>
      </c>
      <c r="P198" t="s">
        <v>35</v>
      </c>
      <c r="Q198" t="s">
        <v>35</v>
      </c>
      <c r="R198" t="s">
        <v>35</v>
      </c>
      <c r="S198" t="s">
        <v>35</v>
      </c>
      <c r="T198" t="s">
        <v>35</v>
      </c>
      <c r="U198" t="s">
        <v>35</v>
      </c>
      <c r="V198" t="s">
        <v>35</v>
      </c>
      <c r="W198" t="s">
        <v>35</v>
      </c>
      <c r="X198" t="s">
        <v>35</v>
      </c>
      <c r="Y198" t="s">
        <v>35</v>
      </c>
      <c r="Z198" t="s">
        <v>35</v>
      </c>
      <c r="AA198" t="s">
        <v>35</v>
      </c>
      <c r="AB198" t="s">
        <v>35</v>
      </c>
      <c r="AC198" t="s">
        <v>35</v>
      </c>
      <c r="AD198" t="s">
        <v>35</v>
      </c>
      <c r="AE198" t="s">
        <v>35</v>
      </c>
    </row>
    <row r="199" spans="1:31" x14ac:dyDescent="0.2">
      <c r="A199" t="s">
        <v>138</v>
      </c>
      <c r="B199" t="s">
        <v>102</v>
      </c>
      <c r="C199">
        <v>29</v>
      </c>
      <c r="D199" t="s">
        <v>33</v>
      </c>
      <c r="E199" t="s">
        <v>36</v>
      </c>
      <c r="F199" t="s">
        <v>38</v>
      </c>
      <c r="G199">
        <v>17200</v>
      </c>
      <c r="H199">
        <v>0</v>
      </c>
      <c r="I199">
        <v>0</v>
      </c>
      <c r="J199">
        <v>0</v>
      </c>
      <c r="K199">
        <v>1</v>
      </c>
      <c r="L199" t="s">
        <v>35</v>
      </c>
      <c r="M199" t="s">
        <v>35</v>
      </c>
      <c r="N199" t="s">
        <v>35</v>
      </c>
      <c r="O199" t="s">
        <v>35</v>
      </c>
      <c r="P199" t="s">
        <v>35</v>
      </c>
      <c r="Q199" t="s">
        <v>35</v>
      </c>
      <c r="R199" t="s">
        <v>35</v>
      </c>
      <c r="S199" t="s">
        <v>35</v>
      </c>
      <c r="T199" t="s">
        <v>35</v>
      </c>
      <c r="U199" t="s">
        <v>35</v>
      </c>
      <c r="V199" t="s">
        <v>35</v>
      </c>
      <c r="W199" t="s">
        <v>35</v>
      </c>
      <c r="X199" t="s">
        <v>35</v>
      </c>
      <c r="Y199" t="s">
        <v>35</v>
      </c>
      <c r="Z199" t="s">
        <v>35</v>
      </c>
      <c r="AA199" t="s">
        <v>35</v>
      </c>
      <c r="AB199" t="s">
        <v>35</v>
      </c>
      <c r="AC199" t="s">
        <v>35</v>
      </c>
      <c r="AD199" t="s">
        <v>35</v>
      </c>
      <c r="AE199" t="s">
        <v>35</v>
      </c>
    </row>
    <row r="200" spans="1:31" x14ac:dyDescent="0.2">
      <c r="A200" t="s">
        <v>138</v>
      </c>
      <c r="B200" t="s">
        <v>102</v>
      </c>
      <c r="C200">
        <v>29</v>
      </c>
      <c r="D200" t="s">
        <v>33</v>
      </c>
      <c r="E200" t="s">
        <v>36</v>
      </c>
      <c r="F200" t="s">
        <v>37</v>
      </c>
      <c r="G200">
        <v>29100</v>
      </c>
      <c r="H200">
        <v>0</v>
      </c>
      <c r="I200">
        <v>1</v>
      </c>
      <c r="J200">
        <v>1</v>
      </c>
      <c r="K200">
        <v>0</v>
      </c>
      <c r="L200" t="s">
        <v>35</v>
      </c>
      <c r="M200" t="s">
        <v>35</v>
      </c>
      <c r="N200" t="s">
        <v>35</v>
      </c>
      <c r="O200" t="s">
        <v>35</v>
      </c>
      <c r="P200" t="s">
        <v>35</v>
      </c>
      <c r="Q200" t="s">
        <v>35</v>
      </c>
      <c r="R200" t="s">
        <v>35</v>
      </c>
      <c r="S200" t="s">
        <v>35</v>
      </c>
      <c r="T200" t="s">
        <v>35</v>
      </c>
      <c r="U200" t="s">
        <v>35</v>
      </c>
      <c r="V200" t="s">
        <v>35</v>
      </c>
      <c r="W200" t="s">
        <v>35</v>
      </c>
      <c r="X200" t="s">
        <v>35</v>
      </c>
      <c r="Y200" t="s">
        <v>35</v>
      </c>
      <c r="Z200" t="s">
        <v>35</v>
      </c>
      <c r="AA200" t="s">
        <v>35</v>
      </c>
      <c r="AB200" t="s">
        <v>35</v>
      </c>
      <c r="AC200" t="s">
        <v>35</v>
      </c>
      <c r="AD200" t="s">
        <v>35</v>
      </c>
      <c r="AE200" t="s">
        <v>35</v>
      </c>
    </row>
    <row r="201" spans="1:31" x14ac:dyDescent="0.2">
      <c r="A201" t="s">
        <v>138</v>
      </c>
      <c r="B201" t="s">
        <v>102</v>
      </c>
      <c r="C201">
        <v>29</v>
      </c>
      <c r="D201" t="s">
        <v>33</v>
      </c>
      <c r="E201" t="s">
        <v>39</v>
      </c>
      <c r="F201" t="s">
        <v>63</v>
      </c>
      <c r="G201">
        <v>26800</v>
      </c>
      <c r="H201">
        <v>1</v>
      </c>
      <c r="I201">
        <v>1</v>
      </c>
      <c r="J201">
        <v>1</v>
      </c>
      <c r="K201">
        <v>0</v>
      </c>
      <c r="L201" t="s">
        <v>65</v>
      </c>
      <c r="M201" t="s">
        <v>90</v>
      </c>
      <c r="N201" t="s">
        <v>85</v>
      </c>
      <c r="O201" t="s">
        <v>68</v>
      </c>
      <c r="P201" t="s">
        <v>44</v>
      </c>
      <c r="Q201" t="s">
        <v>51</v>
      </c>
      <c r="R201">
        <v>1</v>
      </c>
      <c r="S201">
        <v>1</v>
      </c>
      <c r="T201">
        <v>0</v>
      </c>
      <c r="U201">
        <v>0</v>
      </c>
      <c r="V201">
        <v>0</v>
      </c>
      <c r="W201">
        <v>0</v>
      </c>
      <c r="X201">
        <v>1</v>
      </c>
      <c r="Y201">
        <v>1</v>
      </c>
      <c r="Z201">
        <v>1</v>
      </c>
      <c r="AA201">
        <v>0</v>
      </c>
      <c r="AB201">
        <v>0</v>
      </c>
      <c r="AC201">
        <v>0</v>
      </c>
      <c r="AD201">
        <v>0</v>
      </c>
      <c r="AE201">
        <v>0</v>
      </c>
    </row>
    <row r="202" spans="1:31" x14ac:dyDescent="0.2">
      <c r="A202" t="s">
        <v>138</v>
      </c>
      <c r="B202" t="s">
        <v>102</v>
      </c>
      <c r="C202">
        <v>29</v>
      </c>
      <c r="D202" t="s">
        <v>33</v>
      </c>
      <c r="E202" t="s">
        <v>39</v>
      </c>
      <c r="F202" t="s">
        <v>70</v>
      </c>
      <c r="G202">
        <v>25100</v>
      </c>
      <c r="H202">
        <v>0</v>
      </c>
      <c r="I202">
        <v>0</v>
      </c>
      <c r="J202">
        <v>0</v>
      </c>
      <c r="K202">
        <v>1</v>
      </c>
      <c r="L202" t="s">
        <v>71</v>
      </c>
      <c r="M202" t="s">
        <v>73</v>
      </c>
      <c r="N202" t="s">
        <v>86</v>
      </c>
      <c r="O202" t="s">
        <v>45</v>
      </c>
      <c r="P202" t="s">
        <v>44</v>
      </c>
      <c r="Q202" t="s">
        <v>46</v>
      </c>
      <c r="R202">
        <v>0</v>
      </c>
      <c r="S202">
        <v>1</v>
      </c>
      <c r="T202">
        <v>1</v>
      </c>
      <c r="U202">
        <v>0</v>
      </c>
      <c r="V202">
        <v>1</v>
      </c>
      <c r="W202">
        <v>0</v>
      </c>
      <c r="X202">
        <v>1</v>
      </c>
      <c r="Y202">
        <v>0</v>
      </c>
      <c r="Z202">
        <v>0</v>
      </c>
      <c r="AA202">
        <v>0</v>
      </c>
      <c r="AB202">
        <v>0</v>
      </c>
      <c r="AC202">
        <v>0</v>
      </c>
      <c r="AD202">
        <v>0</v>
      </c>
      <c r="AE202">
        <v>1</v>
      </c>
    </row>
    <row r="203" spans="1:31" x14ac:dyDescent="0.2">
      <c r="A203" t="s">
        <v>138</v>
      </c>
      <c r="B203" t="s">
        <v>102</v>
      </c>
      <c r="C203">
        <v>29</v>
      </c>
      <c r="D203" t="s">
        <v>33</v>
      </c>
      <c r="E203" t="s">
        <v>52</v>
      </c>
      <c r="F203" t="s">
        <v>58</v>
      </c>
      <c r="G203">
        <v>15600</v>
      </c>
      <c r="H203">
        <v>1</v>
      </c>
      <c r="I203">
        <v>1</v>
      </c>
      <c r="J203">
        <v>0</v>
      </c>
      <c r="K203">
        <v>0</v>
      </c>
      <c r="L203" t="s">
        <v>35</v>
      </c>
      <c r="M203" t="s">
        <v>35</v>
      </c>
      <c r="N203" t="s">
        <v>35</v>
      </c>
      <c r="O203" t="s">
        <v>35</v>
      </c>
      <c r="P203" t="s">
        <v>35</v>
      </c>
      <c r="Q203" t="s">
        <v>35</v>
      </c>
      <c r="R203" t="s">
        <v>35</v>
      </c>
      <c r="S203">
        <v>1</v>
      </c>
      <c r="T203">
        <v>1</v>
      </c>
      <c r="U203">
        <v>0</v>
      </c>
      <c r="V203">
        <v>1</v>
      </c>
      <c r="W203">
        <v>0</v>
      </c>
      <c r="X203">
        <v>1</v>
      </c>
      <c r="Y203">
        <v>0</v>
      </c>
      <c r="Z203">
        <v>0</v>
      </c>
      <c r="AA203">
        <v>0</v>
      </c>
      <c r="AB203">
        <v>0</v>
      </c>
      <c r="AC203">
        <v>0</v>
      </c>
      <c r="AD203">
        <v>0</v>
      </c>
      <c r="AE203">
        <v>1</v>
      </c>
    </row>
    <row r="204" spans="1:31" x14ac:dyDescent="0.2">
      <c r="A204" t="s">
        <v>138</v>
      </c>
      <c r="B204" t="s">
        <v>102</v>
      </c>
      <c r="C204">
        <v>29</v>
      </c>
      <c r="D204" t="s">
        <v>33</v>
      </c>
      <c r="E204" t="s">
        <v>39</v>
      </c>
      <c r="F204" t="s">
        <v>54</v>
      </c>
      <c r="G204">
        <v>11500</v>
      </c>
      <c r="H204">
        <v>0</v>
      </c>
      <c r="I204">
        <v>0</v>
      </c>
      <c r="J204">
        <v>0</v>
      </c>
      <c r="K204">
        <v>1</v>
      </c>
      <c r="L204" t="s">
        <v>122</v>
      </c>
      <c r="M204" t="s">
        <v>55</v>
      </c>
      <c r="N204" t="s">
        <v>56</v>
      </c>
      <c r="O204" t="s">
        <v>68</v>
      </c>
      <c r="P204" t="s">
        <v>44</v>
      </c>
      <c r="Q204" t="s">
        <v>45</v>
      </c>
      <c r="R204">
        <v>1</v>
      </c>
      <c r="S204">
        <v>1</v>
      </c>
      <c r="T204">
        <v>0</v>
      </c>
      <c r="U204">
        <v>0</v>
      </c>
      <c r="V204">
        <v>1</v>
      </c>
      <c r="W204">
        <v>0</v>
      </c>
      <c r="X204">
        <v>1</v>
      </c>
      <c r="Y204">
        <v>0</v>
      </c>
      <c r="Z204">
        <v>0</v>
      </c>
      <c r="AA204">
        <v>0</v>
      </c>
      <c r="AB204">
        <v>0</v>
      </c>
      <c r="AC204">
        <v>0</v>
      </c>
      <c r="AD204">
        <v>0</v>
      </c>
      <c r="AE204">
        <v>1</v>
      </c>
    </row>
    <row r="205" spans="1:31" x14ac:dyDescent="0.2">
      <c r="A205" t="s">
        <v>138</v>
      </c>
      <c r="B205" t="s">
        <v>102</v>
      </c>
      <c r="C205">
        <v>29</v>
      </c>
      <c r="D205" t="s">
        <v>33</v>
      </c>
      <c r="E205" t="s">
        <v>52</v>
      </c>
      <c r="F205" t="s">
        <v>69</v>
      </c>
      <c r="G205">
        <v>31200</v>
      </c>
      <c r="H205">
        <v>0</v>
      </c>
      <c r="I205">
        <v>0</v>
      </c>
      <c r="J205">
        <v>1</v>
      </c>
      <c r="K205">
        <v>0</v>
      </c>
      <c r="L205" t="s">
        <v>35</v>
      </c>
      <c r="M205" t="s">
        <v>35</v>
      </c>
      <c r="N205" t="s">
        <v>35</v>
      </c>
      <c r="O205" t="s">
        <v>35</v>
      </c>
      <c r="P205" t="s">
        <v>35</v>
      </c>
      <c r="Q205" t="s">
        <v>35</v>
      </c>
      <c r="R205" t="s">
        <v>35</v>
      </c>
      <c r="S205">
        <v>1</v>
      </c>
      <c r="T205">
        <v>0</v>
      </c>
      <c r="U205">
        <v>0</v>
      </c>
      <c r="V205">
        <v>1</v>
      </c>
      <c r="W205">
        <v>0</v>
      </c>
      <c r="X205">
        <v>1</v>
      </c>
      <c r="Y205">
        <v>0</v>
      </c>
      <c r="Z205">
        <v>0</v>
      </c>
      <c r="AA205">
        <v>0</v>
      </c>
      <c r="AB205">
        <v>0</v>
      </c>
      <c r="AC205">
        <v>0</v>
      </c>
      <c r="AD205">
        <v>0</v>
      </c>
      <c r="AE205">
        <v>1</v>
      </c>
    </row>
    <row r="206" spans="1:31" x14ac:dyDescent="0.2">
      <c r="A206" t="s">
        <v>138</v>
      </c>
      <c r="B206" t="s">
        <v>102</v>
      </c>
      <c r="C206">
        <v>29</v>
      </c>
      <c r="D206" t="s">
        <v>33</v>
      </c>
      <c r="E206" t="s">
        <v>39</v>
      </c>
      <c r="F206" t="s">
        <v>47</v>
      </c>
      <c r="G206">
        <v>8500</v>
      </c>
      <c r="H206">
        <v>0</v>
      </c>
      <c r="I206">
        <v>0</v>
      </c>
      <c r="J206">
        <v>0</v>
      </c>
      <c r="K206">
        <v>1</v>
      </c>
      <c r="L206" t="s">
        <v>79</v>
      </c>
      <c r="M206" t="s">
        <v>49</v>
      </c>
      <c r="N206" t="s">
        <v>80</v>
      </c>
      <c r="O206" t="s">
        <v>45</v>
      </c>
      <c r="P206" t="s">
        <v>44</v>
      </c>
      <c r="Q206" t="s">
        <v>67</v>
      </c>
      <c r="R206">
        <v>0</v>
      </c>
      <c r="S206">
        <v>1</v>
      </c>
      <c r="T206">
        <v>0</v>
      </c>
      <c r="U206">
        <v>1</v>
      </c>
      <c r="V206">
        <v>1</v>
      </c>
      <c r="W206">
        <v>0</v>
      </c>
      <c r="X206">
        <v>1</v>
      </c>
      <c r="Y206">
        <v>0</v>
      </c>
      <c r="Z206">
        <v>0</v>
      </c>
      <c r="AA206">
        <v>0</v>
      </c>
      <c r="AB206">
        <v>0</v>
      </c>
      <c r="AC206">
        <v>0</v>
      </c>
      <c r="AD206">
        <v>0</v>
      </c>
      <c r="AE206">
        <v>1</v>
      </c>
    </row>
    <row r="207" spans="1:31" x14ac:dyDescent="0.2">
      <c r="A207" t="s">
        <v>138</v>
      </c>
      <c r="B207" t="s">
        <v>102</v>
      </c>
      <c r="C207">
        <v>29</v>
      </c>
      <c r="D207" t="s">
        <v>33</v>
      </c>
      <c r="E207" t="s">
        <v>39</v>
      </c>
      <c r="F207" t="s">
        <v>59</v>
      </c>
      <c r="G207">
        <v>6700</v>
      </c>
      <c r="H207">
        <v>0</v>
      </c>
      <c r="I207">
        <v>0</v>
      </c>
      <c r="J207">
        <v>0</v>
      </c>
      <c r="K207">
        <v>1</v>
      </c>
      <c r="L207" t="s">
        <v>94</v>
      </c>
      <c r="M207" t="s">
        <v>62</v>
      </c>
      <c r="N207" t="s">
        <v>99</v>
      </c>
      <c r="O207" t="s">
        <v>68</v>
      </c>
      <c r="P207" t="s">
        <v>45</v>
      </c>
      <c r="Q207" t="s">
        <v>67</v>
      </c>
      <c r="R207">
        <v>1</v>
      </c>
      <c r="S207">
        <v>0</v>
      </c>
      <c r="T207">
        <v>0</v>
      </c>
      <c r="U207">
        <v>1</v>
      </c>
      <c r="V207">
        <v>1</v>
      </c>
      <c r="W207">
        <v>0</v>
      </c>
      <c r="X207">
        <v>1</v>
      </c>
      <c r="Y207">
        <v>0</v>
      </c>
      <c r="Z207">
        <v>0</v>
      </c>
      <c r="AA207">
        <v>0</v>
      </c>
      <c r="AB207">
        <v>0</v>
      </c>
      <c r="AC207">
        <v>0</v>
      </c>
      <c r="AD207">
        <v>0</v>
      </c>
      <c r="AE207">
        <v>1</v>
      </c>
    </row>
    <row r="208" spans="1:31" x14ac:dyDescent="0.2">
      <c r="A208" t="s">
        <v>138</v>
      </c>
      <c r="B208" t="s">
        <v>102</v>
      </c>
      <c r="C208">
        <v>29</v>
      </c>
      <c r="D208" t="s">
        <v>33</v>
      </c>
      <c r="E208" t="s">
        <v>52</v>
      </c>
      <c r="F208" t="s">
        <v>74</v>
      </c>
      <c r="G208">
        <v>15200</v>
      </c>
      <c r="H208">
        <v>1</v>
      </c>
      <c r="I208">
        <v>0</v>
      </c>
      <c r="J208">
        <v>0</v>
      </c>
      <c r="K208">
        <v>0</v>
      </c>
      <c r="L208" t="s">
        <v>35</v>
      </c>
      <c r="M208" t="s">
        <v>35</v>
      </c>
      <c r="N208" t="s">
        <v>35</v>
      </c>
      <c r="O208" t="s">
        <v>35</v>
      </c>
      <c r="P208" t="s">
        <v>35</v>
      </c>
      <c r="Q208" t="s">
        <v>35</v>
      </c>
      <c r="R208" t="s">
        <v>35</v>
      </c>
      <c r="S208">
        <v>0</v>
      </c>
      <c r="T208">
        <v>0</v>
      </c>
      <c r="U208">
        <v>1</v>
      </c>
      <c r="V208">
        <v>1</v>
      </c>
      <c r="W208">
        <v>0</v>
      </c>
      <c r="X208">
        <v>1</v>
      </c>
      <c r="Y208">
        <v>0</v>
      </c>
      <c r="Z208">
        <v>0</v>
      </c>
      <c r="AA208">
        <v>0</v>
      </c>
      <c r="AB208">
        <v>0</v>
      </c>
      <c r="AC208">
        <v>0</v>
      </c>
      <c r="AD208">
        <v>0</v>
      </c>
      <c r="AE208">
        <v>1</v>
      </c>
    </row>
    <row r="209" spans="1:31" x14ac:dyDescent="0.2">
      <c r="A209" t="s">
        <v>138</v>
      </c>
      <c r="B209" t="s">
        <v>102</v>
      </c>
      <c r="C209">
        <v>29</v>
      </c>
      <c r="D209" t="s">
        <v>33</v>
      </c>
      <c r="E209" t="s">
        <v>39</v>
      </c>
      <c r="F209" t="s">
        <v>40</v>
      </c>
      <c r="G209">
        <v>56000</v>
      </c>
      <c r="H209">
        <v>0</v>
      </c>
      <c r="I209">
        <v>0</v>
      </c>
      <c r="J209">
        <v>0</v>
      </c>
      <c r="K209">
        <v>1</v>
      </c>
      <c r="L209" t="s">
        <v>41</v>
      </c>
      <c r="M209" t="s">
        <v>81</v>
      </c>
      <c r="N209" t="s">
        <v>42</v>
      </c>
      <c r="O209" t="s">
        <v>44</v>
      </c>
      <c r="P209" t="s">
        <v>67</v>
      </c>
      <c r="Q209" t="s">
        <v>45</v>
      </c>
      <c r="R209">
        <v>0</v>
      </c>
      <c r="S209">
        <v>1</v>
      </c>
      <c r="T209">
        <v>0</v>
      </c>
      <c r="U209">
        <v>1</v>
      </c>
      <c r="V209">
        <v>1</v>
      </c>
      <c r="W209">
        <v>0</v>
      </c>
      <c r="X209">
        <v>1</v>
      </c>
      <c r="Y209">
        <v>0</v>
      </c>
      <c r="Z209">
        <v>0</v>
      </c>
      <c r="AA209">
        <v>0</v>
      </c>
      <c r="AB209">
        <v>0</v>
      </c>
      <c r="AC209">
        <v>0</v>
      </c>
      <c r="AD209">
        <v>0</v>
      </c>
      <c r="AE209">
        <v>1</v>
      </c>
    </row>
    <row r="210" spans="1:31" x14ac:dyDescent="0.2">
      <c r="A210" t="s">
        <v>138</v>
      </c>
      <c r="B210" t="s">
        <v>102</v>
      </c>
      <c r="C210">
        <v>29</v>
      </c>
      <c r="D210" t="s">
        <v>33</v>
      </c>
      <c r="E210" t="s">
        <v>52</v>
      </c>
      <c r="F210" t="s">
        <v>53</v>
      </c>
      <c r="G210">
        <v>45300</v>
      </c>
      <c r="H210">
        <v>0</v>
      </c>
      <c r="I210">
        <v>0</v>
      </c>
      <c r="J210">
        <v>0</v>
      </c>
      <c r="K210">
        <v>1</v>
      </c>
      <c r="L210" t="s">
        <v>35</v>
      </c>
      <c r="M210" t="s">
        <v>35</v>
      </c>
      <c r="N210" t="s">
        <v>35</v>
      </c>
      <c r="O210" t="s">
        <v>35</v>
      </c>
      <c r="P210" t="s">
        <v>35</v>
      </c>
      <c r="Q210" t="s">
        <v>35</v>
      </c>
      <c r="R210" t="s">
        <v>35</v>
      </c>
      <c r="S210">
        <v>1</v>
      </c>
      <c r="T210">
        <v>0</v>
      </c>
      <c r="U210">
        <v>1</v>
      </c>
      <c r="V210">
        <v>1</v>
      </c>
      <c r="W210">
        <v>0</v>
      </c>
      <c r="X210">
        <v>1</v>
      </c>
      <c r="Y210">
        <v>0</v>
      </c>
      <c r="Z210">
        <v>0</v>
      </c>
      <c r="AA210">
        <v>0</v>
      </c>
      <c r="AB210">
        <v>0</v>
      </c>
      <c r="AC210">
        <v>0</v>
      </c>
      <c r="AD210">
        <v>0</v>
      </c>
      <c r="AE210">
        <v>1</v>
      </c>
    </row>
    <row r="211" spans="1:31" x14ac:dyDescent="0.2">
      <c r="A211" t="s">
        <v>138</v>
      </c>
      <c r="B211" t="s">
        <v>102</v>
      </c>
      <c r="C211">
        <v>29</v>
      </c>
      <c r="D211" t="s">
        <v>33</v>
      </c>
      <c r="E211" t="s">
        <v>75</v>
      </c>
      <c r="F211" t="s">
        <v>35</v>
      </c>
      <c r="G211">
        <v>102600</v>
      </c>
      <c r="H211" t="s">
        <v>139</v>
      </c>
      <c r="I211" t="s">
        <v>140</v>
      </c>
      <c r="J211" t="s">
        <v>141</v>
      </c>
      <c r="K211" t="s">
        <v>35</v>
      </c>
      <c r="L211" t="s">
        <v>35</v>
      </c>
      <c r="M211" t="s">
        <v>35</v>
      </c>
      <c r="N211" t="s">
        <v>35</v>
      </c>
      <c r="O211" t="s">
        <v>35</v>
      </c>
      <c r="P211" t="s">
        <v>35</v>
      </c>
      <c r="Q211" t="s">
        <v>35</v>
      </c>
      <c r="R211" t="s">
        <v>35</v>
      </c>
      <c r="S211" t="s">
        <v>35</v>
      </c>
      <c r="T211" t="s">
        <v>35</v>
      </c>
      <c r="U211" t="s">
        <v>35</v>
      </c>
      <c r="V211" t="s">
        <v>35</v>
      </c>
      <c r="W211" t="s">
        <v>35</v>
      </c>
      <c r="X211" t="s">
        <v>35</v>
      </c>
      <c r="Y211" t="s">
        <v>35</v>
      </c>
      <c r="Z211" t="s">
        <v>35</v>
      </c>
      <c r="AA211" t="s">
        <v>35</v>
      </c>
      <c r="AB211" t="s">
        <v>35</v>
      </c>
      <c r="AC211" t="s">
        <v>35</v>
      </c>
      <c r="AD211" t="s">
        <v>35</v>
      </c>
      <c r="AE211" t="s">
        <v>35</v>
      </c>
    </row>
    <row r="212" spans="1:31" x14ac:dyDescent="0.2">
      <c r="A212" t="s">
        <v>142</v>
      </c>
      <c r="B212" t="s">
        <v>102</v>
      </c>
      <c r="C212">
        <v>40</v>
      </c>
      <c r="D212" t="s">
        <v>33</v>
      </c>
      <c r="E212" t="s">
        <v>34</v>
      </c>
      <c r="F212" t="s">
        <v>35</v>
      </c>
      <c r="G212">
        <v>63155</v>
      </c>
      <c r="H212" t="s">
        <v>35</v>
      </c>
      <c r="I212" t="s">
        <v>35</v>
      </c>
      <c r="J212" t="s">
        <v>35</v>
      </c>
      <c r="K212" t="s">
        <v>35</v>
      </c>
      <c r="L212" t="s">
        <v>35</v>
      </c>
      <c r="M212" t="s">
        <v>35</v>
      </c>
      <c r="N212" t="s">
        <v>35</v>
      </c>
      <c r="O212" t="s">
        <v>35</v>
      </c>
      <c r="P212" t="s">
        <v>35</v>
      </c>
      <c r="Q212" t="s">
        <v>35</v>
      </c>
      <c r="R212" t="s">
        <v>35</v>
      </c>
      <c r="S212" t="s">
        <v>35</v>
      </c>
      <c r="T212" t="s">
        <v>35</v>
      </c>
      <c r="U212" t="s">
        <v>35</v>
      </c>
      <c r="V212" t="s">
        <v>35</v>
      </c>
      <c r="W212" t="s">
        <v>35</v>
      </c>
      <c r="X212" t="s">
        <v>35</v>
      </c>
      <c r="Y212" t="s">
        <v>35</v>
      </c>
      <c r="Z212" t="s">
        <v>35</v>
      </c>
      <c r="AA212" t="s">
        <v>35</v>
      </c>
      <c r="AB212" t="s">
        <v>35</v>
      </c>
      <c r="AC212" t="s">
        <v>35</v>
      </c>
      <c r="AD212" t="s">
        <v>35</v>
      </c>
      <c r="AE212" t="s">
        <v>35</v>
      </c>
    </row>
    <row r="213" spans="1:31" x14ac:dyDescent="0.2">
      <c r="A213" t="s">
        <v>142</v>
      </c>
      <c r="B213" t="s">
        <v>102</v>
      </c>
      <c r="C213">
        <v>40</v>
      </c>
      <c r="D213" t="s">
        <v>33</v>
      </c>
      <c r="E213" t="s">
        <v>36</v>
      </c>
      <c r="F213" t="s">
        <v>38</v>
      </c>
      <c r="G213">
        <v>52091</v>
      </c>
      <c r="H213">
        <v>0</v>
      </c>
      <c r="I213">
        <v>0</v>
      </c>
      <c r="J213">
        <v>0</v>
      </c>
      <c r="K213">
        <v>1</v>
      </c>
      <c r="L213" t="s">
        <v>35</v>
      </c>
      <c r="M213" t="s">
        <v>35</v>
      </c>
      <c r="N213" t="s">
        <v>35</v>
      </c>
      <c r="O213" t="s">
        <v>35</v>
      </c>
      <c r="P213" t="s">
        <v>35</v>
      </c>
      <c r="Q213" t="s">
        <v>35</v>
      </c>
      <c r="R213" t="s">
        <v>35</v>
      </c>
      <c r="S213" t="s">
        <v>35</v>
      </c>
      <c r="T213" t="s">
        <v>35</v>
      </c>
      <c r="U213" t="s">
        <v>35</v>
      </c>
      <c r="V213" t="s">
        <v>35</v>
      </c>
      <c r="W213" t="s">
        <v>35</v>
      </c>
      <c r="X213" t="s">
        <v>35</v>
      </c>
      <c r="Y213" t="s">
        <v>35</v>
      </c>
      <c r="Z213" t="s">
        <v>35</v>
      </c>
      <c r="AA213" t="s">
        <v>35</v>
      </c>
      <c r="AB213" t="s">
        <v>35</v>
      </c>
      <c r="AC213" t="s">
        <v>35</v>
      </c>
      <c r="AD213" t="s">
        <v>35</v>
      </c>
      <c r="AE213" t="s">
        <v>35</v>
      </c>
    </row>
    <row r="214" spans="1:31" x14ac:dyDescent="0.2">
      <c r="A214" t="s">
        <v>142</v>
      </c>
      <c r="B214" t="s">
        <v>102</v>
      </c>
      <c r="C214">
        <v>40</v>
      </c>
      <c r="D214" t="s">
        <v>33</v>
      </c>
      <c r="E214" t="s">
        <v>36</v>
      </c>
      <c r="F214" t="s">
        <v>37</v>
      </c>
      <c r="G214">
        <v>39191</v>
      </c>
      <c r="H214">
        <v>0</v>
      </c>
      <c r="I214">
        <v>1</v>
      </c>
      <c r="J214">
        <v>0</v>
      </c>
      <c r="K214">
        <v>0</v>
      </c>
      <c r="L214" t="s">
        <v>35</v>
      </c>
      <c r="M214" t="s">
        <v>35</v>
      </c>
      <c r="N214" t="s">
        <v>35</v>
      </c>
      <c r="O214" t="s">
        <v>35</v>
      </c>
      <c r="P214" t="s">
        <v>35</v>
      </c>
      <c r="Q214" t="s">
        <v>35</v>
      </c>
      <c r="R214" t="s">
        <v>35</v>
      </c>
      <c r="S214" t="s">
        <v>35</v>
      </c>
      <c r="T214" t="s">
        <v>35</v>
      </c>
      <c r="U214" t="s">
        <v>35</v>
      </c>
      <c r="V214" t="s">
        <v>35</v>
      </c>
      <c r="W214" t="s">
        <v>35</v>
      </c>
      <c r="X214" t="s">
        <v>35</v>
      </c>
      <c r="Y214" t="s">
        <v>35</v>
      </c>
      <c r="Z214" t="s">
        <v>35</v>
      </c>
      <c r="AA214" t="s">
        <v>35</v>
      </c>
      <c r="AB214" t="s">
        <v>35</v>
      </c>
      <c r="AC214" t="s">
        <v>35</v>
      </c>
      <c r="AD214" t="s">
        <v>35</v>
      </c>
      <c r="AE214" t="s">
        <v>35</v>
      </c>
    </row>
    <row r="215" spans="1:31" x14ac:dyDescent="0.2">
      <c r="A215" t="s">
        <v>142</v>
      </c>
      <c r="B215" t="s">
        <v>102</v>
      </c>
      <c r="C215">
        <v>40</v>
      </c>
      <c r="D215" t="s">
        <v>33</v>
      </c>
      <c r="E215" t="s">
        <v>39</v>
      </c>
      <c r="F215" t="s">
        <v>40</v>
      </c>
      <c r="G215">
        <v>35357</v>
      </c>
      <c r="H215">
        <v>1</v>
      </c>
      <c r="I215">
        <v>1</v>
      </c>
      <c r="J215">
        <v>1</v>
      </c>
      <c r="K215">
        <v>0</v>
      </c>
      <c r="L215" t="s">
        <v>82</v>
      </c>
      <c r="M215" t="s">
        <v>42</v>
      </c>
      <c r="N215" t="s">
        <v>41</v>
      </c>
      <c r="O215" t="s">
        <v>68</v>
      </c>
      <c r="P215" t="s">
        <v>45</v>
      </c>
      <c r="Q215" t="s">
        <v>44</v>
      </c>
      <c r="R215">
        <v>1</v>
      </c>
      <c r="S215">
        <v>1</v>
      </c>
      <c r="T215">
        <v>0</v>
      </c>
      <c r="U215">
        <v>0</v>
      </c>
      <c r="V215">
        <v>1</v>
      </c>
      <c r="W215">
        <v>0</v>
      </c>
      <c r="X215">
        <v>1</v>
      </c>
      <c r="Y215">
        <v>1</v>
      </c>
      <c r="Z215">
        <v>1</v>
      </c>
      <c r="AA215">
        <v>0</v>
      </c>
      <c r="AB215">
        <v>0</v>
      </c>
      <c r="AC215">
        <v>1</v>
      </c>
      <c r="AD215">
        <v>0</v>
      </c>
      <c r="AE215">
        <v>0</v>
      </c>
    </row>
    <row r="216" spans="1:31" x14ac:dyDescent="0.2">
      <c r="A216" t="s">
        <v>142</v>
      </c>
      <c r="B216" t="s">
        <v>102</v>
      </c>
      <c r="C216">
        <v>40</v>
      </c>
      <c r="D216" t="s">
        <v>33</v>
      </c>
      <c r="E216" t="s">
        <v>39</v>
      </c>
      <c r="F216" t="s">
        <v>63</v>
      </c>
      <c r="G216">
        <v>26005</v>
      </c>
      <c r="H216">
        <v>1</v>
      </c>
      <c r="I216">
        <v>1</v>
      </c>
      <c r="J216">
        <v>1</v>
      </c>
      <c r="K216">
        <v>0</v>
      </c>
      <c r="L216" t="s">
        <v>66</v>
      </c>
      <c r="M216" t="s">
        <v>85</v>
      </c>
      <c r="N216" t="s">
        <v>84</v>
      </c>
      <c r="O216" t="s">
        <v>45</v>
      </c>
      <c r="P216" t="s">
        <v>51</v>
      </c>
      <c r="Q216" t="s">
        <v>46</v>
      </c>
      <c r="R216">
        <v>0</v>
      </c>
      <c r="S216">
        <v>0</v>
      </c>
      <c r="T216">
        <v>1</v>
      </c>
      <c r="U216">
        <v>0</v>
      </c>
      <c r="V216">
        <v>1</v>
      </c>
      <c r="W216">
        <v>0</v>
      </c>
      <c r="X216">
        <v>1</v>
      </c>
      <c r="Y216">
        <v>0</v>
      </c>
      <c r="Z216">
        <v>0</v>
      </c>
      <c r="AA216">
        <v>1</v>
      </c>
      <c r="AB216">
        <v>0</v>
      </c>
      <c r="AC216">
        <v>1</v>
      </c>
      <c r="AD216">
        <v>0</v>
      </c>
      <c r="AE216">
        <v>0</v>
      </c>
    </row>
    <row r="217" spans="1:31" x14ac:dyDescent="0.2">
      <c r="A217" t="s">
        <v>142</v>
      </c>
      <c r="B217" t="s">
        <v>102</v>
      </c>
      <c r="C217">
        <v>40</v>
      </c>
      <c r="D217" t="s">
        <v>33</v>
      </c>
      <c r="E217" t="s">
        <v>52</v>
      </c>
      <c r="F217" t="s">
        <v>74</v>
      </c>
      <c r="G217">
        <v>38592</v>
      </c>
      <c r="H217">
        <v>1</v>
      </c>
      <c r="I217">
        <v>1</v>
      </c>
      <c r="J217">
        <v>0</v>
      </c>
      <c r="K217">
        <v>0</v>
      </c>
      <c r="L217" t="s">
        <v>35</v>
      </c>
      <c r="M217" t="s">
        <v>35</v>
      </c>
      <c r="N217" t="s">
        <v>35</v>
      </c>
      <c r="O217" t="s">
        <v>35</v>
      </c>
      <c r="P217" t="s">
        <v>35</v>
      </c>
      <c r="Q217" t="s">
        <v>35</v>
      </c>
      <c r="R217" t="s">
        <v>35</v>
      </c>
      <c r="S217">
        <v>0</v>
      </c>
      <c r="T217">
        <v>1</v>
      </c>
      <c r="U217">
        <v>0</v>
      </c>
      <c r="V217">
        <v>1</v>
      </c>
      <c r="W217">
        <v>0</v>
      </c>
      <c r="X217">
        <v>1</v>
      </c>
      <c r="Y217">
        <v>0</v>
      </c>
      <c r="Z217">
        <v>0</v>
      </c>
      <c r="AA217">
        <v>1</v>
      </c>
      <c r="AB217">
        <v>0</v>
      </c>
      <c r="AC217">
        <v>1</v>
      </c>
      <c r="AD217">
        <v>0</v>
      </c>
      <c r="AE217">
        <v>0</v>
      </c>
    </row>
    <row r="218" spans="1:31" x14ac:dyDescent="0.2">
      <c r="A218" t="s">
        <v>142</v>
      </c>
      <c r="B218" t="s">
        <v>102</v>
      </c>
      <c r="C218">
        <v>40</v>
      </c>
      <c r="D218" t="s">
        <v>33</v>
      </c>
      <c r="E218" t="s">
        <v>39</v>
      </c>
      <c r="F218" t="s">
        <v>54</v>
      </c>
      <c r="G218">
        <v>18726</v>
      </c>
      <c r="H218">
        <v>1</v>
      </c>
      <c r="I218">
        <v>1</v>
      </c>
      <c r="J218">
        <v>1</v>
      </c>
      <c r="K218">
        <v>0</v>
      </c>
      <c r="L218" t="s">
        <v>55</v>
      </c>
      <c r="M218" t="s">
        <v>122</v>
      </c>
      <c r="N218" t="s">
        <v>56</v>
      </c>
      <c r="O218" t="s">
        <v>44</v>
      </c>
      <c r="P218" t="s">
        <v>68</v>
      </c>
      <c r="Q218" t="s">
        <v>45</v>
      </c>
      <c r="R218">
        <v>1</v>
      </c>
      <c r="S218">
        <v>1</v>
      </c>
      <c r="T218">
        <v>0</v>
      </c>
      <c r="U218">
        <v>0</v>
      </c>
      <c r="V218">
        <v>1</v>
      </c>
      <c r="W218">
        <v>0</v>
      </c>
      <c r="X218">
        <v>1</v>
      </c>
      <c r="Y218">
        <v>1</v>
      </c>
      <c r="Z218">
        <v>1</v>
      </c>
      <c r="AA218">
        <v>0</v>
      </c>
      <c r="AB218">
        <v>0</v>
      </c>
      <c r="AC218">
        <v>1</v>
      </c>
      <c r="AD218">
        <v>0</v>
      </c>
      <c r="AE218">
        <v>0</v>
      </c>
    </row>
    <row r="219" spans="1:31" x14ac:dyDescent="0.2">
      <c r="A219" t="s">
        <v>142</v>
      </c>
      <c r="B219" t="s">
        <v>102</v>
      </c>
      <c r="C219">
        <v>40</v>
      </c>
      <c r="D219" t="s">
        <v>33</v>
      </c>
      <c r="E219" t="s">
        <v>39</v>
      </c>
      <c r="F219" t="s">
        <v>47</v>
      </c>
      <c r="G219">
        <v>32512</v>
      </c>
      <c r="H219">
        <v>0</v>
      </c>
      <c r="I219">
        <v>0</v>
      </c>
      <c r="J219">
        <v>0</v>
      </c>
      <c r="K219">
        <v>1</v>
      </c>
      <c r="L219" t="s">
        <v>49</v>
      </c>
      <c r="M219" t="s">
        <v>48</v>
      </c>
      <c r="N219" t="s">
        <v>79</v>
      </c>
      <c r="O219" t="s">
        <v>44</v>
      </c>
      <c r="P219" t="s">
        <v>46</v>
      </c>
      <c r="Q219" t="s">
        <v>45</v>
      </c>
      <c r="R219">
        <v>0</v>
      </c>
      <c r="S219">
        <v>1</v>
      </c>
      <c r="T219">
        <v>1</v>
      </c>
      <c r="U219">
        <v>0</v>
      </c>
      <c r="V219">
        <v>1</v>
      </c>
      <c r="W219">
        <v>0</v>
      </c>
      <c r="X219">
        <v>1</v>
      </c>
      <c r="Y219">
        <v>0</v>
      </c>
      <c r="Z219">
        <v>0</v>
      </c>
      <c r="AA219">
        <v>0</v>
      </c>
      <c r="AB219">
        <v>0</v>
      </c>
      <c r="AC219">
        <v>0</v>
      </c>
      <c r="AD219">
        <v>0</v>
      </c>
      <c r="AE219">
        <v>1</v>
      </c>
    </row>
    <row r="220" spans="1:31" x14ac:dyDescent="0.2">
      <c r="A220" t="s">
        <v>142</v>
      </c>
      <c r="B220" t="s">
        <v>102</v>
      </c>
      <c r="C220">
        <v>40</v>
      </c>
      <c r="D220" t="s">
        <v>33</v>
      </c>
      <c r="E220" t="s">
        <v>52</v>
      </c>
      <c r="F220" t="s">
        <v>53</v>
      </c>
      <c r="G220">
        <v>34543</v>
      </c>
      <c r="H220">
        <v>0</v>
      </c>
      <c r="I220">
        <v>0</v>
      </c>
      <c r="J220">
        <v>0</v>
      </c>
      <c r="K220">
        <v>1</v>
      </c>
      <c r="L220" t="s">
        <v>35</v>
      </c>
      <c r="M220" t="s">
        <v>35</v>
      </c>
      <c r="N220" t="s">
        <v>35</v>
      </c>
      <c r="O220" t="s">
        <v>35</v>
      </c>
      <c r="P220" t="s">
        <v>35</v>
      </c>
      <c r="Q220" t="s">
        <v>35</v>
      </c>
      <c r="R220" t="s">
        <v>35</v>
      </c>
      <c r="S220">
        <v>1</v>
      </c>
      <c r="T220">
        <v>1</v>
      </c>
      <c r="U220">
        <v>0</v>
      </c>
      <c r="V220">
        <v>1</v>
      </c>
      <c r="W220">
        <v>0</v>
      </c>
      <c r="X220">
        <v>1</v>
      </c>
      <c r="Y220">
        <v>0</v>
      </c>
      <c r="Z220">
        <v>0</v>
      </c>
      <c r="AA220">
        <v>0</v>
      </c>
      <c r="AB220">
        <v>0</v>
      </c>
      <c r="AC220">
        <v>0</v>
      </c>
      <c r="AD220">
        <v>0</v>
      </c>
      <c r="AE220">
        <v>1</v>
      </c>
    </row>
    <row r="221" spans="1:31" x14ac:dyDescent="0.2">
      <c r="A221" t="s">
        <v>142</v>
      </c>
      <c r="B221" t="s">
        <v>102</v>
      </c>
      <c r="C221">
        <v>40</v>
      </c>
      <c r="D221" t="s">
        <v>33</v>
      </c>
      <c r="E221" t="s">
        <v>39</v>
      </c>
      <c r="F221" t="s">
        <v>70</v>
      </c>
      <c r="G221">
        <v>12931</v>
      </c>
      <c r="H221">
        <v>1</v>
      </c>
      <c r="I221">
        <v>1</v>
      </c>
      <c r="J221">
        <v>1</v>
      </c>
      <c r="K221">
        <v>0</v>
      </c>
      <c r="L221" t="s">
        <v>71</v>
      </c>
      <c r="M221" t="s">
        <v>86</v>
      </c>
      <c r="N221" t="s">
        <v>72</v>
      </c>
      <c r="O221" t="s">
        <v>45</v>
      </c>
      <c r="P221" t="s">
        <v>46</v>
      </c>
      <c r="Q221" t="s">
        <v>67</v>
      </c>
      <c r="R221">
        <v>0</v>
      </c>
      <c r="S221">
        <v>0</v>
      </c>
      <c r="T221">
        <v>1</v>
      </c>
      <c r="U221">
        <v>1</v>
      </c>
      <c r="V221">
        <v>1</v>
      </c>
      <c r="W221">
        <v>0</v>
      </c>
      <c r="X221">
        <v>1</v>
      </c>
      <c r="Y221">
        <v>0</v>
      </c>
      <c r="Z221">
        <v>0</v>
      </c>
      <c r="AA221">
        <v>1</v>
      </c>
      <c r="AB221">
        <v>1</v>
      </c>
      <c r="AC221">
        <v>1</v>
      </c>
      <c r="AD221">
        <v>0</v>
      </c>
      <c r="AE221">
        <v>0</v>
      </c>
    </row>
    <row r="222" spans="1:31" x14ac:dyDescent="0.2">
      <c r="A222" t="s">
        <v>142</v>
      </c>
      <c r="B222" t="s">
        <v>102</v>
      </c>
      <c r="C222">
        <v>40</v>
      </c>
      <c r="D222" t="s">
        <v>33</v>
      </c>
      <c r="E222" t="s">
        <v>52</v>
      </c>
      <c r="F222" t="s">
        <v>58</v>
      </c>
      <c r="G222">
        <v>23106</v>
      </c>
      <c r="H222">
        <v>1</v>
      </c>
      <c r="I222">
        <v>1</v>
      </c>
      <c r="J222">
        <v>0</v>
      </c>
      <c r="K222">
        <v>0</v>
      </c>
      <c r="L222" t="s">
        <v>35</v>
      </c>
      <c r="M222" t="s">
        <v>35</v>
      </c>
      <c r="N222" t="s">
        <v>35</v>
      </c>
      <c r="O222" t="s">
        <v>35</v>
      </c>
      <c r="P222" t="s">
        <v>35</v>
      </c>
      <c r="Q222" t="s">
        <v>35</v>
      </c>
      <c r="R222" t="s">
        <v>35</v>
      </c>
      <c r="S222">
        <v>0</v>
      </c>
      <c r="T222">
        <v>1</v>
      </c>
      <c r="U222">
        <v>1</v>
      </c>
      <c r="V222">
        <v>1</v>
      </c>
      <c r="W222">
        <v>0</v>
      </c>
      <c r="X222">
        <v>1</v>
      </c>
      <c r="Y222">
        <v>0</v>
      </c>
      <c r="Z222">
        <v>0</v>
      </c>
      <c r="AA222">
        <v>1</v>
      </c>
      <c r="AB222">
        <v>1</v>
      </c>
      <c r="AC222">
        <v>1</v>
      </c>
      <c r="AD222">
        <v>0</v>
      </c>
      <c r="AE222">
        <v>0</v>
      </c>
    </row>
    <row r="223" spans="1:31" x14ac:dyDescent="0.2">
      <c r="A223" t="s">
        <v>142</v>
      </c>
      <c r="B223" t="s">
        <v>102</v>
      </c>
      <c r="C223">
        <v>40</v>
      </c>
      <c r="D223" t="s">
        <v>33</v>
      </c>
      <c r="E223" t="s">
        <v>39</v>
      </c>
      <c r="F223" t="s">
        <v>59</v>
      </c>
      <c r="G223">
        <v>12036</v>
      </c>
      <c r="H223">
        <v>1</v>
      </c>
      <c r="I223">
        <v>1</v>
      </c>
      <c r="J223">
        <v>1</v>
      </c>
      <c r="K223">
        <v>0</v>
      </c>
      <c r="L223" t="s">
        <v>62</v>
      </c>
      <c r="M223" t="s">
        <v>99</v>
      </c>
      <c r="N223" t="s">
        <v>94</v>
      </c>
      <c r="O223" t="s">
        <v>45</v>
      </c>
      <c r="P223" t="s">
        <v>67</v>
      </c>
      <c r="Q223" t="s">
        <v>68</v>
      </c>
      <c r="R223">
        <v>1</v>
      </c>
      <c r="S223">
        <v>0</v>
      </c>
      <c r="T223">
        <v>0</v>
      </c>
      <c r="U223">
        <v>1</v>
      </c>
      <c r="V223">
        <v>1</v>
      </c>
      <c r="W223">
        <v>0</v>
      </c>
      <c r="X223">
        <v>1</v>
      </c>
      <c r="Y223">
        <v>1</v>
      </c>
      <c r="Z223">
        <v>0</v>
      </c>
      <c r="AA223">
        <v>0</v>
      </c>
      <c r="AB223">
        <v>1</v>
      </c>
      <c r="AC223">
        <v>1</v>
      </c>
      <c r="AD223">
        <v>0</v>
      </c>
      <c r="AE223">
        <v>0</v>
      </c>
    </row>
    <row r="224" spans="1:31" x14ac:dyDescent="0.2">
      <c r="A224" t="s">
        <v>142</v>
      </c>
      <c r="B224" t="s">
        <v>102</v>
      </c>
      <c r="C224">
        <v>40</v>
      </c>
      <c r="D224" t="s">
        <v>33</v>
      </c>
      <c r="E224" t="s">
        <v>52</v>
      </c>
      <c r="F224" t="s">
        <v>69</v>
      </c>
      <c r="G224">
        <v>26698</v>
      </c>
      <c r="H224">
        <v>1</v>
      </c>
      <c r="I224">
        <v>0</v>
      </c>
      <c r="J224">
        <v>1</v>
      </c>
      <c r="K224">
        <v>0</v>
      </c>
      <c r="L224" t="s">
        <v>35</v>
      </c>
      <c r="M224" t="s">
        <v>35</v>
      </c>
      <c r="N224" t="s">
        <v>35</v>
      </c>
      <c r="O224" t="s">
        <v>35</v>
      </c>
      <c r="P224" t="s">
        <v>35</v>
      </c>
      <c r="Q224" t="s">
        <v>35</v>
      </c>
      <c r="R224" t="s">
        <v>35</v>
      </c>
      <c r="S224">
        <v>0</v>
      </c>
      <c r="T224">
        <v>0</v>
      </c>
      <c r="U224">
        <v>1</v>
      </c>
      <c r="V224">
        <v>1</v>
      </c>
      <c r="W224">
        <v>0</v>
      </c>
      <c r="X224">
        <v>1</v>
      </c>
      <c r="Y224">
        <v>1</v>
      </c>
      <c r="Z224">
        <v>0</v>
      </c>
      <c r="AA224">
        <v>0</v>
      </c>
      <c r="AB224">
        <v>1</v>
      </c>
      <c r="AC224">
        <v>1</v>
      </c>
      <c r="AD224">
        <v>0</v>
      </c>
      <c r="AE224">
        <v>0</v>
      </c>
    </row>
    <row r="225" spans="1:31" x14ac:dyDescent="0.2">
      <c r="A225" t="s">
        <v>142</v>
      </c>
      <c r="B225" t="s">
        <v>102</v>
      </c>
      <c r="C225">
        <v>40</v>
      </c>
      <c r="D225" t="s">
        <v>33</v>
      </c>
      <c r="E225" t="s">
        <v>75</v>
      </c>
      <c r="F225" t="s">
        <v>35</v>
      </c>
      <c r="G225">
        <v>81076</v>
      </c>
      <c r="H225" t="s">
        <v>143</v>
      </c>
      <c r="I225" t="s">
        <v>144</v>
      </c>
      <c r="J225" t="s">
        <v>145</v>
      </c>
      <c r="K225" t="s">
        <v>35</v>
      </c>
      <c r="L225" t="s">
        <v>35</v>
      </c>
      <c r="M225" t="s">
        <v>35</v>
      </c>
      <c r="N225" t="s">
        <v>35</v>
      </c>
      <c r="O225" t="s">
        <v>35</v>
      </c>
      <c r="P225" t="s">
        <v>35</v>
      </c>
      <c r="Q225" t="s">
        <v>35</v>
      </c>
      <c r="R225" t="s">
        <v>35</v>
      </c>
      <c r="S225" t="s">
        <v>35</v>
      </c>
      <c r="T225" t="s">
        <v>35</v>
      </c>
      <c r="U225" t="s">
        <v>35</v>
      </c>
      <c r="V225" t="s">
        <v>35</v>
      </c>
      <c r="W225" t="s">
        <v>35</v>
      </c>
      <c r="X225" t="s">
        <v>35</v>
      </c>
      <c r="Y225" t="s">
        <v>35</v>
      </c>
      <c r="Z225" t="s">
        <v>35</v>
      </c>
      <c r="AA225" t="s">
        <v>35</v>
      </c>
      <c r="AB225" t="s">
        <v>35</v>
      </c>
      <c r="AC225" t="s">
        <v>35</v>
      </c>
      <c r="AD225" t="s">
        <v>35</v>
      </c>
      <c r="AE225" t="s">
        <v>35</v>
      </c>
    </row>
    <row r="226" spans="1:31" x14ac:dyDescent="0.2">
      <c r="A226" t="s">
        <v>146</v>
      </c>
      <c r="B226" t="s">
        <v>102</v>
      </c>
      <c r="C226">
        <v>28</v>
      </c>
      <c r="D226" t="s">
        <v>78</v>
      </c>
      <c r="E226" t="s">
        <v>34</v>
      </c>
      <c r="F226" t="s">
        <v>35</v>
      </c>
      <c r="G226">
        <v>19758</v>
      </c>
      <c r="H226" t="s">
        <v>35</v>
      </c>
      <c r="I226" t="s">
        <v>35</v>
      </c>
      <c r="J226" t="s">
        <v>35</v>
      </c>
      <c r="K226" t="s">
        <v>35</v>
      </c>
      <c r="L226" t="s">
        <v>35</v>
      </c>
      <c r="M226" t="s">
        <v>35</v>
      </c>
      <c r="N226" t="s">
        <v>35</v>
      </c>
      <c r="O226" t="s">
        <v>35</v>
      </c>
      <c r="P226" t="s">
        <v>35</v>
      </c>
      <c r="Q226" t="s">
        <v>35</v>
      </c>
      <c r="R226" t="s">
        <v>35</v>
      </c>
      <c r="S226" t="s">
        <v>35</v>
      </c>
      <c r="T226" t="s">
        <v>35</v>
      </c>
      <c r="U226" t="s">
        <v>35</v>
      </c>
      <c r="V226" t="s">
        <v>35</v>
      </c>
      <c r="W226" t="s">
        <v>35</v>
      </c>
      <c r="X226" t="s">
        <v>35</v>
      </c>
      <c r="Y226" t="s">
        <v>35</v>
      </c>
      <c r="Z226" t="s">
        <v>35</v>
      </c>
      <c r="AA226" t="s">
        <v>35</v>
      </c>
      <c r="AB226" t="s">
        <v>35</v>
      </c>
      <c r="AC226" t="s">
        <v>35</v>
      </c>
      <c r="AD226" t="s">
        <v>35</v>
      </c>
      <c r="AE226" t="s">
        <v>35</v>
      </c>
    </row>
    <row r="227" spans="1:31" x14ac:dyDescent="0.2">
      <c r="A227" t="s">
        <v>146</v>
      </c>
      <c r="B227" t="s">
        <v>102</v>
      </c>
      <c r="C227">
        <v>28</v>
      </c>
      <c r="D227" t="s">
        <v>78</v>
      </c>
      <c r="E227" t="s">
        <v>36</v>
      </c>
      <c r="F227" t="s">
        <v>37</v>
      </c>
      <c r="G227">
        <v>95862</v>
      </c>
      <c r="H227">
        <v>0</v>
      </c>
      <c r="I227">
        <v>1</v>
      </c>
      <c r="J227">
        <v>1</v>
      </c>
      <c r="K227">
        <v>0</v>
      </c>
      <c r="L227" t="s">
        <v>35</v>
      </c>
      <c r="M227" t="s">
        <v>35</v>
      </c>
      <c r="N227" t="s">
        <v>35</v>
      </c>
      <c r="O227" t="s">
        <v>35</v>
      </c>
      <c r="P227" t="s">
        <v>35</v>
      </c>
      <c r="Q227" t="s">
        <v>35</v>
      </c>
      <c r="R227" t="s">
        <v>35</v>
      </c>
      <c r="S227" t="s">
        <v>35</v>
      </c>
      <c r="T227" t="s">
        <v>35</v>
      </c>
      <c r="U227" t="s">
        <v>35</v>
      </c>
      <c r="V227" t="s">
        <v>35</v>
      </c>
      <c r="W227" t="s">
        <v>35</v>
      </c>
      <c r="X227" t="s">
        <v>35</v>
      </c>
      <c r="Y227" t="s">
        <v>35</v>
      </c>
      <c r="Z227" t="s">
        <v>35</v>
      </c>
      <c r="AA227" t="s">
        <v>35</v>
      </c>
      <c r="AB227" t="s">
        <v>35</v>
      </c>
      <c r="AC227" t="s">
        <v>35</v>
      </c>
      <c r="AD227" t="s">
        <v>35</v>
      </c>
      <c r="AE227" t="s">
        <v>35</v>
      </c>
    </row>
    <row r="228" spans="1:31" x14ac:dyDescent="0.2">
      <c r="A228" t="s">
        <v>146</v>
      </c>
      <c r="B228" t="s">
        <v>102</v>
      </c>
      <c r="C228">
        <v>28</v>
      </c>
      <c r="D228" t="s">
        <v>78</v>
      </c>
      <c r="E228" t="s">
        <v>36</v>
      </c>
      <c r="F228" t="s">
        <v>38</v>
      </c>
      <c r="G228">
        <v>25242</v>
      </c>
      <c r="H228">
        <v>0</v>
      </c>
      <c r="I228">
        <v>0</v>
      </c>
      <c r="J228">
        <v>0</v>
      </c>
      <c r="K228">
        <v>1</v>
      </c>
      <c r="L228" t="s">
        <v>35</v>
      </c>
      <c r="M228" t="s">
        <v>35</v>
      </c>
      <c r="N228" t="s">
        <v>35</v>
      </c>
      <c r="O228" t="s">
        <v>35</v>
      </c>
      <c r="P228" t="s">
        <v>35</v>
      </c>
      <c r="Q228" t="s">
        <v>35</v>
      </c>
      <c r="R228" t="s">
        <v>35</v>
      </c>
      <c r="S228" t="s">
        <v>35</v>
      </c>
      <c r="T228" t="s">
        <v>35</v>
      </c>
      <c r="U228" t="s">
        <v>35</v>
      </c>
      <c r="V228" t="s">
        <v>35</v>
      </c>
      <c r="W228" t="s">
        <v>35</v>
      </c>
      <c r="X228" t="s">
        <v>35</v>
      </c>
      <c r="Y228" t="s">
        <v>35</v>
      </c>
      <c r="Z228" t="s">
        <v>35</v>
      </c>
      <c r="AA228" t="s">
        <v>35</v>
      </c>
      <c r="AB228" t="s">
        <v>35</v>
      </c>
      <c r="AC228" t="s">
        <v>35</v>
      </c>
      <c r="AD228" t="s">
        <v>35</v>
      </c>
      <c r="AE228" t="s">
        <v>35</v>
      </c>
    </row>
    <row r="229" spans="1:31" x14ac:dyDescent="0.2">
      <c r="A229" t="s">
        <v>146</v>
      </c>
      <c r="B229" t="s">
        <v>102</v>
      </c>
      <c r="C229">
        <v>28</v>
      </c>
      <c r="D229" t="s">
        <v>78</v>
      </c>
      <c r="E229" t="s">
        <v>39</v>
      </c>
      <c r="F229" t="s">
        <v>47</v>
      </c>
      <c r="G229">
        <v>56570</v>
      </c>
      <c r="H229">
        <v>0</v>
      </c>
      <c r="I229">
        <v>0</v>
      </c>
      <c r="J229">
        <v>1</v>
      </c>
      <c r="K229">
        <v>0</v>
      </c>
      <c r="L229" t="s">
        <v>80</v>
      </c>
      <c r="M229" t="s">
        <v>48</v>
      </c>
      <c r="N229" t="s">
        <v>95</v>
      </c>
      <c r="O229" t="s">
        <v>67</v>
      </c>
      <c r="P229" t="s">
        <v>46</v>
      </c>
      <c r="Q229" t="s">
        <v>68</v>
      </c>
      <c r="R229">
        <v>1</v>
      </c>
      <c r="S229">
        <v>0</v>
      </c>
      <c r="T229">
        <v>1</v>
      </c>
      <c r="U229">
        <v>1</v>
      </c>
      <c r="V229">
        <v>0</v>
      </c>
      <c r="W229">
        <v>0</v>
      </c>
      <c r="X229">
        <v>1</v>
      </c>
      <c r="Y229">
        <v>1</v>
      </c>
      <c r="Z229">
        <v>0</v>
      </c>
      <c r="AA229">
        <v>0</v>
      </c>
      <c r="AB229">
        <v>0</v>
      </c>
      <c r="AC229">
        <v>0</v>
      </c>
      <c r="AD229">
        <v>0</v>
      </c>
      <c r="AE229">
        <v>0</v>
      </c>
    </row>
    <row r="230" spans="1:31" x14ac:dyDescent="0.2">
      <c r="A230" t="s">
        <v>146</v>
      </c>
      <c r="B230" t="s">
        <v>102</v>
      </c>
      <c r="C230">
        <v>28</v>
      </c>
      <c r="D230" t="s">
        <v>78</v>
      </c>
      <c r="E230" t="s">
        <v>39</v>
      </c>
      <c r="F230" t="s">
        <v>40</v>
      </c>
      <c r="G230">
        <v>43883</v>
      </c>
      <c r="H230">
        <v>1</v>
      </c>
      <c r="I230">
        <v>0</v>
      </c>
      <c r="J230">
        <v>0</v>
      </c>
      <c r="K230">
        <v>0</v>
      </c>
      <c r="L230" t="s">
        <v>82</v>
      </c>
      <c r="M230" t="s">
        <v>42</v>
      </c>
      <c r="N230" t="s">
        <v>81</v>
      </c>
      <c r="O230" t="s">
        <v>68</v>
      </c>
      <c r="P230" t="s">
        <v>45</v>
      </c>
      <c r="Q230" t="s">
        <v>67</v>
      </c>
      <c r="R230">
        <v>1</v>
      </c>
      <c r="S230">
        <v>0</v>
      </c>
      <c r="T230">
        <v>0</v>
      </c>
      <c r="U230">
        <v>1</v>
      </c>
      <c r="V230">
        <v>1</v>
      </c>
      <c r="W230">
        <v>0</v>
      </c>
      <c r="X230">
        <v>1</v>
      </c>
      <c r="Y230">
        <v>1</v>
      </c>
      <c r="Z230">
        <v>0</v>
      </c>
      <c r="AA230">
        <v>0</v>
      </c>
      <c r="AB230">
        <v>0</v>
      </c>
      <c r="AC230">
        <v>0</v>
      </c>
      <c r="AD230">
        <v>0</v>
      </c>
      <c r="AE230">
        <v>0</v>
      </c>
    </row>
    <row r="231" spans="1:31" x14ac:dyDescent="0.2">
      <c r="A231" t="s">
        <v>146</v>
      </c>
      <c r="B231" t="s">
        <v>102</v>
      </c>
      <c r="C231">
        <v>28</v>
      </c>
      <c r="D231" t="s">
        <v>78</v>
      </c>
      <c r="E231" t="s">
        <v>52</v>
      </c>
      <c r="F231" t="s">
        <v>53</v>
      </c>
      <c r="G231">
        <v>24028</v>
      </c>
      <c r="H231">
        <v>0</v>
      </c>
      <c r="I231">
        <v>0</v>
      </c>
      <c r="J231">
        <v>0</v>
      </c>
      <c r="K231">
        <v>1</v>
      </c>
      <c r="L231" t="s">
        <v>35</v>
      </c>
      <c r="M231" t="s">
        <v>35</v>
      </c>
      <c r="N231" t="s">
        <v>35</v>
      </c>
      <c r="O231" t="s">
        <v>35</v>
      </c>
      <c r="P231" t="s">
        <v>35</v>
      </c>
      <c r="Q231" t="s">
        <v>35</v>
      </c>
      <c r="R231" t="s">
        <v>35</v>
      </c>
      <c r="S231">
        <v>0</v>
      </c>
      <c r="T231">
        <v>0</v>
      </c>
      <c r="U231">
        <v>1</v>
      </c>
      <c r="V231">
        <v>1</v>
      </c>
      <c r="W231">
        <v>0</v>
      </c>
      <c r="X231">
        <v>1</v>
      </c>
      <c r="Y231">
        <v>1</v>
      </c>
      <c r="Z231">
        <v>0</v>
      </c>
      <c r="AA231">
        <v>0</v>
      </c>
      <c r="AB231">
        <v>0</v>
      </c>
      <c r="AC231">
        <v>0</v>
      </c>
      <c r="AD231">
        <v>0</v>
      </c>
      <c r="AE231">
        <v>0</v>
      </c>
    </row>
    <row r="232" spans="1:31" x14ac:dyDescent="0.2">
      <c r="A232" t="s">
        <v>146</v>
      </c>
      <c r="B232" t="s">
        <v>102</v>
      </c>
      <c r="C232">
        <v>28</v>
      </c>
      <c r="D232" t="s">
        <v>78</v>
      </c>
      <c r="E232" t="s">
        <v>39</v>
      </c>
      <c r="F232" t="s">
        <v>59</v>
      </c>
      <c r="G232">
        <v>32979</v>
      </c>
      <c r="H232">
        <v>0</v>
      </c>
      <c r="I232">
        <v>0</v>
      </c>
      <c r="J232">
        <v>1</v>
      </c>
      <c r="K232">
        <v>0</v>
      </c>
      <c r="L232" t="s">
        <v>61</v>
      </c>
      <c r="M232" t="s">
        <v>83</v>
      </c>
      <c r="N232" t="s">
        <v>62</v>
      </c>
      <c r="O232" t="s">
        <v>46</v>
      </c>
      <c r="P232" t="s">
        <v>51</v>
      </c>
      <c r="Q232" t="s">
        <v>45</v>
      </c>
      <c r="R232">
        <v>0</v>
      </c>
      <c r="S232">
        <v>0</v>
      </c>
      <c r="T232">
        <v>1</v>
      </c>
      <c r="U232">
        <v>0</v>
      </c>
      <c r="V232">
        <v>1</v>
      </c>
      <c r="W232">
        <v>0</v>
      </c>
      <c r="X232">
        <v>1</v>
      </c>
      <c r="Y232">
        <v>0</v>
      </c>
      <c r="Z232">
        <v>0</v>
      </c>
      <c r="AA232">
        <v>0</v>
      </c>
      <c r="AB232">
        <v>0</v>
      </c>
      <c r="AC232">
        <v>1</v>
      </c>
      <c r="AD232">
        <v>0</v>
      </c>
      <c r="AE232">
        <v>0</v>
      </c>
    </row>
    <row r="233" spans="1:31" x14ac:dyDescent="0.2">
      <c r="A233" t="s">
        <v>146</v>
      </c>
      <c r="B233" t="s">
        <v>102</v>
      </c>
      <c r="C233">
        <v>28</v>
      </c>
      <c r="D233" t="s">
        <v>78</v>
      </c>
      <c r="E233" t="s">
        <v>52</v>
      </c>
      <c r="F233" t="s">
        <v>58</v>
      </c>
      <c r="G233">
        <v>12773</v>
      </c>
      <c r="H233">
        <v>0</v>
      </c>
      <c r="I233">
        <v>1</v>
      </c>
      <c r="J233">
        <v>0</v>
      </c>
      <c r="K233">
        <v>0</v>
      </c>
      <c r="L233" t="s">
        <v>35</v>
      </c>
      <c r="M233" t="s">
        <v>35</v>
      </c>
      <c r="N233" t="s">
        <v>35</v>
      </c>
      <c r="O233" t="s">
        <v>35</v>
      </c>
      <c r="P233" t="s">
        <v>35</v>
      </c>
      <c r="Q233" t="s">
        <v>35</v>
      </c>
      <c r="R233" t="s">
        <v>35</v>
      </c>
      <c r="S233">
        <v>0</v>
      </c>
      <c r="T233">
        <v>1</v>
      </c>
      <c r="U233">
        <v>0</v>
      </c>
      <c r="V233">
        <v>1</v>
      </c>
      <c r="W233">
        <v>0</v>
      </c>
      <c r="X233">
        <v>1</v>
      </c>
      <c r="Y233">
        <v>0</v>
      </c>
      <c r="Z233">
        <v>0</v>
      </c>
      <c r="AA233">
        <v>0</v>
      </c>
      <c r="AB233">
        <v>0</v>
      </c>
      <c r="AC233">
        <v>1</v>
      </c>
      <c r="AD233">
        <v>0</v>
      </c>
      <c r="AE233">
        <v>0</v>
      </c>
    </row>
    <row r="234" spans="1:31" x14ac:dyDescent="0.2">
      <c r="A234" t="s">
        <v>146</v>
      </c>
      <c r="B234" t="s">
        <v>102</v>
      </c>
      <c r="C234">
        <v>28</v>
      </c>
      <c r="D234" t="s">
        <v>78</v>
      </c>
      <c r="E234" t="s">
        <v>39</v>
      </c>
      <c r="F234" t="s">
        <v>63</v>
      </c>
      <c r="G234">
        <v>8328</v>
      </c>
      <c r="H234">
        <v>1</v>
      </c>
      <c r="I234">
        <v>0</v>
      </c>
      <c r="J234">
        <v>0</v>
      </c>
      <c r="K234">
        <v>0</v>
      </c>
      <c r="L234" t="s">
        <v>85</v>
      </c>
      <c r="M234" t="s">
        <v>84</v>
      </c>
      <c r="N234" t="s">
        <v>90</v>
      </c>
      <c r="O234" t="s">
        <v>51</v>
      </c>
      <c r="P234" t="s">
        <v>46</v>
      </c>
      <c r="Q234" t="s">
        <v>44</v>
      </c>
      <c r="R234">
        <v>0</v>
      </c>
      <c r="S234">
        <v>1</v>
      </c>
      <c r="T234">
        <v>1</v>
      </c>
      <c r="U234">
        <v>0</v>
      </c>
      <c r="V234">
        <v>0</v>
      </c>
      <c r="W234">
        <v>0</v>
      </c>
      <c r="X234">
        <v>1</v>
      </c>
      <c r="Y234">
        <v>0</v>
      </c>
      <c r="Z234">
        <v>0</v>
      </c>
      <c r="AA234">
        <v>0</v>
      </c>
      <c r="AB234">
        <v>0</v>
      </c>
      <c r="AC234">
        <v>0</v>
      </c>
      <c r="AD234">
        <v>0</v>
      </c>
      <c r="AE234">
        <v>0</v>
      </c>
    </row>
    <row r="235" spans="1:31" x14ac:dyDescent="0.2">
      <c r="A235" t="s">
        <v>146</v>
      </c>
      <c r="B235" t="s">
        <v>102</v>
      </c>
      <c r="C235">
        <v>28</v>
      </c>
      <c r="D235" t="s">
        <v>78</v>
      </c>
      <c r="E235" t="s">
        <v>39</v>
      </c>
      <c r="F235" t="s">
        <v>54</v>
      </c>
      <c r="G235">
        <v>23546</v>
      </c>
      <c r="H235">
        <v>1</v>
      </c>
      <c r="I235">
        <v>1</v>
      </c>
      <c r="J235">
        <v>1</v>
      </c>
      <c r="K235">
        <v>0</v>
      </c>
      <c r="L235" t="s">
        <v>57</v>
      </c>
      <c r="M235" t="s">
        <v>89</v>
      </c>
      <c r="N235" t="s">
        <v>88</v>
      </c>
      <c r="O235" t="s">
        <v>46</v>
      </c>
      <c r="P235" t="s">
        <v>67</v>
      </c>
      <c r="Q235" t="s">
        <v>51</v>
      </c>
      <c r="R235">
        <v>0</v>
      </c>
      <c r="S235">
        <v>0</v>
      </c>
      <c r="T235">
        <v>1</v>
      </c>
      <c r="U235">
        <v>1</v>
      </c>
      <c r="V235">
        <v>0</v>
      </c>
      <c r="W235">
        <v>0</v>
      </c>
      <c r="X235">
        <v>1</v>
      </c>
      <c r="Y235">
        <v>0</v>
      </c>
      <c r="Z235">
        <v>0</v>
      </c>
      <c r="AA235">
        <v>1</v>
      </c>
      <c r="AB235">
        <v>1</v>
      </c>
      <c r="AC235">
        <v>0</v>
      </c>
      <c r="AD235">
        <v>0</v>
      </c>
      <c r="AE235">
        <v>0</v>
      </c>
    </row>
    <row r="236" spans="1:31" x14ac:dyDescent="0.2">
      <c r="A236" t="s">
        <v>146</v>
      </c>
      <c r="B236" t="s">
        <v>102</v>
      </c>
      <c r="C236">
        <v>28</v>
      </c>
      <c r="D236" t="s">
        <v>78</v>
      </c>
      <c r="E236" t="s">
        <v>52</v>
      </c>
      <c r="F236" t="s">
        <v>69</v>
      </c>
      <c r="G236">
        <v>8127</v>
      </c>
      <c r="H236">
        <v>0</v>
      </c>
      <c r="I236">
        <v>0</v>
      </c>
      <c r="J236">
        <v>1</v>
      </c>
      <c r="K236">
        <v>0</v>
      </c>
      <c r="L236" t="s">
        <v>35</v>
      </c>
      <c r="M236" t="s">
        <v>35</v>
      </c>
      <c r="N236" t="s">
        <v>35</v>
      </c>
      <c r="O236" t="s">
        <v>35</v>
      </c>
      <c r="P236" t="s">
        <v>35</v>
      </c>
      <c r="Q236" t="s">
        <v>35</v>
      </c>
      <c r="R236" t="s">
        <v>35</v>
      </c>
      <c r="S236">
        <v>0</v>
      </c>
      <c r="T236">
        <v>1</v>
      </c>
      <c r="U236">
        <v>1</v>
      </c>
      <c r="V236">
        <v>0</v>
      </c>
      <c r="W236">
        <v>0</v>
      </c>
      <c r="X236">
        <v>1</v>
      </c>
      <c r="Y236">
        <v>0</v>
      </c>
      <c r="Z236">
        <v>0</v>
      </c>
      <c r="AA236">
        <v>1</v>
      </c>
      <c r="AB236">
        <v>1</v>
      </c>
      <c r="AC236">
        <v>0</v>
      </c>
      <c r="AD236">
        <v>0</v>
      </c>
      <c r="AE236">
        <v>0</v>
      </c>
    </row>
    <row r="237" spans="1:31" x14ac:dyDescent="0.2">
      <c r="A237" t="s">
        <v>146</v>
      </c>
      <c r="B237" t="s">
        <v>102</v>
      </c>
      <c r="C237">
        <v>28</v>
      </c>
      <c r="D237" t="s">
        <v>78</v>
      </c>
      <c r="E237" t="s">
        <v>39</v>
      </c>
      <c r="F237" t="s">
        <v>70</v>
      </c>
      <c r="G237">
        <v>8369</v>
      </c>
      <c r="H237">
        <v>0</v>
      </c>
      <c r="I237">
        <v>0</v>
      </c>
      <c r="J237">
        <v>1</v>
      </c>
      <c r="K237">
        <v>0</v>
      </c>
      <c r="L237" t="s">
        <v>73</v>
      </c>
      <c r="M237" t="s">
        <v>86</v>
      </c>
      <c r="N237" t="s">
        <v>93</v>
      </c>
      <c r="O237" t="s">
        <v>44</v>
      </c>
      <c r="P237" t="s">
        <v>46</v>
      </c>
      <c r="Q237" t="s">
        <v>68</v>
      </c>
      <c r="R237">
        <v>1</v>
      </c>
      <c r="S237">
        <v>1</v>
      </c>
      <c r="T237">
        <v>1</v>
      </c>
      <c r="U237">
        <v>0</v>
      </c>
      <c r="V237">
        <v>0</v>
      </c>
      <c r="W237">
        <v>0</v>
      </c>
      <c r="X237">
        <v>1</v>
      </c>
      <c r="Y237">
        <v>1</v>
      </c>
      <c r="Z237">
        <v>0</v>
      </c>
      <c r="AA237">
        <v>0</v>
      </c>
      <c r="AB237">
        <v>0</v>
      </c>
      <c r="AC237">
        <v>0</v>
      </c>
      <c r="AD237">
        <v>0</v>
      </c>
      <c r="AE237">
        <v>0</v>
      </c>
    </row>
    <row r="238" spans="1:31" x14ac:dyDescent="0.2">
      <c r="A238" t="s">
        <v>146</v>
      </c>
      <c r="B238" t="s">
        <v>102</v>
      </c>
      <c r="C238">
        <v>28</v>
      </c>
      <c r="D238" t="s">
        <v>78</v>
      </c>
      <c r="E238" t="s">
        <v>52</v>
      </c>
      <c r="F238" t="s">
        <v>74</v>
      </c>
      <c r="G238">
        <v>12011</v>
      </c>
      <c r="H238">
        <v>1</v>
      </c>
      <c r="I238">
        <v>0</v>
      </c>
      <c r="J238">
        <v>0</v>
      </c>
      <c r="K238">
        <v>0</v>
      </c>
      <c r="L238" t="s">
        <v>35</v>
      </c>
      <c r="M238" t="s">
        <v>35</v>
      </c>
      <c r="N238" t="s">
        <v>35</v>
      </c>
      <c r="O238" t="s">
        <v>35</v>
      </c>
      <c r="P238" t="s">
        <v>35</v>
      </c>
      <c r="Q238" t="s">
        <v>35</v>
      </c>
      <c r="R238" t="s">
        <v>35</v>
      </c>
      <c r="S238">
        <v>1</v>
      </c>
      <c r="T238">
        <v>1</v>
      </c>
      <c r="U238">
        <v>0</v>
      </c>
      <c r="V238">
        <v>0</v>
      </c>
      <c r="W238">
        <v>0</v>
      </c>
      <c r="X238">
        <v>1</v>
      </c>
      <c r="Y238">
        <v>1</v>
      </c>
      <c r="Z238">
        <v>0</v>
      </c>
      <c r="AA238">
        <v>0</v>
      </c>
      <c r="AB238">
        <v>0</v>
      </c>
      <c r="AC238">
        <v>0</v>
      </c>
      <c r="AD238">
        <v>0</v>
      </c>
      <c r="AE238">
        <v>0</v>
      </c>
    </row>
    <row r="239" spans="1:31" x14ac:dyDescent="0.2">
      <c r="A239" t="s">
        <v>146</v>
      </c>
      <c r="B239" t="s">
        <v>102</v>
      </c>
      <c r="C239">
        <v>28</v>
      </c>
      <c r="D239" t="s">
        <v>78</v>
      </c>
      <c r="E239" t="s">
        <v>75</v>
      </c>
      <c r="F239" t="s">
        <v>35</v>
      </c>
      <c r="G239">
        <v>74927</v>
      </c>
      <c r="H239" t="s">
        <v>147</v>
      </c>
      <c r="I239" t="s">
        <v>148</v>
      </c>
      <c r="J239" t="s">
        <v>149</v>
      </c>
      <c r="K239" t="s">
        <v>35</v>
      </c>
      <c r="L239" t="s">
        <v>35</v>
      </c>
      <c r="M239" t="s">
        <v>35</v>
      </c>
      <c r="N239" t="s">
        <v>35</v>
      </c>
      <c r="O239" t="s">
        <v>35</v>
      </c>
      <c r="P239" t="s">
        <v>35</v>
      </c>
      <c r="Q239" t="s">
        <v>35</v>
      </c>
      <c r="R239" t="s">
        <v>35</v>
      </c>
      <c r="S239" t="s">
        <v>35</v>
      </c>
      <c r="T239" t="s">
        <v>35</v>
      </c>
      <c r="U239" t="s">
        <v>35</v>
      </c>
      <c r="V239" t="s">
        <v>35</v>
      </c>
      <c r="W239" t="s">
        <v>35</v>
      </c>
      <c r="X239" t="s">
        <v>35</v>
      </c>
      <c r="Y239" t="s">
        <v>35</v>
      </c>
      <c r="Z239" t="s">
        <v>35</v>
      </c>
      <c r="AA239" t="s">
        <v>35</v>
      </c>
      <c r="AB239" t="s">
        <v>35</v>
      </c>
      <c r="AC239" t="s">
        <v>35</v>
      </c>
      <c r="AD239" t="s">
        <v>35</v>
      </c>
      <c r="AE239" t="s">
        <v>35</v>
      </c>
    </row>
    <row r="240" spans="1:31" x14ac:dyDescent="0.2">
      <c r="A240" t="s">
        <v>150</v>
      </c>
      <c r="B240" t="s">
        <v>32</v>
      </c>
      <c r="C240">
        <v>30</v>
      </c>
      <c r="D240" t="s">
        <v>33</v>
      </c>
      <c r="E240" t="s">
        <v>34</v>
      </c>
      <c r="F240" t="s">
        <v>35</v>
      </c>
      <c r="G240">
        <v>65535</v>
      </c>
      <c r="H240" t="s">
        <v>35</v>
      </c>
      <c r="I240" t="s">
        <v>35</v>
      </c>
      <c r="J240" t="s">
        <v>35</v>
      </c>
      <c r="K240" t="s">
        <v>35</v>
      </c>
      <c r="L240" t="s">
        <v>35</v>
      </c>
      <c r="M240" t="s">
        <v>35</v>
      </c>
      <c r="N240" t="s">
        <v>35</v>
      </c>
      <c r="O240" t="s">
        <v>35</v>
      </c>
      <c r="P240" t="s">
        <v>35</v>
      </c>
      <c r="Q240" t="s">
        <v>35</v>
      </c>
      <c r="R240" t="s">
        <v>35</v>
      </c>
      <c r="S240" t="s">
        <v>35</v>
      </c>
      <c r="T240" t="s">
        <v>35</v>
      </c>
      <c r="U240" t="s">
        <v>35</v>
      </c>
      <c r="V240" t="s">
        <v>35</v>
      </c>
      <c r="W240" t="s">
        <v>35</v>
      </c>
      <c r="X240" t="s">
        <v>35</v>
      </c>
      <c r="Y240" t="s">
        <v>35</v>
      </c>
      <c r="Z240" t="s">
        <v>35</v>
      </c>
      <c r="AA240" t="s">
        <v>35</v>
      </c>
      <c r="AB240" t="s">
        <v>35</v>
      </c>
      <c r="AC240" t="s">
        <v>35</v>
      </c>
      <c r="AD240" t="s">
        <v>35</v>
      </c>
      <c r="AE240" t="s">
        <v>35</v>
      </c>
    </row>
    <row r="241" spans="1:31" x14ac:dyDescent="0.2">
      <c r="A241" t="s">
        <v>150</v>
      </c>
      <c r="B241" t="s">
        <v>32</v>
      </c>
      <c r="C241">
        <v>30</v>
      </c>
      <c r="D241" t="s">
        <v>33</v>
      </c>
      <c r="E241" t="s">
        <v>36</v>
      </c>
      <c r="F241" t="s">
        <v>38</v>
      </c>
      <c r="G241">
        <v>45666</v>
      </c>
      <c r="H241">
        <v>0</v>
      </c>
      <c r="I241">
        <v>0</v>
      </c>
      <c r="J241">
        <v>0</v>
      </c>
      <c r="K241">
        <v>1</v>
      </c>
      <c r="L241" t="s">
        <v>35</v>
      </c>
      <c r="M241" t="s">
        <v>35</v>
      </c>
      <c r="N241" t="s">
        <v>35</v>
      </c>
      <c r="O241" t="s">
        <v>35</v>
      </c>
      <c r="P241" t="s">
        <v>35</v>
      </c>
      <c r="Q241" t="s">
        <v>35</v>
      </c>
      <c r="R241" t="s">
        <v>35</v>
      </c>
      <c r="S241" t="s">
        <v>35</v>
      </c>
      <c r="T241" t="s">
        <v>35</v>
      </c>
      <c r="U241" t="s">
        <v>35</v>
      </c>
      <c r="V241" t="s">
        <v>35</v>
      </c>
      <c r="W241" t="s">
        <v>35</v>
      </c>
      <c r="X241" t="s">
        <v>35</v>
      </c>
      <c r="Y241" t="s">
        <v>35</v>
      </c>
      <c r="Z241" t="s">
        <v>35</v>
      </c>
      <c r="AA241" t="s">
        <v>35</v>
      </c>
      <c r="AB241" t="s">
        <v>35</v>
      </c>
      <c r="AC241" t="s">
        <v>35</v>
      </c>
      <c r="AD241" t="s">
        <v>35</v>
      </c>
      <c r="AE241" t="s">
        <v>35</v>
      </c>
    </row>
    <row r="242" spans="1:31" x14ac:dyDescent="0.2">
      <c r="A242" t="s">
        <v>150</v>
      </c>
      <c r="B242" t="s">
        <v>32</v>
      </c>
      <c r="C242">
        <v>30</v>
      </c>
      <c r="D242" t="s">
        <v>33</v>
      </c>
      <c r="E242" t="s">
        <v>36</v>
      </c>
      <c r="F242" t="s">
        <v>37</v>
      </c>
      <c r="G242">
        <v>83418</v>
      </c>
      <c r="H242">
        <v>0</v>
      </c>
      <c r="I242">
        <v>0</v>
      </c>
      <c r="J242">
        <v>1</v>
      </c>
      <c r="K242">
        <v>0</v>
      </c>
      <c r="L242" t="s">
        <v>35</v>
      </c>
      <c r="M242" t="s">
        <v>35</v>
      </c>
      <c r="N242" t="s">
        <v>35</v>
      </c>
      <c r="O242" t="s">
        <v>35</v>
      </c>
      <c r="P242" t="s">
        <v>35</v>
      </c>
      <c r="Q242" t="s">
        <v>35</v>
      </c>
      <c r="R242" t="s">
        <v>35</v>
      </c>
      <c r="S242" t="s">
        <v>35</v>
      </c>
      <c r="T242" t="s">
        <v>35</v>
      </c>
      <c r="U242" t="s">
        <v>35</v>
      </c>
      <c r="V242" t="s">
        <v>35</v>
      </c>
      <c r="W242" t="s">
        <v>35</v>
      </c>
      <c r="X242" t="s">
        <v>35</v>
      </c>
      <c r="Y242" t="s">
        <v>35</v>
      </c>
      <c r="Z242" t="s">
        <v>35</v>
      </c>
      <c r="AA242" t="s">
        <v>35</v>
      </c>
      <c r="AB242" t="s">
        <v>35</v>
      </c>
      <c r="AC242" t="s">
        <v>35</v>
      </c>
      <c r="AD242" t="s">
        <v>35</v>
      </c>
      <c r="AE242" t="s">
        <v>35</v>
      </c>
    </row>
    <row r="243" spans="1:31" x14ac:dyDescent="0.2">
      <c r="A243" t="s">
        <v>150</v>
      </c>
      <c r="B243" t="s">
        <v>32</v>
      </c>
      <c r="C243">
        <v>30</v>
      </c>
      <c r="D243" t="s">
        <v>33</v>
      </c>
      <c r="E243" t="s">
        <v>39</v>
      </c>
      <c r="F243" t="s">
        <v>70</v>
      </c>
      <c r="G243">
        <v>85472</v>
      </c>
      <c r="H243">
        <v>0</v>
      </c>
      <c r="I243">
        <v>1</v>
      </c>
      <c r="J243">
        <v>0</v>
      </c>
      <c r="K243">
        <v>0</v>
      </c>
      <c r="L243" t="s">
        <v>71</v>
      </c>
      <c r="M243" t="s">
        <v>72</v>
      </c>
      <c r="N243" t="s">
        <v>86</v>
      </c>
      <c r="O243" t="s">
        <v>45</v>
      </c>
      <c r="P243" t="s">
        <v>67</v>
      </c>
      <c r="Q243" t="s">
        <v>46</v>
      </c>
      <c r="R243">
        <v>0</v>
      </c>
      <c r="S243">
        <v>0</v>
      </c>
      <c r="T243">
        <v>1</v>
      </c>
      <c r="U243">
        <v>1</v>
      </c>
      <c r="V243">
        <v>1</v>
      </c>
      <c r="W243">
        <v>0</v>
      </c>
      <c r="X243">
        <v>1</v>
      </c>
      <c r="Y243">
        <v>0</v>
      </c>
      <c r="Z243">
        <v>0</v>
      </c>
      <c r="AA243">
        <v>0</v>
      </c>
      <c r="AB243">
        <v>1</v>
      </c>
      <c r="AC243">
        <v>0</v>
      </c>
      <c r="AD243">
        <v>0</v>
      </c>
      <c r="AE243">
        <v>0</v>
      </c>
    </row>
    <row r="244" spans="1:31" x14ac:dyDescent="0.2">
      <c r="A244" t="s">
        <v>150</v>
      </c>
      <c r="B244" t="s">
        <v>32</v>
      </c>
      <c r="C244">
        <v>30</v>
      </c>
      <c r="D244" t="s">
        <v>33</v>
      </c>
      <c r="E244" t="s">
        <v>52</v>
      </c>
      <c r="F244" t="s">
        <v>53</v>
      </c>
      <c r="G244">
        <v>67621</v>
      </c>
      <c r="H244">
        <v>0</v>
      </c>
      <c r="I244">
        <v>0</v>
      </c>
      <c r="J244">
        <v>1</v>
      </c>
      <c r="K244">
        <v>0</v>
      </c>
      <c r="L244" t="s">
        <v>35</v>
      </c>
      <c r="M244" t="s">
        <v>35</v>
      </c>
      <c r="N244" t="s">
        <v>35</v>
      </c>
      <c r="O244" t="s">
        <v>35</v>
      </c>
      <c r="P244" t="s">
        <v>35</v>
      </c>
      <c r="Q244" t="s">
        <v>35</v>
      </c>
      <c r="R244" t="s">
        <v>35</v>
      </c>
      <c r="S244">
        <v>0</v>
      </c>
      <c r="T244">
        <v>1</v>
      </c>
      <c r="U244">
        <v>1</v>
      </c>
      <c r="V244">
        <v>1</v>
      </c>
      <c r="W244">
        <v>0</v>
      </c>
      <c r="X244">
        <v>1</v>
      </c>
      <c r="Y244">
        <v>0</v>
      </c>
      <c r="Z244">
        <v>0</v>
      </c>
      <c r="AA244">
        <v>0</v>
      </c>
      <c r="AB244">
        <v>1</v>
      </c>
      <c r="AC244">
        <v>0</v>
      </c>
      <c r="AD244">
        <v>0</v>
      </c>
      <c r="AE244">
        <v>0</v>
      </c>
    </row>
    <row r="245" spans="1:31" x14ac:dyDescent="0.2">
      <c r="A245" t="s">
        <v>150</v>
      </c>
      <c r="B245" t="s">
        <v>32</v>
      </c>
      <c r="C245">
        <v>30</v>
      </c>
      <c r="D245" t="s">
        <v>33</v>
      </c>
      <c r="E245" t="s">
        <v>39</v>
      </c>
      <c r="F245" t="s">
        <v>54</v>
      </c>
      <c r="G245">
        <v>24333</v>
      </c>
      <c r="H245">
        <v>0</v>
      </c>
      <c r="I245">
        <v>0</v>
      </c>
      <c r="J245">
        <v>1</v>
      </c>
      <c r="K245">
        <v>0</v>
      </c>
      <c r="L245" t="s">
        <v>56</v>
      </c>
      <c r="M245" t="s">
        <v>88</v>
      </c>
      <c r="N245" t="s">
        <v>55</v>
      </c>
      <c r="O245" t="s">
        <v>45</v>
      </c>
      <c r="P245" t="s">
        <v>51</v>
      </c>
      <c r="Q245" t="s">
        <v>44</v>
      </c>
      <c r="R245">
        <v>0</v>
      </c>
      <c r="S245">
        <v>1</v>
      </c>
      <c r="T245">
        <v>0</v>
      </c>
      <c r="U245">
        <v>0</v>
      </c>
      <c r="V245">
        <v>1</v>
      </c>
      <c r="W245">
        <v>0</v>
      </c>
      <c r="X245">
        <v>1</v>
      </c>
      <c r="Y245">
        <v>0</v>
      </c>
      <c r="Z245">
        <v>1</v>
      </c>
      <c r="AA245">
        <v>0</v>
      </c>
      <c r="AB245">
        <v>0</v>
      </c>
      <c r="AC245">
        <v>0</v>
      </c>
      <c r="AD245">
        <v>0</v>
      </c>
      <c r="AE245">
        <v>0</v>
      </c>
    </row>
    <row r="246" spans="1:31" x14ac:dyDescent="0.2">
      <c r="A246" t="s">
        <v>150</v>
      </c>
      <c r="B246" t="s">
        <v>32</v>
      </c>
      <c r="C246">
        <v>30</v>
      </c>
      <c r="D246" t="s">
        <v>33</v>
      </c>
      <c r="E246" t="s">
        <v>39</v>
      </c>
      <c r="F246" t="s">
        <v>40</v>
      </c>
      <c r="G246">
        <v>7887</v>
      </c>
      <c r="H246">
        <v>0</v>
      </c>
      <c r="I246">
        <v>1</v>
      </c>
      <c r="J246">
        <v>0</v>
      </c>
      <c r="K246">
        <v>0</v>
      </c>
      <c r="L246" t="s">
        <v>81</v>
      </c>
      <c r="M246" t="s">
        <v>42</v>
      </c>
      <c r="N246" t="s">
        <v>41</v>
      </c>
      <c r="O246" t="s">
        <v>67</v>
      </c>
      <c r="P246" t="s">
        <v>45</v>
      </c>
      <c r="Q246" t="s">
        <v>44</v>
      </c>
      <c r="R246">
        <v>0</v>
      </c>
      <c r="S246">
        <v>1</v>
      </c>
      <c r="T246">
        <v>0</v>
      </c>
      <c r="U246">
        <v>1</v>
      </c>
      <c r="V246">
        <v>1</v>
      </c>
      <c r="W246">
        <v>0</v>
      </c>
      <c r="X246">
        <v>1</v>
      </c>
      <c r="Y246">
        <v>0</v>
      </c>
      <c r="Z246">
        <v>0</v>
      </c>
      <c r="AA246">
        <v>0</v>
      </c>
      <c r="AB246">
        <v>0</v>
      </c>
      <c r="AC246">
        <v>1</v>
      </c>
      <c r="AD246">
        <v>0</v>
      </c>
      <c r="AE246">
        <v>0</v>
      </c>
    </row>
    <row r="247" spans="1:31" x14ac:dyDescent="0.2">
      <c r="A247" t="s">
        <v>150</v>
      </c>
      <c r="B247" t="s">
        <v>32</v>
      </c>
      <c r="C247">
        <v>30</v>
      </c>
      <c r="D247" t="s">
        <v>33</v>
      </c>
      <c r="E247" t="s">
        <v>52</v>
      </c>
      <c r="F247" t="s">
        <v>74</v>
      </c>
      <c r="G247">
        <v>14694</v>
      </c>
      <c r="H247">
        <v>0</v>
      </c>
      <c r="I247">
        <v>1</v>
      </c>
      <c r="J247">
        <v>1</v>
      </c>
      <c r="K247">
        <v>0</v>
      </c>
      <c r="L247" t="s">
        <v>35</v>
      </c>
      <c r="M247" t="s">
        <v>35</v>
      </c>
      <c r="N247" t="s">
        <v>35</v>
      </c>
      <c r="O247" t="s">
        <v>35</v>
      </c>
      <c r="P247" t="s">
        <v>35</v>
      </c>
      <c r="Q247" t="s">
        <v>35</v>
      </c>
      <c r="R247" t="s">
        <v>35</v>
      </c>
      <c r="S247">
        <v>1</v>
      </c>
      <c r="T247">
        <v>0</v>
      </c>
      <c r="U247">
        <v>1</v>
      </c>
      <c r="V247">
        <v>1</v>
      </c>
      <c r="W247">
        <v>0</v>
      </c>
      <c r="X247">
        <v>1</v>
      </c>
      <c r="Y247">
        <v>0</v>
      </c>
      <c r="Z247">
        <v>0</v>
      </c>
      <c r="AA247">
        <v>0</v>
      </c>
      <c r="AB247">
        <v>0</v>
      </c>
      <c r="AC247">
        <v>1</v>
      </c>
      <c r="AD247">
        <v>0</v>
      </c>
      <c r="AE247">
        <v>0</v>
      </c>
    </row>
    <row r="248" spans="1:31" x14ac:dyDescent="0.2">
      <c r="A248" t="s">
        <v>150</v>
      </c>
      <c r="B248" t="s">
        <v>32</v>
      </c>
      <c r="C248">
        <v>30</v>
      </c>
      <c r="D248" t="s">
        <v>33</v>
      </c>
      <c r="E248" t="s">
        <v>39</v>
      </c>
      <c r="F248" t="s">
        <v>59</v>
      </c>
      <c r="G248">
        <v>16054</v>
      </c>
      <c r="H248">
        <v>1</v>
      </c>
      <c r="I248">
        <v>0</v>
      </c>
      <c r="J248">
        <v>0</v>
      </c>
      <c r="K248">
        <v>0</v>
      </c>
      <c r="L248" t="s">
        <v>61</v>
      </c>
      <c r="M248" t="s">
        <v>60</v>
      </c>
      <c r="N248" t="s">
        <v>62</v>
      </c>
      <c r="O248" t="s">
        <v>46</v>
      </c>
      <c r="P248" t="s">
        <v>44</v>
      </c>
      <c r="Q248" t="s">
        <v>45</v>
      </c>
      <c r="R248">
        <v>0</v>
      </c>
      <c r="S248">
        <v>1</v>
      </c>
      <c r="T248">
        <v>1</v>
      </c>
      <c r="U248">
        <v>0</v>
      </c>
      <c r="V248">
        <v>1</v>
      </c>
      <c r="W248">
        <v>0</v>
      </c>
      <c r="X248">
        <v>1</v>
      </c>
      <c r="Y248">
        <v>0</v>
      </c>
      <c r="Z248">
        <v>0</v>
      </c>
      <c r="AA248">
        <v>1</v>
      </c>
      <c r="AB248">
        <v>0</v>
      </c>
      <c r="AC248">
        <v>0</v>
      </c>
      <c r="AD248">
        <v>0</v>
      </c>
      <c r="AE248">
        <v>0</v>
      </c>
    </row>
    <row r="249" spans="1:31" x14ac:dyDescent="0.2">
      <c r="A249" t="s">
        <v>150</v>
      </c>
      <c r="B249" t="s">
        <v>32</v>
      </c>
      <c r="C249">
        <v>30</v>
      </c>
      <c r="D249" t="s">
        <v>33</v>
      </c>
      <c r="E249" t="s">
        <v>52</v>
      </c>
      <c r="F249" t="s">
        <v>69</v>
      </c>
      <c r="G249">
        <v>15416</v>
      </c>
      <c r="H249">
        <v>0</v>
      </c>
      <c r="I249">
        <v>0</v>
      </c>
      <c r="J249">
        <v>1</v>
      </c>
      <c r="K249">
        <v>0</v>
      </c>
      <c r="L249" t="s">
        <v>35</v>
      </c>
      <c r="M249" t="s">
        <v>35</v>
      </c>
      <c r="N249" t="s">
        <v>35</v>
      </c>
      <c r="O249" t="s">
        <v>35</v>
      </c>
      <c r="P249" t="s">
        <v>35</v>
      </c>
      <c r="Q249" t="s">
        <v>35</v>
      </c>
      <c r="R249" t="s">
        <v>35</v>
      </c>
      <c r="S249">
        <v>1</v>
      </c>
      <c r="T249">
        <v>1</v>
      </c>
      <c r="U249">
        <v>0</v>
      </c>
      <c r="V249">
        <v>1</v>
      </c>
      <c r="W249">
        <v>0</v>
      </c>
      <c r="X249">
        <v>1</v>
      </c>
      <c r="Y249">
        <v>0</v>
      </c>
      <c r="Z249">
        <v>0</v>
      </c>
      <c r="AA249">
        <v>1</v>
      </c>
      <c r="AB249">
        <v>0</v>
      </c>
      <c r="AC249">
        <v>0</v>
      </c>
      <c r="AD249">
        <v>0</v>
      </c>
      <c r="AE249">
        <v>0</v>
      </c>
    </row>
    <row r="250" spans="1:31" x14ac:dyDescent="0.2">
      <c r="A250" t="s">
        <v>150</v>
      </c>
      <c r="B250" t="s">
        <v>32</v>
      </c>
      <c r="C250">
        <v>30</v>
      </c>
      <c r="D250" t="s">
        <v>33</v>
      </c>
      <c r="E250" t="s">
        <v>39</v>
      </c>
      <c r="F250" t="s">
        <v>63</v>
      </c>
      <c r="G250">
        <v>11806</v>
      </c>
      <c r="H250">
        <v>0</v>
      </c>
      <c r="I250">
        <v>1</v>
      </c>
      <c r="J250">
        <v>0</v>
      </c>
      <c r="K250">
        <v>0</v>
      </c>
      <c r="L250" t="s">
        <v>90</v>
      </c>
      <c r="M250" t="s">
        <v>64</v>
      </c>
      <c r="N250" t="s">
        <v>66</v>
      </c>
      <c r="O250" t="s">
        <v>44</v>
      </c>
      <c r="P250" t="s">
        <v>67</v>
      </c>
      <c r="Q250" t="s">
        <v>45</v>
      </c>
      <c r="R250">
        <v>0</v>
      </c>
      <c r="S250">
        <v>1</v>
      </c>
      <c r="T250">
        <v>0</v>
      </c>
      <c r="U250">
        <v>1</v>
      </c>
      <c r="V250">
        <v>1</v>
      </c>
      <c r="W250">
        <v>0</v>
      </c>
      <c r="X250">
        <v>1</v>
      </c>
      <c r="Y250">
        <v>0</v>
      </c>
      <c r="Z250">
        <v>0</v>
      </c>
      <c r="AA250">
        <v>0</v>
      </c>
      <c r="AB250">
        <v>1</v>
      </c>
      <c r="AC250">
        <v>0</v>
      </c>
      <c r="AD250">
        <v>0</v>
      </c>
      <c r="AE250">
        <v>0</v>
      </c>
    </row>
    <row r="251" spans="1:31" x14ac:dyDescent="0.2">
      <c r="A251" t="s">
        <v>150</v>
      </c>
      <c r="B251" t="s">
        <v>32</v>
      </c>
      <c r="C251">
        <v>30</v>
      </c>
      <c r="D251" t="s">
        <v>33</v>
      </c>
      <c r="E251" t="s">
        <v>39</v>
      </c>
      <c r="F251" t="s">
        <v>47</v>
      </c>
      <c r="G251">
        <v>4333</v>
      </c>
      <c r="H251">
        <v>0</v>
      </c>
      <c r="I251">
        <v>0</v>
      </c>
      <c r="J251">
        <v>1</v>
      </c>
      <c r="K251">
        <v>0</v>
      </c>
      <c r="L251" t="s">
        <v>50</v>
      </c>
      <c r="M251" t="s">
        <v>49</v>
      </c>
      <c r="N251" t="s">
        <v>79</v>
      </c>
      <c r="O251" t="s">
        <v>51</v>
      </c>
      <c r="P251" t="s">
        <v>44</v>
      </c>
      <c r="Q251" t="s">
        <v>45</v>
      </c>
      <c r="R251">
        <v>0</v>
      </c>
      <c r="S251">
        <v>1</v>
      </c>
      <c r="T251">
        <v>0</v>
      </c>
      <c r="U251">
        <v>0</v>
      </c>
      <c r="V251">
        <v>1</v>
      </c>
      <c r="W251">
        <v>0</v>
      </c>
      <c r="X251">
        <v>1</v>
      </c>
      <c r="Y251">
        <v>0</v>
      </c>
      <c r="Z251">
        <v>0</v>
      </c>
      <c r="AA251">
        <v>0</v>
      </c>
      <c r="AB251">
        <v>0</v>
      </c>
      <c r="AC251">
        <v>1</v>
      </c>
      <c r="AD251">
        <v>0</v>
      </c>
      <c r="AE251">
        <v>0</v>
      </c>
    </row>
    <row r="252" spans="1:31" x14ac:dyDescent="0.2">
      <c r="A252" t="s">
        <v>150</v>
      </c>
      <c r="B252" t="s">
        <v>32</v>
      </c>
      <c r="C252">
        <v>30</v>
      </c>
      <c r="D252" t="s">
        <v>33</v>
      </c>
      <c r="E252" t="s">
        <v>52</v>
      </c>
      <c r="F252" t="s">
        <v>58</v>
      </c>
      <c r="G252">
        <v>5038</v>
      </c>
      <c r="H252">
        <v>0</v>
      </c>
      <c r="I252">
        <v>0</v>
      </c>
      <c r="J252">
        <v>1</v>
      </c>
      <c r="K252">
        <v>0</v>
      </c>
      <c r="L252" t="s">
        <v>35</v>
      </c>
      <c r="M252" t="s">
        <v>35</v>
      </c>
      <c r="N252" t="s">
        <v>35</v>
      </c>
      <c r="O252" t="s">
        <v>35</v>
      </c>
      <c r="P252" t="s">
        <v>35</v>
      </c>
      <c r="Q252" t="s">
        <v>35</v>
      </c>
      <c r="R252" t="s">
        <v>35</v>
      </c>
      <c r="S252">
        <v>1</v>
      </c>
      <c r="T252">
        <v>0</v>
      </c>
      <c r="U252">
        <v>0</v>
      </c>
      <c r="V252">
        <v>1</v>
      </c>
      <c r="W252">
        <v>0</v>
      </c>
      <c r="X252">
        <v>1</v>
      </c>
      <c r="Y252">
        <v>0</v>
      </c>
      <c r="Z252">
        <v>0</v>
      </c>
      <c r="AA252">
        <v>0</v>
      </c>
      <c r="AB252">
        <v>0</v>
      </c>
      <c r="AC252">
        <v>1</v>
      </c>
      <c r="AD252">
        <v>0</v>
      </c>
      <c r="AE252">
        <v>0</v>
      </c>
    </row>
    <row r="253" spans="1:31" x14ac:dyDescent="0.2">
      <c r="A253" t="s">
        <v>150</v>
      </c>
      <c r="B253" t="s">
        <v>32</v>
      </c>
      <c r="C253">
        <v>30</v>
      </c>
      <c r="D253" t="s">
        <v>33</v>
      </c>
      <c r="E253" t="s">
        <v>75</v>
      </c>
      <c r="F253" t="s">
        <v>35</v>
      </c>
      <c r="G253">
        <v>90457</v>
      </c>
      <c r="H253" t="s">
        <v>151</v>
      </c>
      <c r="I253" t="s">
        <v>152</v>
      </c>
      <c r="J253" t="s">
        <v>76</v>
      </c>
      <c r="K253" t="s">
        <v>35</v>
      </c>
      <c r="L253" t="s">
        <v>35</v>
      </c>
      <c r="M253" t="s">
        <v>35</v>
      </c>
      <c r="N253" t="s">
        <v>35</v>
      </c>
      <c r="O253" t="s">
        <v>35</v>
      </c>
      <c r="P253" t="s">
        <v>35</v>
      </c>
      <c r="Q253" t="s">
        <v>35</v>
      </c>
      <c r="R253" t="s">
        <v>35</v>
      </c>
      <c r="S253" t="s">
        <v>35</v>
      </c>
      <c r="T253" t="s">
        <v>35</v>
      </c>
      <c r="U253" t="s">
        <v>35</v>
      </c>
      <c r="V253" t="s">
        <v>35</v>
      </c>
      <c r="W253" t="s">
        <v>35</v>
      </c>
      <c r="X253" t="s">
        <v>35</v>
      </c>
      <c r="Y253" t="s">
        <v>35</v>
      </c>
      <c r="Z253" t="s">
        <v>35</v>
      </c>
      <c r="AA253" t="s">
        <v>35</v>
      </c>
      <c r="AB253" t="s">
        <v>35</v>
      </c>
      <c r="AC253" t="s">
        <v>35</v>
      </c>
      <c r="AD253" t="s">
        <v>35</v>
      </c>
      <c r="AE253" t="s">
        <v>35</v>
      </c>
    </row>
    <row r="254" spans="1:31" x14ac:dyDescent="0.2">
      <c r="A254" t="s">
        <v>153</v>
      </c>
      <c r="B254" t="s">
        <v>32</v>
      </c>
      <c r="C254">
        <v>40</v>
      </c>
      <c r="D254" t="s">
        <v>33</v>
      </c>
      <c r="E254" t="s">
        <v>34</v>
      </c>
      <c r="F254" t="s">
        <v>35</v>
      </c>
      <c r="G254">
        <v>25265</v>
      </c>
      <c r="H254" t="s">
        <v>35</v>
      </c>
      <c r="I254" t="s">
        <v>35</v>
      </c>
      <c r="J254" t="s">
        <v>35</v>
      </c>
      <c r="K254" t="s">
        <v>35</v>
      </c>
      <c r="L254" t="s">
        <v>35</v>
      </c>
      <c r="M254" t="s">
        <v>35</v>
      </c>
      <c r="N254" t="s">
        <v>35</v>
      </c>
      <c r="O254" t="s">
        <v>35</v>
      </c>
      <c r="P254" t="s">
        <v>35</v>
      </c>
      <c r="Q254" t="s">
        <v>35</v>
      </c>
      <c r="R254" t="s">
        <v>35</v>
      </c>
      <c r="S254" t="s">
        <v>35</v>
      </c>
      <c r="T254" t="s">
        <v>35</v>
      </c>
      <c r="U254" t="s">
        <v>35</v>
      </c>
      <c r="V254" t="s">
        <v>35</v>
      </c>
      <c r="W254" t="s">
        <v>35</v>
      </c>
      <c r="X254" t="s">
        <v>35</v>
      </c>
      <c r="Y254" t="s">
        <v>35</v>
      </c>
      <c r="Z254" t="s">
        <v>35</v>
      </c>
      <c r="AA254" t="s">
        <v>35</v>
      </c>
      <c r="AB254" t="s">
        <v>35</v>
      </c>
      <c r="AC254" t="s">
        <v>35</v>
      </c>
      <c r="AD254" t="s">
        <v>35</v>
      </c>
      <c r="AE254" t="s">
        <v>35</v>
      </c>
    </row>
    <row r="255" spans="1:31" x14ac:dyDescent="0.2">
      <c r="A255" t="s">
        <v>153</v>
      </c>
      <c r="B255" t="s">
        <v>32</v>
      </c>
      <c r="C255">
        <v>40</v>
      </c>
      <c r="D255" t="s">
        <v>33</v>
      </c>
      <c r="E255" t="s">
        <v>36</v>
      </c>
      <c r="F255" t="s">
        <v>38</v>
      </c>
      <c r="G255">
        <v>76513</v>
      </c>
      <c r="H255">
        <v>0</v>
      </c>
      <c r="I255">
        <v>0</v>
      </c>
      <c r="J255">
        <v>0</v>
      </c>
      <c r="K255">
        <v>1</v>
      </c>
      <c r="L255" t="s">
        <v>35</v>
      </c>
      <c r="M255" t="s">
        <v>35</v>
      </c>
      <c r="N255" t="s">
        <v>35</v>
      </c>
      <c r="O255" t="s">
        <v>35</v>
      </c>
      <c r="P255" t="s">
        <v>35</v>
      </c>
      <c r="Q255" t="s">
        <v>35</v>
      </c>
      <c r="R255" t="s">
        <v>35</v>
      </c>
      <c r="S255" t="s">
        <v>35</v>
      </c>
      <c r="T255" t="s">
        <v>35</v>
      </c>
      <c r="U255" t="s">
        <v>35</v>
      </c>
      <c r="V255" t="s">
        <v>35</v>
      </c>
      <c r="W255" t="s">
        <v>35</v>
      </c>
      <c r="X255" t="s">
        <v>35</v>
      </c>
      <c r="Y255" t="s">
        <v>35</v>
      </c>
      <c r="Z255" t="s">
        <v>35</v>
      </c>
      <c r="AA255" t="s">
        <v>35</v>
      </c>
      <c r="AB255" t="s">
        <v>35</v>
      </c>
      <c r="AC255" t="s">
        <v>35</v>
      </c>
      <c r="AD255" t="s">
        <v>35</v>
      </c>
      <c r="AE255" t="s">
        <v>35</v>
      </c>
    </row>
    <row r="256" spans="1:31" x14ac:dyDescent="0.2">
      <c r="A256" t="s">
        <v>153</v>
      </c>
      <c r="B256" t="s">
        <v>32</v>
      </c>
      <c r="C256">
        <v>40</v>
      </c>
      <c r="D256" t="s">
        <v>33</v>
      </c>
      <c r="E256" t="s">
        <v>36</v>
      </c>
      <c r="F256" t="s">
        <v>37</v>
      </c>
      <c r="G256">
        <v>61828</v>
      </c>
      <c r="H256">
        <v>0</v>
      </c>
      <c r="I256">
        <v>0</v>
      </c>
      <c r="J256">
        <v>1</v>
      </c>
      <c r="K256">
        <v>0</v>
      </c>
      <c r="L256" t="s">
        <v>35</v>
      </c>
      <c r="M256" t="s">
        <v>35</v>
      </c>
      <c r="N256" t="s">
        <v>35</v>
      </c>
      <c r="O256" t="s">
        <v>35</v>
      </c>
      <c r="P256" t="s">
        <v>35</v>
      </c>
      <c r="Q256" t="s">
        <v>35</v>
      </c>
      <c r="R256" t="s">
        <v>35</v>
      </c>
      <c r="S256" t="s">
        <v>35</v>
      </c>
      <c r="T256" t="s">
        <v>35</v>
      </c>
      <c r="U256" t="s">
        <v>35</v>
      </c>
      <c r="V256" t="s">
        <v>35</v>
      </c>
      <c r="W256" t="s">
        <v>35</v>
      </c>
      <c r="X256" t="s">
        <v>35</v>
      </c>
      <c r="Y256" t="s">
        <v>35</v>
      </c>
      <c r="Z256" t="s">
        <v>35</v>
      </c>
      <c r="AA256" t="s">
        <v>35</v>
      </c>
      <c r="AB256" t="s">
        <v>35</v>
      </c>
      <c r="AC256" t="s">
        <v>35</v>
      </c>
      <c r="AD256" t="s">
        <v>35</v>
      </c>
      <c r="AE256" t="s">
        <v>35</v>
      </c>
    </row>
    <row r="257" spans="1:31" x14ac:dyDescent="0.2">
      <c r="A257" t="s">
        <v>153</v>
      </c>
      <c r="B257" t="s">
        <v>32</v>
      </c>
      <c r="C257">
        <v>40</v>
      </c>
      <c r="D257" t="s">
        <v>33</v>
      </c>
      <c r="E257" t="s">
        <v>39</v>
      </c>
      <c r="F257" t="s">
        <v>54</v>
      </c>
      <c r="G257">
        <v>64591</v>
      </c>
      <c r="H257">
        <v>0</v>
      </c>
      <c r="I257">
        <v>0</v>
      </c>
      <c r="J257">
        <v>0</v>
      </c>
      <c r="K257">
        <v>1</v>
      </c>
      <c r="L257" t="s">
        <v>89</v>
      </c>
      <c r="M257" t="s">
        <v>88</v>
      </c>
      <c r="N257" t="s">
        <v>56</v>
      </c>
      <c r="O257" t="s">
        <v>67</v>
      </c>
      <c r="P257" t="s">
        <v>51</v>
      </c>
      <c r="Q257" t="s">
        <v>45</v>
      </c>
      <c r="R257">
        <v>0</v>
      </c>
      <c r="S257">
        <v>0</v>
      </c>
      <c r="T257">
        <v>0</v>
      </c>
      <c r="U257">
        <v>1</v>
      </c>
      <c r="V257">
        <v>1</v>
      </c>
      <c r="W257">
        <v>0</v>
      </c>
      <c r="X257">
        <v>1</v>
      </c>
      <c r="Y257">
        <v>0</v>
      </c>
      <c r="Z257">
        <v>0</v>
      </c>
      <c r="AA257">
        <v>0</v>
      </c>
      <c r="AB257">
        <v>0</v>
      </c>
      <c r="AC257">
        <v>0</v>
      </c>
      <c r="AD257">
        <v>0</v>
      </c>
      <c r="AE257">
        <v>1</v>
      </c>
    </row>
    <row r="258" spans="1:31" x14ac:dyDescent="0.2">
      <c r="A258" t="s">
        <v>153</v>
      </c>
      <c r="B258" t="s">
        <v>32</v>
      </c>
      <c r="C258">
        <v>40</v>
      </c>
      <c r="D258" t="s">
        <v>33</v>
      </c>
      <c r="E258" t="s">
        <v>39</v>
      </c>
      <c r="F258" t="s">
        <v>70</v>
      </c>
      <c r="G258">
        <v>27004</v>
      </c>
      <c r="H258">
        <v>1</v>
      </c>
      <c r="I258">
        <v>0</v>
      </c>
      <c r="J258">
        <v>0</v>
      </c>
      <c r="K258">
        <v>1</v>
      </c>
      <c r="L258" t="s">
        <v>71</v>
      </c>
      <c r="M258" t="s">
        <v>86</v>
      </c>
      <c r="N258" t="s">
        <v>92</v>
      </c>
      <c r="O258" t="s">
        <v>45</v>
      </c>
      <c r="P258" t="s">
        <v>46</v>
      </c>
      <c r="Q258" t="s">
        <v>51</v>
      </c>
      <c r="R258">
        <v>0</v>
      </c>
      <c r="S258">
        <v>0</v>
      </c>
      <c r="T258">
        <v>1</v>
      </c>
      <c r="U258">
        <v>0</v>
      </c>
      <c r="V258">
        <v>1</v>
      </c>
      <c r="W258">
        <v>0</v>
      </c>
      <c r="X258">
        <v>1</v>
      </c>
      <c r="Y258">
        <v>0</v>
      </c>
      <c r="Z258">
        <v>0</v>
      </c>
      <c r="AA258">
        <v>0</v>
      </c>
      <c r="AB258">
        <v>0</v>
      </c>
      <c r="AC258">
        <v>1</v>
      </c>
      <c r="AD258">
        <v>0</v>
      </c>
      <c r="AE258">
        <v>1</v>
      </c>
    </row>
    <row r="259" spans="1:31" x14ac:dyDescent="0.2">
      <c r="A259" t="s">
        <v>153</v>
      </c>
      <c r="B259" t="s">
        <v>32</v>
      </c>
      <c r="C259">
        <v>40</v>
      </c>
      <c r="D259" t="s">
        <v>33</v>
      </c>
      <c r="E259" t="s">
        <v>52</v>
      </c>
      <c r="F259" t="s">
        <v>53</v>
      </c>
      <c r="G259">
        <v>31013</v>
      </c>
      <c r="H259">
        <v>0</v>
      </c>
      <c r="I259">
        <v>1</v>
      </c>
      <c r="J259">
        <v>0</v>
      </c>
      <c r="K259">
        <v>0</v>
      </c>
      <c r="L259" t="s">
        <v>35</v>
      </c>
      <c r="M259" t="s">
        <v>35</v>
      </c>
      <c r="N259" t="s">
        <v>35</v>
      </c>
      <c r="O259" t="s">
        <v>35</v>
      </c>
      <c r="P259" t="s">
        <v>35</v>
      </c>
      <c r="Q259" t="s">
        <v>35</v>
      </c>
      <c r="R259" t="s">
        <v>35</v>
      </c>
      <c r="S259">
        <v>0</v>
      </c>
      <c r="T259">
        <v>1</v>
      </c>
      <c r="U259">
        <v>0</v>
      </c>
      <c r="V259">
        <v>1</v>
      </c>
      <c r="W259">
        <v>0</v>
      </c>
      <c r="X259">
        <v>1</v>
      </c>
      <c r="Y259">
        <v>0</v>
      </c>
      <c r="Z259">
        <v>0</v>
      </c>
      <c r="AA259">
        <v>0</v>
      </c>
      <c r="AB259">
        <v>0</v>
      </c>
      <c r="AC259">
        <v>1</v>
      </c>
      <c r="AD259">
        <v>0</v>
      </c>
      <c r="AE259">
        <v>1</v>
      </c>
    </row>
    <row r="260" spans="1:31" x14ac:dyDescent="0.2">
      <c r="A260" t="s">
        <v>153</v>
      </c>
      <c r="B260" t="s">
        <v>32</v>
      </c>
      <c r="C260">
        <v>40</v>
      </c>
      <c r="D260" t="s">
        <v>33</v>
      </c>
      <c r="E260" t="s">
        <v>39</v>
      </c>
      <c r="F260" t="s">
        <v>47</v>
      </c>
      <c r="G260">
        <v>16461</v>
      </c>
      <c r="H260">
        <v>0</v>
      </c>
      <c r="I260">
        <v>1</v>
      </c>
      <c r="J260">
        <v>0</v>
      </c>
      <c r="K260">
        <v>0</v>
      </c>
      <c r="L260" t="s">
        <v>95</v>
      </c>
      <c r="M260" t="s">
        <v>80</v>
      </c>
      <c r="N260" t="s">
        <v>50</v>
      </c>
      <c r="O260" t="s">
        <v>68</v>
      </c>
      <c r="P260" t="s">
        <v>67</v>
      </c>
      <c r="Q260" t="s">
        <v>51</v>
      </c>
      <c r="R260">
        <v>1</v>
      </c>
      <c r="S260">
        <v>0</v>
      </c>
      <c r="T260">
        <v>0</v>
      </c>
      <c r="U260">
        <v>1</v>
      </c>
      <c r="V260">
        <v>0</v>
      </c>
      <c r="W260">
        <v>0</v>
      </c>
      <c r="X260">
        <v>1</v>
      </c>
      <c r="Y260">
        <v>0</v>
      </c>
      <c r="Z260">
        <v>0</v>
      </c>
      <c r="AA260">
        <v>0</v>
      </c>
      <c r="AB260">
        <v>1</v>
      </c>
      <c r="AC260">
        <v>0</v>
      </c>
      <c r="AD260">
        <v>0</v>
      </c>
      <c r="AE260">
        <v>0</v>
      </c>
    </row>
    <row r="261" spans="1:31" x14ac:dyDescent="0.2">
      <c r="A261" t="s">
        <v>153</v>
      </c>
      <c r="B261" t="s">
        <v>32</v>
      </c>
      <c r="C261">
        <v>40</v>
      </c>
      <c r="D261" t="s">
        <v>33</v>
      </c>
      <c r="E261" t="s">
        <v>39</v>
      </c>
      <c r="F261" t="s">
        <v>40</v>
      </c>
      <c r="G261">
        <v>12076</v>
      </c>
      <c r="H261">
        <v>1</v>
      </c>
      <c r="I261">
        <v>0</v>
      </c>
      <c r="J261">
        <v>0</v>
      </c>
      <c r="K261">
        <v>0</v>
      </c>
      <c r="L261" t="s">
        <v>41</v>
      </c>
      <c r="M261" t="s">
        <v>81</v>
      </c>
      <c r="N261" t="s">
        <v>43</v>
      </c>
      <c r="O261" t="s">
        <v>44</v>
      </c>
      <c r="P261" t="s">
        <v>67</v>
      </c>
      <c r="Q261" t="s">
        <v>46</v>
      </c>
      <c r="R261">
        <v>0</v>
      </c>
      <c r="S261">
        <v>1</v>
      </c>
      <c r="T261">
        <v>1</v>
      </c>
      <c r="U261">
        <v>1</v>
      </c>
      <c r="V261">
        <v>0</v>
      </c>
      <c r="W261">
        <v>0</v>
      </c>
      <c r="X261">
        <v>1</v>
      </c>
      <c r="Y261">
        <v>0</v>
      </c>
      <c r="Z261">
        <v>1</v>
      </c>
      <c r="AA261">
        <v>0</v>
      </c>
      <c r="AB261">
        <v>0</v>
      </c>
      <c r="AC261">
        <v>0</v>
      </c>
      <c r="AD261">
        <v>0</v>
      </c>
      <c r="AE261">
        <v>0</v>
      </c>
    </row>
    <row r="262" spans="1:31" x14ac:dyDescent="0.2">
      <c r="A262" t="s">
        <v>153</v>
      </c>
      <c r="B262" t="s">
        <v>32</v>
      </c>
      <c r="C262">
        <v>40</v>
      </c>
      <c r="D262" t="s">
        <v>33</v>
      </c>
      <c r="E262" t="s">
        <v>52</v>
      </c>
      <c r="F262" t="s">
        <v>74</v>
      </c>
      <c r="G262">
        <v>18642</v>
      </c>
      <c r="H262">
        <v>0</v>
      </c>
      <c r="I262">
        <v>0</v>
      </c>
      <c r="J262">
        <v>0</v>
      </c>
      <c r="K262">
        <v>1</v>
      </c>
      <c r="L262" t="s">
        <v>35</v>
      </c>
      <c r="M262" t="s">
        <v>35</v>
      </c>
      <c r="N262" t="s">
        <v>35</v>
      </c>
      <c r="O262" t="s">
        <v>35</v>
      </c>
      <c r="P262" t="s">
        <v>35</v>
      </c>
      <c r="Q262" t="s">
        <v>35</v>
      </c>
      <c r="R262" t="s">
        <v>35</v>
      </c>
      <c r="S262">
        <v>1</v>
      </c>
      <c r="T262">
        <v>1</v>
      </c>
      <c r="U262">
        <v>1</v>
      </c>
      <c r="V262">
        <v>0</v>
      </c>
      <c r="W262">
        <v>0</v>
      </c>
      <c r="X262">
        <v>1</v>
      </c>
      <c r="Y262">
        <v>0</v>
      </c>
      <c r="Z262">
        <v>1</v>
      </c>
      <c r="AA262">
        <v>0</v>
      </c>
      <c r="AB262">
        <v>0</v>
      </c>
      <c r="AC262">
        <v>0</v>
      </c>
      <c r="AD262">
        <v>0</v>
      </c>
      <c r="AE262">
        <v>0</v>
      </c>
    </row>
    <row r="263" spans="1:31" x14ac:dyDescent="0.2">
      <c r="A263" t="s">
        <v>153</v>
      </c>
      <c r="B263" t="s">
        <v>32</v>
      </c>
      <c r="C263">
        <v>40</v>
      </c>
      <c r="D263" t="s">
        <v>33</v>
      </c>
      <c r="E263" t="s">
        <v>39</v>
      </c>
      <c r="F263" t="s">
        <v>63</v>
      </c>
      <c r="G263">
        <v>7523</v>
      </c>
      <c r="H263">
        <v>0</v>
      </c>
      <c r="I263">
        <v>1</v>
      </c>
      <c r="J263">
        <v>1</v>
      </c>
      <c r="K263">
        <v>0</v>
      </c>
      <c r="L263" t="s">
        <v>66</v>
      </c>
      <c r="M263" t="s">
        <v>64</v>
      </c>
      <c r="N263" t="s">
        <v>85</v>
      </c>
      <c r="O263" t="s">
        <v>45</v>
      </c>
      <c r="P263" t="s">
        <v>67</v>
      </c>
      <c r="Q263" t="s">
        <v>51</v>
      </c>
      <c r="R263">
        <v>0</v>
      </c>
      <c r="S263">
        <v>0</v>
      </c>
      <c r="T263">
        <v>0</v>
      </c>
      <c r="U263">
        <v>1</v>
      </c>
      <c r="V263">
        <v>1</v>
      </c>
      <c r="W263">
        <v>0</v>
      </c>
      <c r="X263">
        <v>1</v>
      </c>
      <c r="Y263">
        <v>0</v>
      </c>
      <c r="Z263">
        <v>0</v>
      </c>
      <c r="AA263">
        <v>0</v>
      </c>
      <c r="AB263">
        <v>1</v>
      </c>
      <c r="AC263">
        <v>0</v>
      </c>
      <c r="AD263">
        <v>0</v>
      </c>
      <c r="AE263">
        <v>0</v>
      </c>
    </row>
    <row r="264" spans="1:31" x14ac:dyDescent="0.2">
      <c r="A264" t="s">
        <v>153</v>
      </c>
      <c r="B264" t="s">
        <v>32</v>
      </c>
      <c r="C264">
        <v>40</v>
      </c>
      <c r="D264" t="s">
        <v>33</v>
      </c>
      <c r="E264" t="s">
        <v>52</v>
      </c>
      <c r="F264" t="s">
        <v>69</v>
      </c>
      <c r="G264">
        <v>3382</v>
      </c>
      <c r="H264">
        <v>0</v>
      </c>
      <c r="I264">
        <v>1</v>
      </c>
      <c r="J264">
        <v>0</v>
      </c>
      <c r="K264">
        <v>0</v>
      </c>
      <c r="L264" t="s">
        <v>35</v>
      </c>
      <c r="M264" t="s">
        <v>35</v>
      </c>
      <c r="N264" t="s">
        <v>35</v>
      </c>
      <c r="O264" t="s">
        <v>35</v>
      </c>
      <c r="P264" t="s">
        <v>35</v>
      </c>
      <c r="Q264" t="s">
        <v>35</v>
      </c>
      <c r="R264" t="s">
        <v>35</v>
      </c>
      <c r="S264">
        <v>0</v>
      </c>
      <c r="T264">
        <v>0</v>
      </c>
      <c r="U264">
        <v>1</v>
      </c>
      <c r="V264">
        <v>1</v>
      </c>
      <c r="W264">
        <v>0</v>
      </c>
      <c r="X264">
        <v>1</v>
      </c>
      <c r="Y264">
        <v>0</v>
      </c>
      <c r="Z264">
        <v>0</v>
      </c>
      <c r="AA264">
        <v>0</v>
      </c>
      <c r="AB264">
        <v>1</v>
      </c>
      <c r="AC264">
        <v>0</v>
      </c>
      <c r="AD264">
        <v>0</v>
      </c>
      <c r="AE264">
        <v>0</v>
      </c>
    </row>
    <row r="265" spans="1:31" x14ac:dyDescent="0.2">
      <c r="A265" t="s">
        <v>153</v>
      </c>
      <c r="B265" t="s">
        <v>32</v>
      </c>
      <c r="C265">
        <v>40</v>
      </c>
      <c r="D265" t="s">
        <v>33</v>
      </c>
      <c r="E265" t="s">
        <v>39</v>
      </c>
      <c r="F265" t="s">
        <v>59</v>
      </c>
      <c r="G265">
        <v>5380</v>
      </c>
      <c r="H265">
        <v>0</v>
      </c>
      <c r="I265">
        <v>0</v>
      </c>
      <c r="J265">
        <v>0</v>
      </c>
      <c r="K265">
        <v>1</v>
      </c>
      <c r="L265" t="s">
        <v>60</v>
      </c>
      <c r="M265" t="s">
        <v>99</v>
      </c>
      <c r="N265" t="s">
        <v>62</v>
      </c>
      <c r="O265" t="s">
        <v>44</v>
      </c>
      <c r="P265" t="s">
        <v>67</v>
      </c>
      <c r="Q265" t="s">
        <v>45</v>
      </c>
      <c r="R265">
        <v>0</v>
      </c>
      <c r="S265">
        <v>1</v>
      </c>
      <c r="T265">
        <v>0</v>
      </c>
      <c r="U265">
        <v>1</v>
      </c>
      <c r="V265">
        <v>1</v>
      </c>
      <c r="W265">
        <v>0</v>
      </c>
      <c r="X265">
        <v>1</v>
      </c>
      <c r="Y265">
        <v>0</v>
      </c>
      <c r="Z265">
        <v>0</v>
      </c>
      <c r="AA265">
        <v>0</v>
      </c>
      <c r="AB265">
        <v>0</v>
      </c>
      <c r="AC265">
        <v>0</v>
      </c>
      <c r="AD265">
        <v>0</v>
      </c>
      <c r="AE265">
        <v>1</v>
      </c>
    </row>
    <row r="266" spans="1:31" x14ac:dyDescent="0.2">
      <c r="A266" t="s">
        <v>153</v>
      </c>
      <c r="B266" t="s">
        <v>32</v>
      </c>
      <c r="C266">
        <v>40</v>
      </c>
      <c r="D266" t="s">
        <v>33</v>
      </c>
      <c r="E266" t="s">
        <v>52</v>
      </c>
      <c r="F266" t="s">
        <v>58</v>
      </c>
      <c r="G266">
        <v>28159</v>
      </c>
      <c r="H266">
        <v>0</v>
      </c>
      <c r="I266">
        <v>0</v>
      </c>
      <c r="J266">
        <v>0</v>
      </c>
      <c r="K266">
        <v>1</v>
      </c>
      <c r="L266" t="s">
        <v>35</v>
      </c>
      <c r="M266" t="s">
        <v>35</v>
      </c>
      <c r="N266" t="s">
        <v>35</v>
      </c>
      <c r="O266" t="s">
        <v>35</v>
      </c>
      <c r="P266" t="s">
        <v>35</v>
      </c>
      <c r="Q266" t="s">
        <v>35</v>
      </c>
      <c r="R266" t="s">
        <v>35</v>
      </c>
      <c r="S266">
        <v>1</v>
      </c>
      <c r="T266">
        <v>0</v>
      </c>
      <c r="U266">
        <v>1</v>
      </c>
      <c r="V266">
        <v>1</v>
      </c>
      <c r="W266">
        <v>0</v>
      </c>
      <c r="X266">
        <v>1</v>
      </c>
      <c r="Y266">
        <v>0</v>
      </c>
      <c r="Z266">
        <v>0</v>
      </c>
      <c r="AA266">
        <v>0</v>
      </c>
      <c r="AB266">
        <v>0</v>
      </c>
      <c r="AC266">
        <v>0</v>
      </c>
      <c r="AD266">
        <v>0</v>
      </c>
      <c r="AE266">
        <v>1</v>
      </c>
    </row>
    <row r="267" spans="1:31" x14ac:dyDescent="0.2">
      <c r="A267" t="s">
        <v>153</v>
      </c>
      <c r="B267" t="s">
        <v>32</v>
      </c>
      <c r="C267">
        <v>40</v>
      </c>
      <c r="D267" t="s">
        <v>33</v>
      </c>
      <c r="E267" t="s">
        <v>75</v>
      </c>
      <c r="F267" t="s">
        <v>35</v>
      </c>
      <c r="G267">
        <v>118764</v>
      </c>
      <c r="H267" t="s">
        <v>154</v>
      </c>
      <c r="I267" t="s">
        <v>155</v>
      </c>
      <c r="J267" t="s">
        <v>156</v>
      </c>
      <c r="K267" t="s">
        <v>35</v>
      </c>
      <c r="L267" t="s">
        <v>35</v>
      </c>
      <c r="M267" t="s">
        <v>35</v>
      </c>
      <c r="N267" t="s">
        <v>35</v>
      </c>
      <c r="O267" t="s">
        <v>35</v>
      </c>
      <c r="P267" t="s">
        <v>35</v>
      </c>
      <c r="Q267" t="s">
        <v>35</v>
      </c>
      <c r="R267" t="s">
        <v>35</v>
      </c>
      <c r="S267" t="s">
        <v>35</v>
      </c>
      <c r="T267" t="s">
        <v>35</v>
      </c>
      <c r="U267" t="s">
        <v>35</v>
      </c>
      <c r="V267" t="s">
        <v>35</v>
      </c>
      <c r="W267" t="s">
        <v>35</v>
      </c>
      <c r="X267" t="s">
        <v>35</v>
      </c>
      <c r="Y267" t="s">
        <v>35</v>
      </c>
      <c r="Z267" t="s">
        <v>35</v>
      </c>
      <c r="AA267" t="s">
        <v>35</v>
      </c>
      <c r="AB267" t="s">
        <v>35</v>
      </c>
      <c r="AC267" t="s">
        <v>35</v>
      </c>
      <c r="AD267" t="s">
        <v>35</v>
      </c>
      <c r="AE267" t="s">
        <v>35</v>
      </c>
    </row>
    <row r="268" spans="1:31" x14ac:dyDescent="0.2">
      <c r="A268" t="s">
        <v>157</v>
      </c>
      <c r="B268" t="s">
        <v>32</v>
      </c>
      <c r="C268">
        <v>41</v>
      </c>
      <c r="D268" t="s">
        <v>78</v>
      </c>
      <c r="E268" t="s">
        <v>34</v>
      </c>
      <c r="F268" t="s">
        <v>35</v>
      </c>
      <c r="G268">
        <v>99167</v>
      </c>
      <c r="H268" t="s">
        <v>35</v>
      </c>
      <c r="I268" t="s">
        <v>35</v>
      </c>
      <c r="J268" t="s">
        <v>35</v>
      </c>
      <c r="K268" t="s">
        <v>35</v>
      </c>
      <c r="L268" t="s">
        <v>35</v>
      </c>
      <c r="M268" t="s">
        <v>35</v>
      </c>
      <c r="N268" t="s">
        <v>35</v>
      </c>
      <c r="O268" t="s">
        <v>35</v>
      </c>
      <c r="P268" t="s">
        <v>35</v>
      </c>
      <c r="Q268" t="s">
        <v>35</v>
      </c>
      <c r="R268" t="s">
        <v>35</v>
      </c>
      <c r="S268" t="s">
        <v>35</v>
      </c>
      <c r="T268" t="s">
        <v>35</v>
      </c>
      <c r="U268" t="s">
        <v>35</v>
      </c>
      <c r="V268" t="s">
        <v>35</v>
      </c>
      <c r="W268" t="s">
        <v>35</v>
      </c>
      <c r="X268" t="s">
        <v>35</v>
      </c>
      <c r="Y268" t="s">
        <v>35</v>
      </c>
      <c r="Z268" t="s">
        <v>35</v>
      </c>
      <c r="AA268" t="s">
        <v>35</v>
      </c>
      <c r="AB268" t="s">
        <v>35</v>
      </c>
      <c r="AC268" t="s">
        <v>35</v>
      </c>
      <c r="AD268" t="s">
        <v>35</v>
      </c>
      <c r="AE268" t="s">
        <v>35</v>
      </c>
    </row>
    <row r="269" spans="1:31" x14ac:dyDescent="0.2">
      <c r="A269" t="s">
        <v>157</v>
      </c>
      <c r="B269" t="s">
        <v>32</v>
      </c>
      <c r="C269">
        <v>41</v>
      </c>
      <c r="D269" t="s">
        <v>78</v>
      </c>
      <c r="E269" t="s">
        <v>36</v>
      </c>
      <c r="F269" t="s">
        <v>38</v>
      </c>
      <c r="G269">
        <v>37633</v>
      </c>
      <c r="H269">
        <v>0</v>
      </c>
      <c r="I269">
        <v>0</v>
      </c>
      <c r="J269">
        <v>0</v>
      </c>
      <c r="K269">
        <v>1</v>
      </c>
      <c r="L269" t="s">
        <v>35</v>
      </c>
      <c r="M269" t="s">
        <v>35</v>
      </c>
      <c r="N269" t="s">
        <v>35</v>
      </c>
      <c r="O269" t="s">
        <v>35</v>
      </c>
      <c r="P269" t="s">
        <v>35</v>
      </c>
      <c r="Q269" t="s">
        <v>35</v>
      </c>
      <c r="R269" t="s">
        <v>35</v>
      </c>
      <c r="S269" t="s">
        <v>35</v>
      </c>
      <c r="T269" t="s">
        <v>35</v>
      </c>
      <c r="U269" t="s">
        <v>35</v>
      </c>
      <c r="V269" t="s">
        <v>35</v>
      </c>
      <c r="W269" t="s">
        <v>35</v>
      </c>
      <c r="X269" t="s">
        <v>35</v>
      </c>
      <c r="Y269" t="s">
        <v>35</v>
      </c>
      <c r="Z269" t="s">
        <v>35</v>
      </c>
      <c r="AA269" t="s">
        <v>35</v>
      </c>
      <c r="AB269" t="s">
        <v>35</v>
      </c>
      <c r="AC269" t="s">
        <v>35</v>
      </c>
      <c r="AD269" t="s">
        <v>35</v>
      </c>
      <c r="AE269" t="s">
        <v>35</v>
      </c>
    </row>
    <row r="270" spans="1:31" x14ac:dyDescent="0.2">
      <c r="A270" t="s">
        <v>157</v>
      </c>
      <c r="B270" t="s">
        <v>32</v>
      </c>
      <c r="C270">
        <v>41</v>
      </c>
      <c r="D270" t="s">
        <v>78</v>
      </c>
      <c r="E270" t="s">
        <v>36</v>
      </c>
      <c r="F270" t="s">
        <v>37</v>
      </c>
      <c r="G270">
        <v>33990</v>
      </c>
      <c r="H270">
        <v>0</v>
      </c>
      <c r="I270">
        <v>0</v>
      </c>
      <c r="J270">
        <v>1</v>
      </c>
      <c r="K270">
        <v>0</v>
      </c>
      <c r="L270" t="s">
        <v>35</v>
      </c>
      <c r="M270" t="s">
        <v>35</v>
      </c>
      <c r="N270" t="s">
        <v>35</v>
      </c>
      <c r="O270" t="s">
        <v>35</v>
      </c>
      <c r="P270" t="s">
        <v>35</v>
      </c>
      <c r="Q270" t="s">
        <v>35</v>
      </c>
      <c r="R270" t="s">
        <v>35</v>
      </c>
      <c r="S270" t="s">
        <v>35</v>
      </c>
      <c r="T270" t="s">
        <v>35</v>
      </c>
      <c r="U270" t="s">
        <v>35</v>
      </c>
      <c r="V270" t="s">
        <v>35</v>
      </c>
      <c r="W270" t="s">
        <v>35</v>
      </c>
      <c r="X270" t="s">
        <v>35</v>
      </c>
      <c r="Y270" t="s">
        <v>35</v>
      </c>
      <c r="Z270" t="s">
        <v>35</v>
      </c>
      <c r="AA270" t="s">
        <v>35</v>
      </c>
      <c r="AB270" t="s">
        <v>35</v>
      </c>
      <c r="AC270" t="s">
        <v>35</v>
      </c>
      <c r="AD270" t="s">
        <v>35</v>
      </c>
      <c r="AE270" t="s">
        <v>35</v>
      </c>
    </row>
    <row r="271" spans="1:31" x14ac:dyDescent="0.2">
      <c r="A271" t="s">
        <v>157</v>
      </c>
      <c r="B271" t="s">
        <v>32</v>
      </c>
      <c r="C271">
        <v>41</v>
      </c>
      <c r="D271" t="s">
        <v>78</v>
      </c>
      <c r="E271" t="s">
        <v>39</v>
      </c>
      <c r="F271" t="s">
        <v>40</v>
      </c>
      <c r="G271">
        <v>39910</v>
      </c>
      <c r="H271">
        <v>1</v>
      </c>
      <c r="I271">
        <v>1</v>
      </c>
      <c r="J271">
        <v>1</v>
      </c>
      <c r="K271">
        <v>0</v>
      </c>
      <c r="L271" t="s">
        <v>42</v>
      </c>
      <c r="M271" t="s">
        <v>82</v>
      </c>
      <c r="N271" t="s">
        <v>41</v>
      </c>
      <c r="O271" t="s">
        <v>45</v>
      </c>
      <c r="P271" t="s">
        <v>68</v>
      </c>
      <c r="Q271" t="s">
        <v>44</v>
      </c>
      <c r="R271">
        <v>1</v>
      </c>
      <c r="S271">
        <v>1</v>
      </c>
      <c r="T271">
        <v>0</v>
      </c>
      <c r="U271">
        <v>0</v>
      </c>
      <c r="V271">
        <v>1</v>
      </c>
      <c r="W271">
        <v>0</v>
      </c>
      <c r="X271">
        <v>1</v>
      </c>
      <c r="Y271">
        <v>1</v>
      </c>
      <c r="Z271">
        <v>1</v>
      </c>
      <c r="AA271">
        <v>0</v>
      </c>
      <c r="AB271">
        <v>0</v>
      </c>
      <c r="AC271">
        <v>1</v>
      </c>
      <c r="AD271">
        <v>0</v>
      </c>
      <c r="AE271">
        <v>0</v>
      </c>
    </row>
    <row r="272" spans="1:31" x14ac:dyDescent="0.2">
      <c r="A272" t="s">
        <v>157</v>
      </c>
      <c r="B272" t="s">
        <v>32</v>
      </c>
      <c r="C272">
        <v>41</v>
      </c>
      <c r="D272" t="s">
        <v>78</v>
      </c>
      <c r="E272" t="s">
        <v>52</v>
      </c>
      <c r="F272" t="s">
        <v>69</v>
      </c>
      <c r="G272">
        <v>32008</v>
      </c>
      <c r="H272">
        <v>1</v>
      </c>
      <c r="I272">
        <v>1</v>
      </c>
      <c r="J272">
        <v>1</v>
      </c>
      <c r="K272">
        <v>0</v>
      </c>
      <c r="L272" t="s">
        <v>35</v>
      </c>
      <c r="M272" t="s">
        <v>35</v>
      </c>
      <c r="N272" t="s">
        <v>35</v>
      </c>
      <c r="O272" t="s">
        <v>35</v>
      </c>
      <c r="P272" t="s">
        <v>35</v>
      </c>
      <c r="Q272" t="s">
        <v>35</v>
      </c>
      <c r="R272" t="s">
        <v>35</v>
      </c>
      <c r="S272">
        <v>1</v>
      </c>
      <c r="T272">
        <v>0</v>
      </c>
      <c r="U272">
        <v>0</v>
      </c>
      <c r="V272">
        <v>1</v>
      </c>
      <c r="W272">
        <v>0</v>
      </c>
      <c r="X272">
        <v>1</v>
      </c>
      <c r="Y272">
        <v>1</v>
      </c>
      <c r="Z272">
        <v>1</v>
      </c>
      <c r="AA272">
        <v>0</v>
      </c>
      <c r="AB272">
        <v>0</v>
      </c>
      <c r="AC272">
        <v>1</v>
      </c>
      <c r="AD272">
        <v>0</v>
      </c>
      <c r="AE272">
        <v>0</v>
      </c>
    </row>
    <row r="273" spans="1:31" x14ac:dyDescent="0.2">
      <c r="A273" t="s">
        <v>157</v>
      </c>
      <c r="B273" t="s">
        <v>32</v>
      </c>
      <c r="C273">
        <v>41</v>
      </c>
      <c r="D273" t="s">
        <v>78</v>
      </c>
      <c r="E273" t="s">
        <v>39</v>
      </c>
      <c r="F273" t="s">
        <v>54</v>
      </c>
      <c r="G273">
        <v>26180</v>
      </c>
      <c r="H273">
        <v>1</v>
      </c>
      <c r="I273">
        <v>1</v>
      </c>
      <c r="J273">
        <v>1</v>
      </c>
      <c r="K273">
        <v>0</v>
      </c>
      <c r="L273" t="s">
        <v>55</v>
      </c>
      <c r="M273" t="s">
        <v>89</v>
      </c>
      <c r="N273" t="s">
        <v>57</v>
      </c>
      <c r="O273" t="s">
        <v>44</v>
      </c>
      <c r="P273" t="s">
        <v>67</v>
      </c>
      <c r="Q273" t="s">
        <v>46</v>
      </c>
      <c r="R273">
        <v>0</v>
      </c>
      <c r="S273">
        <v>1</v>
      </c>
      <c r="T273">
        <v>1</v>
      </c>
      <c r="U273">
        <v>1</v>
      </c>
      <c r="V273">
        <v>0</v>
      </c>
      <c r="W273">
        <v>0</v>
      </c>
      <c r="X273">
        <v>1</v>
      </c>
      <c r="Y273">
        <v>0</v>
      </c>
      <c r="Z273">
        <v>1</v>
      </c>
      <c r="AA273">
        <v>1</v>
      </c>
      <c r="AB273">
        <v>1</v>
      </c>
      <c r="AC273">
        <v>0</v>
      </c>
      <c r="AD273">
        <v>0</v>
      </c>
      <c r="AE273">
        <v>0</v>
      </c>
    </row>
    <row r="274" spans="1:31" x14ac:dyDescent="0.2">
      <c r="A274" t="s">
        <v>157</v>
      </c>
      <c r="B274" t="s">
        <v>32</v>
      </c>
      <c r="C274">
        <v>41</v>
      </c>
      <c r="D274" t="s">
        <v>78</v>
      </c>
      <c r="E274" t="s">
        <v>39</v>
      </c>
      <c r="F274" t="s">
        <v>47</v>
      </c>
      <c r="G274">
        <v>23362</v>
      </c>
      <c r="H274">
        <v>1</v>
      </c>
      <c r="I274">
        <v>1</v>
      </c>
      <c r="J274">
        <v>1</v>
      </c>
      <c r="K274">
        <v>0</v>
      </c>
      <c r="L274" t="s">
        <v>48</v>
      </c>
      <c r="M274" t="s">
        <v>95</v>
      </c>
      <c r="N274" t="s">
        <v>80</v>
      </c>
      <c r="O274" t="s">
        <v>46</v>
      </c>
      <c r="P274" t="s">
        <v>68</v>
      </c>
      <c r="Q274" t="s">
        <v>67</v>
      </c>
      <c r="R274">
        <v>1</v>
      </c>
      <c r="S274">
        <v>0</v>
      </c>
      <c r="T274">
        <v>1</v>
      </c>
      <c r="U274">
        <v>1</v>
      </c>
      <c r="V274">
        <v>0</v>
      </c>
      <c r="W274">
        <v>0</v>
      </c>
      <c r="X274">
        <v>1</v>
      </c>
      <c r="Y274">
        <v>1</v>
      </c>
      <c r="Z274">
        <v>0</v>
      </c>
      <c r="AA274">
        <v>1</v>
      </c>
      <c r="AB274">
        <v>1</v>
      </c>
      <c r="AC274">
        <v>0</v>
      </c>
      <c r="AD274">
        <v>0</v>
      </c>
      <c r="AE274">
        <v>0</v>
      </c>
    </row>
    <row r="275" spans="1:31" x14ac:dyDescent="0.2">
      <c r="A275" t="s">
        <v>157</v>
      </c>
      <c r="B275" t="s">
        <v>32</v>
      </c>
      <c r="C275">
        <v>41</v>
      </c>
      <c r="D275" t="s">
        <v>78</v>
      </c>
      <c r="E275" t="s">
        <v>52</v>
      </c>
      <c r="F275" t="s">
        <v>58</v>
      </c>
      <c r="G275">
        <v>35127</v>
      </c>
      <c r="H275">
        <v>1</v>
      </c>
      <c r="I275">
        <v>1</v>
      </c>
      <c r="J275">
        <v>0</v>
      </c>
      <c r="K275">
        <v>0</v>
      </c>
      <c r="L275" t="s">
        <v>35</v>
      </c>
      <c r="M275" t="s">
        <v>35</v>
      </c>
      <c r="N275" t="s">
        <v>35</v>
      </c>
      <c r="O275" t="s">
        <v>35</v>
      </c>
      <c r="P275" t="s">
        <v>35</v>
      </c>
      <c r="Q275" t="s">
        <v>35</v>
      </c>
      <c r="R275" t="s">
        <v>35</v>
      </c>
      <c r="S275">
        <v>0</v>
      </c>
      <c r="T275">
        <v>1</v>
      </c>
      <c r="U275">
        <v>1</v>
      </c>
      <c r="V275">
        <v>0</v>
      </c>
      <c r="W275">
        <v>0</v>
      </c>
      <c r="X275">
        <v>1</v>
      </c>
      <c r="Y275">
        <v>1</v>
      </c>
      <c r="Z275">
        <v>0</v>
      </c>
      <c r="AA275">
        <v>1</v>
      </c>
      <c r="AB275">
        <v>1</v>
      </c>
      <c r="AC275">
        <v>0</v>
      </c>
      <c r="AD275">
        <v>0</v>
      </c>
      <c r="AE275">
        <v>0</v>
      </c>
    </row>
    <row r="276" spans="1:31" x14ac:dyDescent="0.2">
      <c r="A276" t="s">
        <v>157</v>
      </c>
      <c r="B276" t="s">
        <v>32</v>
      </c>
      <c r="C276">
        <v>41</v>
      </c>
      <c r="D276" t="s">
        <v>78</v>
      </c>
      <c r="E276" t="s">
        <v>39</v>
      </c>
      <c r="F276" t="s">
        <v>63</v>
      </c>
      <c r="G276">
        <v>24755</v>
      </c>
      <c r="H276">
        <v>1</v>
      </c>
      <c r="I276">
        <v>1</v>
      </c>
      <c r="J276">
        <v>1</v>
      </c>
      <c r="K276">
        <v>0</v>
      </c>
      <c r="L276" t="s">
        <v>65</v>
      </c>
      <c r="M276" t="s">
        <v>85</v>
      </c>
      <c r="N276" t="s">
        <v>84</v>
      </c>
      <c r="O276" t="s">
        <v>68</v>
      </c>
      <c r="P276" t="s">
        <v>51</v>
      </c>
      <c r="Q276" t="s">
        <v>46</v>
      </c>
      <c r="R276">
        <v>1</v>
      </c>
      <c r="S276">
        <v>0</v>
      </c>
      <c r="T276">
        <v>1</v>
      </c>
      <c r="U276">
        <v>0</v>
      </c>
      <c r="V276">
        <v>0</v>
      </c>
      <c r="W276">
        <v>0</v>
      </c>
      <c r="X276">
        <v>1</v>
      </c>
      <c r="Y276">
        <v>1</v>
      </c>
      <c r="Z276">
        <v>0</v>
      </c>
      <c r="AA276">
        <v>1</v>
      </c>
      <c r="AB276">
        <v>0</v>
      </c>
      <c r="AC276">
        <v>0</v>
      </c>
      <c r="AD276">
        <v>0</v>
      </c>
      <c r="AE276">
        <v>0</v>
      </c>
    </row>
    <row r="277" spans="1:31" x14ac:dyDescent="0.2">
      <c r="A277" t="s">
        <v>157</v>
      </c>
      <c r="B277" t="s">
        <v>32</v>
      </c>
      <c r="C277">
        <v>41</v>
      </c>
      <c r="D277" t="s">
        <v>78</v>
      </c>
      <c r="E277" t="s">
        <v>52</v>
      </c>
      <c r="F277" t="s">
        <v>53</v>
      </c>
      <c r="G277">
        <v>37496</v>
      </c>
      <c r="H277">
        <v>0</v>
      </c>
      <c r="I277">
        <v>0</v>
      </c>
      <c r="J277">
        <v>1</v>
      </c>
      <c r="K277">
        <v>0</v>
      </c>
      <c r="L277" t="s">
        <v>35</v>
      </c>
      <c r="M277" t="s">
        <v>35</v>
      </c>
      <c r="N277" t="s">
        <v>35</v>
      </c>
      <c r="O277" t="s">
        <v>35</v>
      </c>
      <c r="P277" t="s">
        <v>35</v>
      </c>
      <c r="Q277" t="s">
        <v>35</v>
      </c>
      <c r="R277" t="s">
        <v>35</v>
      </c>
      <c r="S277">
        <v>0</v>
      </c>
      <c r="T277">
        <v>1</v>
      </c>
      <c r="U277">
        <v>0</v>
      </c>
      <c r="V277">
        <v>0</v>
      </c>
      <c r="W277">
        <v>0</v>
      </c>
      <c r="X277">
        <v>1</v>
      </c>
      <c r="Y277">
        <v>1</v>
      </c>
      <c r="Z277">
        <v>0</v>
      </c>
      <c r="AA277">
        <v>1</v>
      </c>
      <c r="AB277">
        <v>0</v>
      </c>
      <c r="AC277">
        <v>0</v>
      </c>
      <c r="AD277">
        <v>0</v>
      </c>
      <c r="AE277">
        <v>0</v>
      </c>
    </row>
    <row r="278" spans="1:31" x14ac:dyDescent="0.2">
      <c r="A278" t="s">
        <v>157</v>
      </c>
      <c r="B278" t="s">
        <v>32</v>
      </c>
      <c r="C278">
        <v>41</v>
      </c>
      <c r="D278" t="s">
        <v>78</v>
      </c>
      <c r="E278" t="s">
        <v>39</v>
      </c>
      <c r="F278" t="s">
        <v>59</v>
      </c>
      <c r="G278">
        <v>17558</v>
      </c>
      <c r="H278">
        <v>1</v>
      </c>
      <c r="I278">
        <v>1</v>
      </c>
      <c r="J278">
        <v>1</v>
      </c>
      <c r="K278">
        <v>0</v>
      </c>
      <c r="L278" t="s">
        <v>62</v>
      </c>
      <c r="M278" t="s">
        <v>61</v>
      </c>
      <c r="N278" t="s">
        <v>60</v>
      </c>
      <c r="O278" t="s">
        <v>45</v>
      </c>
      <c r="P278" t="s">
        <v>46</v>
      </c>
      <c r="Q278" t="s">
        <v>44</v>
      </c>
      <c r="R278">
        <v>0</v>
      </c>
      <c r="S278">
        <v>1</v>
      </c>
      <c r="T278">
        <v>1</v>
      </c>
      <c r="U278">
        <v>0</v>
      </c>
      <c r="V278">
        <v>1</v>
      </c>
      <c r="W278">
        <v>0</v>
      </c>
      <c r="X278">
        <v>1</v>
      </c>
      <c r="Y278">
        <v>0</v>
      </c>
      <c r="Z278">
        <v>1</v>
      </c>
      <c r="AA278">
        <v>1</v>
      </c>
      <c r="AB278">
        <v>0</v>
      </c>
      <c r="AC278">
        <v>1</v>
      </c>
      <c r="AD278">
        <v>0</v>
      </c>
      <c r="AE278">
        <v>0</v>
      </c>
    </row>
    <row r="279" spans="1:31" x14ac:dyDescent="0.2">
      <c r="A279" t="s">
        <v>157</v>
      </c>
      <c r="B279" t="s">
        <v>32</v>
      </c>
      <c r="C279">
        <v>41</v>
      </c>
      <c r="D279" t="s">
        <v>78</v>
      </c>
      <c r="E279" t="s">
        <v>39</v>
      </c>
      <c r="F279" t="s">
        <v>70</v>
      </c>
      <c r="G279">
        <v>22080</v>
      </c>
      <c r="H279">
        <v>1</v>
      </c>
      <c r="I279">
        <v>1</v>
      </c>
      <c r="J279">
        <v>1</v>
      </c>
      <c r="K279">
        <v>0</v>
      </c>
      <c r="L279" t="s">
        <v>93</v>
      </c>
      <c r="M279" t="s">
        <v>72</v>
      </c>
      <c r="N279" t="s">
        <v>73</v>
      </c>
      <c r="O279" t="s">
        <v>68</v>
      </c>
      <c r="P279" t="s">
        <v>67</v>
      </c>
      <c r="Q279" t="s">
        <v>44</v>
      </c>
      <c r="R279">
        <v>1</v>
      </c>
      <c r="S279">
        <v>1</v>
      </c>
      <c r="T279">
        <v>0</v>
      </c>
      <c r="U279">
        <v>1</v>
      </c>
      <c r="V279">
        <v>0</v>
      </c>
      <c r="W279">
        <v>0</v>
      </c>
      <c r="X279">
        <v>1</v>
      </c>
      <c r="Y279">
        <v>1</v>
      </c>
      <c r="Z279">
        <v>1</v>
      </c>
      <c r="AA279">
        <v>0</v>
      </c>
      <c r="AB279">
        <v>1</v>
      </c>
      <c r="AC279">
        <v>0</v>
      </c>
      <c r="AD279">
        <v>0</v>
      </c>
      <c r="AE279">
        <v>0</v>
      </c>
    </row>
    <row r="280" spans="1:31" x14ac:dyDescent="0.2">
      <c r="A280" t="s">
        <v>157</v>
      </c>
      <c r="B280" t="s">
        <v>32</v>
      </c>
      <c r="C280">
        <v>41</v>
      </c>
      <c r="D280" t="s">
        <v>78</v>
      </c>
      <c r="E280" t="s">
        <v>52</v>
      </c>
      <c r="F280" t="s">
        <v>74</v>
      </c>
      <c r="G280">
        <v>18059</v>
      </c>
      <c r="H280">
        <v>1</v>
      </c>
      <c r="I280">
        <v>1</v>
      </c>
      <c r="J280">
        <v>0</v>
      </c>
      <c r="K280">
        <v>0</v>
      </c>
      <c r="L280" t="s">
        <v>35</v>
      </c>
      <c r="M280" t="s">
        <v>35</v>
      </c>
      <c r="N280" t="s">
        <v>35</v>
      </c>
      <c r="O280" t="s">
        <v>35</v>
      </c>
      <c r="P280" t="s">
        <v>35</v>
      </c>
      <c r="Q280" t="s">
        <v>35</v>
      </c>
      <c r="R280" t="s">
        <v>35</v>
      </c>
      <c r="S280">
        <v>1</v>
      </c>
      <c r="T280">
        <v>0</v>
      </c>
      <c r="U280">
        <v>1</v>
      </c>
      <c r="V280">
        <v>0</v>
      </c>
      <c r="W280">
        <v>0</v>
      </c>
      <c r="X280">
        <v>1</v>
      </c>
      <c r="Y280">
        <v>1</v>
      </c>
      <c r="Z280">
        <v>1</v>
      </c>
      <c r="AA280">
        <v>0</v>
      </c>
      <c r="AB280">
        <v>1</v>
      </c>
      <c r="AC280">
        <v>0</v>
      </c>
      <c r="AD280">
        <v>0</v>
      </c>
      <c r="AE280">
        <v>0</v>
      </c>
    </row>
    <row r="281" spans="1:31" x14ac:dyDescent="0.2">
      <c r="A281" t="s">
        <v>157</v>
      </c>
      <c r="B281" t="s">
        <v>32</v>
      </c>
      <c r="C281">
        <v>41</v>
      </c>
      <c r="D281" t="s">
        <v>78</v>
      </c>
      <c r="E281" t="s">
        <v>75</v>
      </c>
      <c r="F281" t="s">
        <v>35</v>
      </c>
      <c r="G281">
        <v>82484</v>
      </c>
      <c r="H281" t="s">
        <v>158</v>
      </c>
      <c r="I281" t="s">
        <v>159</v>
      </c>
      <c r="J281" t="s">
        <v>160</v>
      </c>
      <c r="K281" t="s">
        <v>35</v>
      </c>
      <c r="L281" t="s">
        <v>35</v>
      </c>
      <c r="M281" t="s">
        <v>35</v>
      </c>
      <c r="N281" t="s">
        <v>35</v>
      </c>
      <c r="O281" t="s">
        <v>35</v>
      </c>
      <c r="P281" t="s">
        <v>35</v>
      </c>
      <c r="Q281" t="s">
        <v>35</v>
      </c>
      <c r="R281" t="s">
        <v>35</v>
      </c>
      <c r="S281" t="s">
        <v>35</v>
      </c>
      <c r="T281" t="s">
        <v>35</v>
      </c>
      <c r="U281" t="s">
        <v>35</v>
      </c>
      <c r="V281" t="s">
        <v>35</v>
      </c>
      <c r="W281" t="s">
        <v>35</v>
      </c>
      <c r="X281" t="s">
        <v>35</v>
      </c>
      <c r="Y281" t="s">
        <v>35</v>
      </c>
      <c r="Z281" t="s">
        <v>35</v>
      </c>
      <c r="AA281" t="s">
        <v>35</v>
      </c>
      <c r="AB281" t="s">
        <v>35</v>
      </c>
      <c r="AC281" t="s">
        <v>35</v>
      </c>
      <c r="AD281" t="s">
        <v>35</v>
      </c>
      <c r="AE281" t="s">
        <v>35</v>
      </c>
    </row>
    <row r="282" spans="1:31" x14ac:dyDescent="0.2">
      <c r="A282" t="s">
        <v>161</v>
      </c>
      <c r="B282" t="s">
        <v>32</v>
      </c>
      <c r="C282">
        <v>28</v>
      </c>
      <c r="D282" t="s">
        <v>78</v>
      </c>
      <c r="E282" t="s">
        <v>34</v>
      </c>
      <c r="F282" t="s">
        <v>35</v>
      </c>
      <c r="G282">
        <v>12614</v>
      </c>
      <c r="H282" t="s">
        <v>35</v>
      </c>
      <c r="I282" t="s">
        <v>35</v>
      </c>
      <c r="J282" t="s">
        <v>35</v>
      </c>
      <c r="K282" t="s">
        <v>35</v>
      </c>
      <c r="L282" t="s">
        <v>35</v>
      </c>
      <c r="M282" t="s">
        <v>35</v>
      </c>
      <c r="N282" t="s">
        <v>35</v>
      </c>
      <c r="O282" t="s">
        <v>35</v>
      </c>
      <c r="P282" t="s">
        <v>35</v>
      </c>
      <c r="Q282" t="s">
        <v>35</v>
      </c>
      <c r="R282" t="s">
        <v>35</v>
      </c>
      <c r="S282" t="s">
        <v>35</v>
      </c>
      <c r="T282" t="s">
        <v>35</v>
      </c>
      <c r="U282" t="s">
        <v>35</v>
      </c>
      <c r="V282" t="s">
        <v>35</v>
      </c>
      <c r="W282" t="s">
        <v>35</v>
      </c>
      <c r="X282" t="s">
        <v>35</v>
      </c>
      <c r="Y282" t="s">
        <v>35</v>
      </c>
      <c r="Z282" t="s">
        <v>35</v>
      </c>
      <c r="AA282" t="s">
        <v>35</v>
      </c>
      <c r="AB282" t="s">
        <v>35</v>
      </c>
      <c r="AC282" t="s">
        <v>35</v>
      </c>
      <c r="AD282" t="s">
        <v>35</v>
      </c>
      <c r="AE282" t="s">
        <v>35</v>
      </c>
    </row>
    <row r="283" spans="1:31" x14ac:dyDescent="0.2">
      <c r="A283" t="s">
        <v>161</v>
      </c>
      <c r="B283" t="s">
        <v>32</v>
      </c>
      <c r="C283">
        <v>28</v>
      </c>
      <c r="D283" t="s">
        <v>78</v>
      </c>
      <c r="E283" t="s">
        <v>36</v>
      </c>
      <c r="F283" t="s">
        <v>38</v>
      </c>
      <c r="G283">
        <v>26487</v>
      </c>
      <c r="H283">
        <v>0</v>
      </c>
      <c r="I283">
        <v>0</v>
      </c>
      <c r="J283">
        <v>0</v>
      </c>
      <c r="K283">
        <v>1</v>
      </c>
      <c r="L283" t="s">
        <v>35</v>
      </c>
      <c r="M283" t="s">
        <v>35</v>
      </c>
      <c r="N283" t="s">
        <v>35</v>
      </c>
      <c r="O283" t="s">
        <v>35</v>
      </c>
      <c r="P283" t="s">
        <v>35</v>
      </c>
      <c r="Q283" t="s">
        <v>35</v>
      </c>
      <c r="R283" t="s">
        <v>35</v>
      </c>
      <c r="S283" t="s">
        <v>35</v>
      </c>
      <c r="T283" t="s">
        <v>35</v>
      </c>
      <c r="U283" t="s">
        <v>35</v>
      </c>
      <c r="V283" t="s">
        <v>35</v>
      </c>
      <c r="W283" t="s">
        <v>35</v>
      </c>
      <c r="X283" t="s">
        <v>35</v>
      </c>
      <c r="Y283" t="s">
        <v>35</v>
      </c>
      <c r="Z283" t="s">
        <v>35</v>
      </c>
      <c r="AA283" t="s">
        <v>35</v>
      </c>
      <c r="AB283" t="s">
        <v>35</v>
      </c>
      <c r="AC283" t="s">
        <v>35</v>
      </c>
      <c r="AD283" t="s">
        <v>35</v>
      </c>
      <c r="AE283" t="s">
        <v>35</v>
      </c>
    </row>
    <row r="284" spans="1:31" x14ac:dyDescent="0.2">
      <c r="A284" t="s">
        <v>161</v>
      </c>
      <c r="B284" t="s">
        <v>32</v>
      </c>
      <c r="C284">
        <v>28</v>
      </c>
      <c r="D284" t="s">
        <v>78</v>
      </c>
      <c r="E284" t="s">
        <v>36</v>
      </c>
      <c r="F284" t="s">
        <v>37</v>
      </c>
      <c r="G284">
        <v>30313</v>
      </c>
      <c r="H284">
        <v>0</v>
      </c>
      <c r="I284">
        <v>0</v>
      </c>
      <c r="J284">
        <v>0</v>
      </c>
      <c r="K284">
        <v>1</v>
      </c>
      <c r="L284" t="s">
        <v>35</v>
      </c>
      <c r="M284" t="s">
        <v>35</v>
      </c>
      <c r="N284" t="s">
        <v>35</v>
      </c>
      <c r="O284" t="s">
        <v>35</v>
      </c>
      <c r="P284" t="s">
        <v>35</v>
      </c>
      <c r="Q284" t="s">
        <v>35</v>
      </c>
      <c r="R284" t="s">
        <v>35</v>
      </c>
      <c r="S284" t="s">
        <v>35</v>
      </c>
      <c r="T284" t="s">
        <v>35</v>
      </c>
      <c r="U284" t="s">
        <v>35</v>
      </c>
      <c r="V284" t="s">
        <v>35</v>
      </c>
      <c r="W284" t="s">
        <v>35</v>
      </c>
      <c r="X284" t="s">
        <v>35</v>
      </c>
      <c r="Y284" t="s">
        <v>35</v>
      </c>
      <c r="Z284" t="s">
        <v>35</v>
      </c>
      <c r="AA284" t="s">
        <v>35</v>
      </c>
      <c r="AB284" t="s">
        <v>35</v>
      </c>
      <c r="AC284" t="s">
        <v>35</v>
      </c>
      <c r="AD284" t="s">
        <v>35</v>
      </c>
      <c r="AE284" t="s">
        <v>35</v>
      </c>
    </row>
    <row r="285" spans="1:31" x14ac:dyDescent="0.2">
      <c r="A285" t="s">
        <v>161</v>
      </c>
      <c r="B285" t="s">
        <v>32</v>
      </c>
      <c r="C285">
        <v>28</v>
      </c>
      <c r="D285" t="s">
        <v>78</v>
      </c>
      <c r="E285" t="s">
        <v>39</v>
      </c>
      <c r="F285" t="s">
        <v>40</v>
      </c>
      <c r="G285">
        <v>24713</v>
      </c>
      <c r="H285">
        <v>1</v>
      </c>
      <c r="I285">
        <v>1</v>
      </c>
      <c r="J285">
        <v>0</v>
      </c>
      <c r="K285">
        <v>0</v>
      </c>
      <c r="L285" t="s">
        <v>42</v>
      </c>
      <c r="M285" t="s">
        <v>43</v>
      </c>
      <c r="N285" t="s">
        <v>82</v>
      </c>
      <c r="O285" t="s">
        <v>45</v>
      </c>
      <c r="P285" t="s">
        <v>46</v>
      </c>
      <c r="Q285" t="s">
        <v>68</v>
      </c>
      <c r="R285">
        <v>1</v>
      </c>
      <c r="S285">
        <v>0</v>
      </c>
      <c r="T285">
        <v>1</v>
      </c>
      <c r="U285">
        <v>0</v>
      </c>
      <c r="V285">
        <v>1</v>
      </c>
      <c r="W285">
        <v>0</v>
      </c>
      <c r="X285">
        <v>1</v>
      </c>
      <c r="Y285">
        <v>0</v>
      </c>
      <c r="Z285">
        <v>0</v>
      </c>
      <c r="AA285">
        <v>1</v>
      </c>
      <c r="AB285">
        <v>0</v>
      </c>
      <c r="AC285">
        <v>1</v>
      </c>
      <c r="AD285">
        <v>0</v>
      </c>
      <c r="AE285">
        <v>0</v>
      </c>
    </row>
    <row r="286" spans="1:31" x14ac:dyDescent="0.2">
      <c r="A286" t="s">
        <v>161</v>
      </c>
      <c r="B286" t="s">
        <v>32</v>
      </c>
      <c r="C286">
        <v>28</v>
      </c>
      <c r="D286" t="s">
        <v>78</v>
      </c>
      <c r="E286" t="s">
        <v>52</v>
      </c>
      <c r="F286" t="s">
        <v>53</v>
      </c>
      <c r="G286">
        <v>23521</v>
      </c>
      <c r="H286">
        <v>0</v>
      </c>
      <c r="I286">
        <v>1</v>
      </c>
      <c r="J286">
        <v>1</v>
      </c>
      <c r="K286">
        <v>0</v>
      </c>
      <c r="L286" t="s">
        <v>35</v>
      </c>
      <c r="M286" t="s">
        <v>35</v>
      </c>
      <c r="N286" t="s">
        <v>35</v>
      </c>
      <c r="O286" t="s">
        <v>35</v>
      </c>
      <c r="P286" t="s">
        <v>35</v>
      </c>
      <c r="Q286" t="s">
        <v>35</v>
      </c>
      <c r="R286" t="s">
        <v>35</v>
      </c>
      <c r="S286">
        <v>0</v>
      </c>
      <c r="T286">
        <v>1</v>
      </c>
      <c r="U286">
        <v>0</v>
      </c>
      <c r="V286">
        <v>1</v>
      </c>
      <c r="W286">
        <v>0</v>
      </c>
      <c r="X286">
        <v>1</v>
      </c>
      <c r="Y286">
        <v>0</v>
      </c>
      <c r="Z286">
        <v>0</v>
      </c>
      <c r="AA286">
        <v>1</v>
      </c>
      <c r="AB286">
        <v>0</v>
      </c>
      <c r="AC286">
        <v>1</v>
      </c>
      <c r="AD286">
        <v>0</v>
      </c>
      <c r="AE286">
        <v>0</v>
      </c>
    </row>
    <row r="287" spans="1:31" x14ac:dyDescent="0.2">
      <c r="A287" t="s">
        <v>161</v>
      </c>
      <c r="B287" t="s">
        <v>32</v>
      </c>
      <c r="C287">
        <v>28</v>
      </c>
      <c r="D287" t="s">
        <v>78</v>
      </c>
      <c r="E287" t="s">
        <v>39</v>
      </c>
      <c r="F287" t="s">
        <v>70</v>
      </c>
      <c r="G287">
        <v>32778</v>
      </c>
      <c r="H287">
        <v>1</v>
      </c>
      <c r="I287">
        <v>0</v>
      </c>
      <c r="J287">
        <v>1</v>
      </c>
      <c r="K287">
        <v>0</v>
      </c>
      <c r="L287" t="s">
        <v>71</v>
      </c>
      <c r="M287" t="s">
        <v>73</v>
      </c>
      <c r="N287" t="s">
        <v>86</v>
      </c>
      <c r="O287" t="s">
        <v>45</v>
      </c>
      <c r="P287" t="s">
        <v>44</v>
      </c>
      <c r="Q287" t="s">
        <v>46</v>
      </c>
      <c r="R287">
        <v>0</v>
      </c>
      <c r="S287">
        <v>1</v>
      </c>
      <c r="T287">
        <v>1</v>
      </c>
      <c r="U287">
        <v>0</v>
      </c>
      <c r="V287">
        <v>1</v>
      </c>
      <c r="W287">
        <v>0</v>
      </c>
      <c r="X287">
        <v>1</v>
      </c>
      <c r="Y287">
        <v>0</v>
      </c>
      <c r="Z287">
        <v>0</v>
      </c>
      <c r="AA287">
        <v>1</v>
      </c>
      <c r="AB287">
        <v>0</v>
      </c>
      <c r="AC287">
        <v>1</v>
      </c>
      <c r="AD287">
        <v>0</v>
      </c>
      <c r="AE287">
        <v>0</v>
      </c>
    </row>
    <row r="288" spans="1:31" x14ac:dyDescent="0.2">
      <c r="A288" t="s">
        <v>161</v>
      </c>
      <c r="B288" t="s">
        <v>32</v>
      </c>
      <c r="C288">
        <v>28</v>
      </c>
      <c r="D288" t="s">
        <v>78</v>
      </c>
      <c r="E288" t="s">
        <v>39</v>
      </c>
      <c r="F288" t="s">
        <v>47</v>
      </c>
      <c r="G288">
        <v>20330</v>
      </c>
      <c r="H288">
        <v>0</v>
      </c>
      <c r="I288">
        <v>0</v>
      </c>
      <c r="J288">
        <v>0</v>
      </c>
      <c r="K288">
        <v>1</v>
      </c>
      <c r="L288" t="s">
        <v>79</v>
      </c>
      <c r="M288" t="s">
        <v>48</v>
      </c>
      <c r="N288" t="s">
        <v>80</v>
      </c>
      <c r="O288" t="s">
        <v>45</v>
      </c>
      <c r="P288" t="s">
        <v>46</v>
      </c>
      <c r="Q288" t="s">
        <v>67</v>
      </c>
      <c r="R288">
        <v>0</v>
      </c>
      <c r="S288">
        <v>0</v>
      </c>
      <c r="T288">
        <v>1</v>
      </c>
      <c r="U288">
        <v>1</v>
      </c>
      <c r="V288">
        <v>1</v>
      </c>
      <c r="W288">
        <v>0</v>
      </c>
      <c r="X288">
        <v>1</v>
      </c>
      <c r="Y288">
        <v>0</v>
      </c>
      <c r="Z288">
        <v>0</v>
      </c>
      <c r="AA288">
        <v>0</v>
      </c>
      <c r="AB288">
        <v>0</v>
      </c>
      <c r="AC288">
        <v>0</v>
      </c>
      <c r="AD288">
        <v>0</v>
      </c>
      <c r="AE288">
        <v>1</v>
      </c>
    </row>
    <row r="289" spans="1:31" x14ac:dyDescent="0.2">
      <c r="A289" t="s">
        <v>161</v>
      </c>
      <c r="B289" t="s">
        <v>32</v>
      </c>
      <c r="C289">
        <v>28</v>
      </c>
      <c r="D289" t="s">
        <v>78</v>
      </c>
      <c r="E289" t="s">
        <v>52</v>
      </c>
      <c r="F289" t="s">
        <v>74</v>
      </c>
      <c r="G289">
        <v>45071</v>
      </c>
      <c r="H289">
        <v>1</v>
      </c>
      <c r="I289">
        <v>0</v>
      </c>
      <c r="J289">
        <v>0</v>
      </c>
      <c r="K289">
        <v>0</v>
      </c>
      <c r="L289" t="s">
        <v>35</v>
      </c>
      <c r="M289" t="s">
        <v>35</v>
      </c>
      <c r="N289" t="s">
        <v>35</v>
      </c>
      <c r="O289" t="s">
        <v>35</v>
      </c>
      <c r="P289" t="s">
        <v>35</v>
      </c>
      <c r="Q289" t="s">
        <v>35</v>
      </c>
      <c r="R289" t="s">
        <v>35</v>
      </c>
      <c r="S289">
        <v>0</v>
      </c>
      <c r="T289">
        <v>1</v>
      </c>
      <c r="U289">
        <v>1</v>
      </c>
      <c r="V289">
        <v>1</v>
      </c>
      <c r="W289">
        <v>0</v>
      </c>
      <c r="X289">
        <v>1</v>
      </c>
      <c r="Y289">
        <v>0</v>
      </c>
      <c r="Z289">
        <v>0</v>
      </c>
      <c r="AA289">
        <v>0</v>
      </c>
      <c r="AB289">
        <v>0</v>
      </c>
      <c r="AC289">
        <v>0</v>
      </c>
      <c r="AD289">
        <v>0</v>
      </c>
      <c r="AE289">
        <v>1</v>
      </c>
    </row>
    <row r="290" spans="1:31" x14ac:dyDescent="0.2">
      <c r="A290" t="s">
        <v>161</v>
      </c>
      <c r="B290" t="s">
        <v>32</v>
      </c>
      <c r="C290">
        <v>28</v>
      </c>
      <c r="D290" t="s">
        <v>78</v>
      </c>
      <c r="E290" t="s">
        <v>39</v>
      </c>
      <c r="F290" t="s">
        <v>63</v>
      </c>
      <c r="G290">
        <v>15332</v>
      </c>
      <c r="H290">
        <v>1</v>
      </c>
      <c r="I290">
        <v>0</v>
      </c>
      <c r="J290">
        <v>0</v>
      </c>
      <c r="K290">
        <v>0</v>
      </c>
      <c r="L290" t="s">
        <v>64</v>
      </c>
      <c r="M290" t="s">
        <v>66</v>
      </c>
      <c r="N290" t="s">
        <v>84</v>
      </c>
      <c r="O290" t="s">
        <v>67</v>
      </c>
      <c r="P290" t="s">
        <v>45</v>
      </c>
      <c r="Q290" t="s">
        <v>46</v>
      </c>
      <c r="R290">
        <v>0</v>
      </c>
      <c r="S290">
        <v>0</v>
      </c>
      <c r="T290">
        <v>1</v>
      </c>
      <c r="U290">
        <v>1</v>
      </c>
      <c r="V290">
        <v>1</v>
      </c>
      <c r="W290">
        <v>0</v>
      </c>
      <c r="X290">
        <v>1</v>
      </c>
      <c r="Y290">
        <v>0</v>
      </c>
      <c r="Z290">
        <v>0</v>
      </c>
      <c r="AA290">
        <v>0</v>
      </c>
      <c r="AB290">
        <v>1</v>
      </c>
      <c r="AC290">
        <v>0</v>
      </c>
      <c r="AD290">
        <v>0</v>
      </c>
      <c r="AE290">
        <v>0</v>
      </c>
    </row>
    <row r="291" spans="1:31" x14ac:dyDescent="0.2">
      <c r="A291" t="s">
        <v>161</v>
      </c>
      <c r="B291" t="s">
        <v>32</v>
      </c>
      <c r="C291">
        <v>28</v>
      </c>
      <c r="D291" t="s">
        <v>78</v>
      </c>
      <c r="E291" t="s">
        <v>52</v>
      </c>
      <c r="F291" t="s">
        <v>58</v>
      </c>
      <c r="G291">
        <v>25315</v>
      </c>
      <c r="H291">
        <v>1</v>
      </c>
      <c r="I291">
        <v>1</v>
      </c>
      <c r="J291">
        <v>0</v>
      </c>
      <c r="K291">
        <v>0</v>
      </c>
      <c r="L291" t="s">
        <v>35</v>
      </c>
      <c r="M291" t="s">
        <v>35</v>
      </c>
      <c r="N291" t="s">
        <v>35</v>
      </c>
      <c r="O291" t="s">
        <v>35</v>
      </c>
      <c r="P291" t="s">
        <v>35</v>
      </c>
      <c r="Q291" t="s">
        <v>35</v>
      </c>
      <c r="R291" t="s">
        <v>35</v>
      </c>
      <c r="S291">
        <v>0</v>
      </c>
      <c r="T291">
        <v>1</v>
      </c>
      <c r="U291">
        <v>1</v>
      </c>
      <c r="V291">
        <v>1</v>
      </c>
      <c r="W291">
        <v>0</v>
      </c>
      <c r="X291">
        <v>1</v>
      </c>
      <c r="Y291">
        <v>0</v>
      </c>
      <c r="Z291">
        <v>0</v>
      </c>
      <c r="AA291">
        <v>0</v>
      </c>
      <c r="AB291">
        <v>1</v>
      </c>
      <c r="AC291">
        <v>0</v>
      </c>
      <c r="AD291">
        <v>0</v>
      </c>
      <c r="AE291">
        <v>0</v>
      </c>
    </row>
    <row r="292" spans="1:31" x14ac:dyDescent="0.2">
      <c r="A292" t="s">
        <v>161</v>
      </c>
      <c r="B292" t="s">
        <v>32</v>
      </c>
      <c r="C292">
        <v>28</v>
      </c>
      <c r="D292" t="s">
        <v>78</v>
      </c>
      <c r="E292" t="s">
        <v>39</v>
      </c>
      <c r="F292" t="s">
        <v>59</v>
      </c>
      <c r="G292">
        <v>8668</v>
      </c>
      <c r="H292">
        <v>1</v>
      </c>
      <c r="I292">
        <v>1</v>
      </c>
      <c r="J292">
        <v>0</v>
      </c>
      <c r="K292">
        <v>0</v>
      </c>
      <c r="L292" t="s">
        <v>60</v>
      </c>
      <c r="M292" t="s">
        <v>99</v>
      </c>
      <c r="N292" t="s">
        <v>83</v>
      </c>
      <c r="O292" t="s">
        <v>44</v>
      </c>
      <c r="P292" t="s">
        <v>67</v>
      </c>
      <c r="Q292" t="s">
        <v>51</v>
      </c>
      <c r="R292">
        <v>0</v>
      </c>
      <c r="S292">
        <v>1</v>
      </c>
      <c r="T292">
        <v>0</v>
      </c>
      <c r="U292">
        <v>1</v>
      </c>
      <c r="V292">
        <v>0</v>
      </c>
      <c r="W292">
        <v>0</v>
      </c>
      <c r="X292">
        <v>1</v>
      </c>
      <c r="Y292">
        <v>0</v>
      </c>
      <c r="Z292">
        <v>1</v>
      </c>
      <c r="AA292">
        <v>0</v>
      </c>
      <c r="AB292">
        <v>1</v>
      </c>
      <c r="AC292">
        <v>0</v>
      </c>
      <c r="AD292">
        <v>0</v>
      </c>
      <c r="AE292">
        <v>0</v>
      </c>
    </row>
    <row r="293" spans="1:31" x14ac:dyDescent="0.2">
      <c r="A293" t="s">
        <v>161</v>
      </c>
      <c r="B293" t="s">
        <v>32</v>
      </c>
      <c r="C293">
        <v>28</v>
      </c>
      <c r="D293" t="s">
        <v>78</v>
      </c>
      <c r="E293" t="s">
        <v>39</v>
      </c>
      <c r="F293" t="s">
        <v>54</v>
      </c>
      <c r="G293">
        <v>17474</v>
      </c>
      <c r="H293">
        <v>1</v>
      </c>
      <c r="I293">
        <v>0</v>
      </c>
      <c r="J293">
        <v>0</v>
      </c>
      <c r="K293">
        <v>0</v>
      </c>
      <c r="L293" t="s">
        <v>89</v>
      </c>
      <c r="M293" t="s">
        <v>88</v>
      </c>
      <c r="N293" t="s">
        <v>56</v>
      </c>
      <c r="O293" t="s">
        <v>67</v>
      </c>
      <c r="P293" t="s">
        <v>51</v>
      </c>
      <c r="Q293" t="s">
        <v>45</v>
      </c>
      <c r="R293">
        <v>0</v>
      </c>
      <c r="S293">
        <v>0</v>
      </c>
      <c r="T293">
        <v>0</v>
      </c>
      <c r="U293">
        <v>1</v>
      </c>
      <c r="V293">
        <v>1</v>
      </c>
      <c r="W293">
        <v>0</v>
      </c>
      <c r="X293">
        <v>1</v>
      </c>
      <c r="Y293">
        <v>0</v>
      </c>
      <c r="Z293">
        <v>0</v>
      </c>
      <c r="AA293">
        <v>0</v>
      </c>
      <c r="AB293">
        <v>1</v>
      </c>
      <c r="AC293">
        <v>0</v>
      </c>
      <c r="AD293">
        <v>0</v>
      </c>
      <c r="AE293">
        <v>0</v>
      </c>
    </row>
    <row r="294" spans="1:31" x14ac:dyDescent="0.2">
      <c r="A294" t="s">
        <v>161</v>
      </c>
      <c r="B294" t="s">
        <v>32</v>
      </c>
      <c r="C294">
        <v>28</v>
      </c>
      <c r="D294" t="s">
        <v>78</v>
      </c>
      <c r="E294" t="s">
        <v>52</v>
      </c>
      <c r="F294" t="s">
        <v>69</v>
      </c>
      <c r="G294">
        <v>43999</v>
      </c>
      <c r="H294">
        <v>0</v>
      </c>
      <c r="I294">
        <v>1</v>
      </c>
      <c r="J294">
        <v>1</v>
      </c>
      <c r="K294">
        <v>0</v>
      </c>
      <c r="L294" t="s">
        <v>35</v>
      </c>
      <c r="M294" t="s">
        <v>35</v>
      </c>
      <c r="N294" t="s">
        <v>35</v>
      </c>
      <c r="O294" t="s">
        <v>35</v>
      </c>
      <c r="P294" t="s">
        <v>35</v>
      </c>
      <c r="Q294" t="s">
        <v>35</v>
      </c>
      <c r="R294" t="s">
        <v>35</v>
      </c>
      <c r="S294">
        <v>0</v>
      </c>
      <c r="T294">
        <v>0</v>
      </c>
      <c r="U294">
        <v>1</v>
      </c>
      <c r="V294">
        <v>1</v>
      </c>
      <c r="W294">
        <v>0</v>
      </c>
      <c r="X294">
        <v>1</v>
      </c>
      <c r="Y294">
        <v>0</v>
      </c>
      <c r="Z294">
        <v>0</v>
      </c>
      <c r="AA294">
        <v>0</v>
      </c>
      <c r="AB294">
        <v>1</v>
      </c>
      <c r="AC294">
        <v>0</v>
      </c>
      <c r="AD294">
        <v>0</v>
      </c>
      <c r="AE294">
        <v>0</v>
      </c>
    </row>
    <row r="295" spans="1:31" x14ac:dyDescent="0.2">
      <c r="A295" t="s">
        <v>161</v>
      </c>
      <c r="B295" t="s">
        <v>32</v>
      </c>
      <c r="C295">
        <v>28</v>
      </c>
      <c r="D295" t="s">
        <v>78</v>
      </c>
      <c r="E295" t="s">
        <v>75</v>
      </c>
      <c r="F295" t="s">
        <v>35</v>
      </c>
      <c r="G295">
        <v>65077</v>
      </c>
      <c r="H295" t="s">
        <v>162</v>
      </c>
      <c r="I295" t="s">
        <v>163</v>
      </c>
      <c r="J295" t="s">
        <v>164</v>
      </c>
      <c r="K295" t="s">
        <v>35</v>
      </c>
      <c r="L295" t="s">
        <v>35</v>
      </c>
      <c r="M295" t="s">
        <v>35</v>
      </c>
      <c r="N295" t="s">
        <v>35</v>
      </c>
      <c r="O295" t="s">
        <v>35</v>
      </c>
      <c r="P295" t="s">
        <v>35</v>
      </c>
      <c r="Q295" t="s">
        <v>35</v>
      </c>
      <c r="R295" t="s">
        <v>35</v>
      </c>
      <c r="S295" t="s">
        <v>35</v>
      </c>
      <c r="T295" t="s">
        <v>35</v>
      </c>
      <c r="U295" t="s">
        <v>35</v>
      </c>
      <c r="V295" t="s">
        <v>35</v>
      </c>
      <c r="W295" t="s">
        <v>35</v>
      </c>
      <c r="X295" t="s">
        <v>35</v>
      </c>
      <c r="Y295" t="s">
        <v>35</v>
      </c>
      <c r="Z295" t="s">
        <v>35</v>
      </c>
      <c r="AA295" t="s">
        <v>35</v>
      </c>
      <c r="AB295" t="s">
        <v>35</v>
      </c>
      <c r="AC295" t="s">
        <v>35</v>
      </c>
      <c r="AD295" t="s">
        <v>35</v>
      </c>
      <c r="AE295" t="s">
        <v>35</v>
      </c>
    </row>
    <row r="296" spans="1:31" x14ac:dyDescent="0.2">
      <c r="A296" t="s">
        <v>165</v>
      </c>
      <c r="B296" t="s">
        <v>102</v>
      </c>
      <c r="C296">
        <v>29</v>
      </c>
      <c r="D296" t="s">
        <v>33</v>
      </c>
      <c r="E296" t="s">
        <v>34</v>
      </c>
      <c r="F296" t="s">
        <v>35</v>
      </c>
      <c r="G296">
        <v>11258</v>
      </c>
      <c r="H296" t="s">
        <v>35</v>
      </c>
      <c r="I296" t="s">
        <v>35</v>
      </c>
      <c r="J296" t="s">
        <v>35</v>
      </c>
      <c r="K296" t="s">
        <v>35</v>
      </c>
      <c r="L296" t="s">
        <v>35</v>
      </c>
      <c r="M296" t="s">
        <v>35</v>
      </c>
      <c r="N296" t="s">
        <v>35</v>
      </c>
      <c r="O296" t="s">
        <v>35</v>
      </c>
      <c r="P296" t="s">
        <v>35</v>
      </c>
      <c r="Q296" t="s">
        <v>35</v>
      </c>
      <c r="R296" t="s">
        <v>35</v>
      </c>
      <c r="S296" t="s">
        <v>35</v>
      </c>
      <c r="T296" t="s">
        <v>35</v>
      </c>
      <c r="U296" t="s">
        <v>35</v>
      </c>
      <c r="V296" t="s">
        <v>35</v>
      </c>
      <c r="W296" t="s">
        <v>35</v>
      </c>
      <c r="X296" t="s">
        <v>35</v>
      </c>
      <c r="Y296" t="s">
        <v>35</v>
      </c>
      <c r="Z296" t="s">
        <v>35</v>
      </c>
      <c r="AA296" t="s">
        <v>35</v>
      </c>
      <c r="AB296" t="s">
        <v>35</v>
      </c>
      <c r="AC296" t="s">
        <v>35</v>
      </c>
      <c r="AD296" t="s">
        <v>35</v>
      </c>
      <c r="AE296" t="s">
        <v>35</v>
      </c>
    </row>
    <row r="297" spans="1:31" x14ac:dyDescent="0.2">
      <c r="A297" t="s">
        <v>165</v>
      </c>
      <c r="B297" t="s">
        <v>102</v>
      </c>
      <c r="C297">
        <v>29</v>
      </c>
      <c r="D297" t="s">
        <v>33</v>
      </c>
      <c r="E297" t="s">
        <v>36</v>
      </c>
      <c r="F297" t="s">
        <v>38</v>
      </c>
      <c r="G297">
        <v>27850</v>
      </c>
      <c r="H297">
        <v>0</v>
      </c>
      <c r="I297">
        <v>0</v>
      </c>
      <c r="J297">
        <v>0</v>
      </c>
      <c r="K297">
        <v>1</v>
      </c>
      <c r="L297" t="s">
        <v>35</v>
      </c>
      <c r="M297" t="s">
        <v>35</v>
      </c>
      <c r="N297" t="s">
        <v>35</v>
      </c>
      <c r="O297" t="s">
        <v>35</v>
      </c>
      <c r="P297" t="s">
        <v>35</v>
      </c>
      <c r="Q297" t="s">
        <v>35</v>
      </c>
      <c r="R297" t="s">
        <v>35</v>
      </c>
      <c r="S297" t="s">
        <v>35</v>
      </c>
      <c r="T297" t="s">
        <v>35</v>
      </c>
      <c r="U297" t="s">
        <v>35</v>
      </c>
      <c r="V297" t="s">
        <v>35</v>
      </c>
      <c r="W297" t="s">
        <v>35</v>
      </c>
      <c r="X297" t="s">
        <v>35</v>
      </c>
      <c r="Y297" t="s">
        <v>35</v>
      </c>
      <c r="Z297" t="s">
        <v>35</v>
      </c>
      <c r="AA297" t="s">
        <v>35</v>
      </c>
      <c r="AB297" t="s">
        <v>35</v>
      </c>
      <c r="AC297" t="s">
        <v>35</v>
      </c>
      <c r="AD297" t="s">
        <v>35</v>
      </c>
      <c r="AE297" t="s">
        <v>35</v>
      </c>
    </row>
    <row r="298" spans="1:31" x14ac:dyDescent="0.2">
      <c r="A298" t="s">
        <v>165</v>
      </c>
      <c r="B298" t="s">
        <v>102</v>
      </c>
      <c r="C298">
        <v>29</v>
      </c>
      <c r="D298" t="s">
        <v>33</v>
      </c>
      <c r="E298" t="s">
        <v>36</v>
      </c>
      <c r="F298" t="s">
        <v>37</v>
      </c>
      <c r="G298">
        <v>18317</v>
      </c>
      <c r="H298">
        <v>0</v>
      </c>
      <c r="I298">
        <v>0</v>
      </c>
      <c r="J298">
        <v>1</v>
      </c>
      <c r="K298">
        <v>0</v>
      </c>
      <c r="L298" t="s">
        <v>35</v>
      </c>
      <c r="M298" t="s">
        <v>35</v>
      </c>
      <c r="N298" t="s">
        <v>35</v>
      </c>
      <c r="O298" t="s">
        <v>35</v>
      </c>
      <c r="P298" t="s">
        <v>35</v>
      </c>
      <c r="Q298" t="s">
        <v>35</v>
      </c>
      <c r="R298" t="s">
        <v>35</v>
      </c>
      <c r="S298" t="s">
        <v>35</v>
      </c>
      <c r="T298" t="s">
        <v>35</v>
      </c>
      <c r="U298" t="s">
        <v>35</v>
      </c>
      <c r="V298" t="s">
        <v>35</v>
      </c>
      <c r="W298" t="s">
        <v>35</v>
      </c>
      <c r="X298" t="s">
        <v>35</v>
      </c>
      <c r="Y298" t="s">
        <v>35</v>
      </c>
      <c r="Z298" t="s">
        <v>35</v>
      </c>
      <c r="AA298" t="s">
        <v>35</v>
      </c>
      <c r="AB298" t="s">
        <v>35</v>
      </c>
      <c r="AC298" t="s">
        <v>35</v>
      </c>
      <c r="AD298" t="s">
        <v>35</v>
      </c>
      <c r="AE298" t="s">
        <v>35</v>
      </c>
    </row>
    <row r="299" spans="1:31" x14ac:dyDescent="0.2">
      <c r="A299" t="s">
        <v>165</v>
      </c>
      <c r="B299" t="s">
        <v>102</v>
      </c>
      <c r="C299">
        <v>29</v>
      </c>
      <c r="D299" t="s">
        <v>33</v>
      </c>
      <c r="E299" t="s">
        <v>39</v>
      </c>
      <c r="F299" t="s">
        <v>54</v>
      </c>
      <c r="G299">
        <v>19928</v>
      </c>
      <c r="H299">
        <v>0</v>
      </c>
      <c r="I299">
        <v>1</v>
      </c>
      <c r="J299">
        <v>1</v>
      </c>
      <c r="K299">
        <v>0</v>
      </c>
      <c r="L299" t="s">
        <v>56</v>
      </c>
      <c r="M299" t="s">
        <v>122</v>
      </c>
      <c r="N299" t="s">
        <v>55</v>
      </c>
      <c r="O299" t="s">
        <v>45</v>
      </c>
      <c r="P299" t="s">
        <v>68</v>
      </c>
      <c r="Q299" t="s">
        <v>44</v>
      </c>
      <c r="R299">
        <v>1</v>
      </c>
      <c r="S299">
        <v>1</v>
      </c>
      <c r="T299">
        <v>0</v>
      </c>
      <c r="U299">
        <v>0</v>
      </c>
      <c r="V299">
        <v>1</v>
      </c>
      <c r="W299">
        <v>0</v>
      </c>
      <c r="X299">
        <v>1</v>
      </c>
      <c r="Y299">
        <v>1</v>
      </c>
      <c r="Z299">
        <v>1</v>
      </c>
      <c r="AA299">
        <v>0</v>
      </c>
      <c r="AB299">
        <v>0</v>
      </c>
      <c r="AC299">
        <v>0</v>
      </c>
      <c r="AD299">
        <v>0</v>
      </c>
      <c r="AE299">
        <v>0</v>
      </c>
    </row>
    <row r="300" spans="1:31" x14ac:dyDescent="0.2">
      <c r="A300" t="s">
        <v>165</v>
      </c>
      <c r="B300" t="s">
        <v>102</v>
      </c>
      <c r="C300">
        <v>29</v>
      </c>
      <c r="D300" t="s">
        <v>33</v>
      </c>
      <c r="E300" t="s">
        <v>39</v>
      </c>
      <c r="F300" t="s">
        <v>63</v>
      </c>
      <c r="G300">
        <v>12777</v>
      </c>
      <c r="H300">
        <v>0</v>
      </c>
      <c r="I300">
        <v>0</v>
      </c>
      <c r="J300">
        <v>1</v>
      </c>
      <c r="K300">
        <v>0</v>
      </c>
      <c r="L300" t="s">
        <v>65</v>
      </c>
      <c r="M300" t="s">
        <v>66</v>
      </c>
      <c r="N300" t="s">
        <v>64</v>
      </c>
      <c r="O300" t="s">
        <v>68</v>
      </c>
      <c r="P300" t="s">
        <v>45</v>
      </c>
      <c r="Q300" t="s">
        <v>67</v>
      </c>
      <c r="R300">
        <v>1</v>
      </c>
      <c r="S300">
        <v>0</v>
      </c>
      <c r="T300">
        <v>0</v>
      </c>
      <c r="U300">
        <v>1</v>
      </c>
      <c r="V300">
        <v>1</v>
      </c>
      <c r="W300">
        <v>0</v>
      </c>
      <c r="X300">
        <v>1</v>
      </c>
      <c r="Y300">
        <v>0</v>
      </c>
      <c r="Z300">
        <v>0</v>
      </c>
      <c r="AA300">
        <v>0</v>
      </c>
      <c r="AB300">
        <v>1</v>
      </c>
      <c r="AC300">
        <v>0</v>
      </c>
      <c r="AD300">
        <v>0</v>
      </c>
      <c r="AE300">
        <v>0</v>
      </c>
    </row>
    <row r="301" spans="1:31" x14ac:dyDescent="0.2">
      <c r="A301" t="s">
        <v>165</v>
      </c>
      <c r="B301" t="s">
        <v>102</v>
      </c>
      <c r="C301">
        <v>29</v>
      </c>
      <c r="D301" t="s">
        <v>33</v>
      </c>
      <c r="E301" t="s">
        <v>52</v>
      </c>
      <c r="F301" t="s">
        <v>74</v>
      </c>
      <c r="G301">
        <v>14393</v>
      </c>
      <c r="H301">
        <v>1</v>
      </c>
      <c r="I301">
        <v>1</v>
      </c>
      <c r="J301">
        <v>0</v>
      </c>
      <c r="K301">
        <v>0</v>
      </c>
      <c r="L301" t="s">
        <v>35</v>
      </c>
      <c r="M301" t="s">
        <v>35</v>
      </c>
      <c r="N301" t="s">
        <v>35</v>
      </c>
      <c r="O301" t="s">
        <v>35</v>
      </c>
      <c r="P301" t="s">
        <v>35</v>
      </c>
      <c r="Q301" t="s">
        <v>35</v>
      </c>
      <c r="R301" t="s">
        <v>35</v>
      </c>
      <c r="S301">
        <v>0</v>
      </c>
      <c r="T301">
        <v>0</v>
      </c>
      <c r="U301">
        <v>1</v>
      </c>
      <c r="V301">
        <v>1</v>
      </c>
      <c r="W301">
        <v>0</v>
      </c>
      <c r="X301">
        <v>1</v>
      </c>
      <c r="Y301">
        <v>0</v>
      </c>
      <c r="Z301">
        <v>0</v>
      </c>
      <c r="AA301">
        <v>0</v>
      </c>
      <c r="AB301">
        <v>1</v>
      </c>
      <c r="AC301">
        <v>0</v>
      </c>
      <c r="AD301">
        <v>0</v>
      </c>
      <c r="AE301">
        <v>0</v>
      </c>
    </row>
    <row r="302" spans="1:31" x14ac:dyDescent="0.2">
      <c r="A302" t="s">
        <v>165</v>
      </c>
      <c r="B302" t="s">
        <v>102</v>
      </c>
      <c r="C302">
        <v>29</v>
      </c>
      <c r="D302" t="s">
        <v>33</v>
      </c>
      <c r="E302" t="s">
        <v>39</v>
      </c>
      <c r="F302" t="s">
        <v>70</v>
      </c>
      <c r="G302">
        <v>8198</v>
      </c>
      <c r="H302">
        <v>0</v>
      </c>
      <c r="I302">
        <v>1</v>
      </c>
      <c r="J302">
        <v>1</v>
      </c>
      <c r="K302">
        <v>0</v>
      </c>
      <c r="L302" t="s">
        <v>86</v>
      </c>
      <c r="M302" t="s">
        <v>72</v>
      </c>
      <c r="N302" t="s">
        <v>73</v>
      </c>
      <c r="O302" t="s">
        <v>46</v>
      </c>
      <c r="P302" t="s">
        <v>67</v>
      </c>
      <c r="Q302" t="s">
        <v>44</v>
      </c>
      <c r="R302">
        <v>0</v>
      </c>
      <c r="S302">
        <v>1</v>
      </c>
      <c r="T302">
        <v>1</v>
      </c>
      <c r="U302">
        <v>1</v>
      </c>
      <c r="V302">
        <v>0</v>
      </c>
      <c r="W302">
        <v>0</v>
      </c>
      <c r="X302">
        <v>1</v>
      </c>
      <c r="Y302">
        <v>0</v>
      </c>
      <c r="Z302">
        <v>1</v>
      </c>
      <c r="AA302">
        <v>0</v>
      </c>
      <c r="AB302">
        <v>1</v>
      </c>
      <c r="AC302">
        <v>0</v>
      </c>
      <c r="AD302">
        <v>0</v>
      </c>
      <c r="AE302">
        <v>0</v>
      </c>
    </row>
    <row r="303" spans="1:31" x14ac:dyDescent="0.2">
      <c r="A303" t="s">
        <v>165</v>
      </c>
      <c r="B303" t="s">
        <v>102</v>
      </c>
      <c r="C303">
        <v>29</v>
      </c>
      <c r="D303" t="s">
        <v>33</v>
      </c>
      <c r="E303" t="s">
        <v>39</v>
      </c>
      <c r="F303" t="s">
        <v>40</v>
      </c>
      <c r="G303">
        <v>8290</v>
      </c>
      <c r="H303">
        <v>0</v>
      </c>
      <c r="I303">
        <v>0</v>
      </c>
      <c r="J303">
        <v>1</v>
      </c>
      <c r="K303">
        <v>0</v>
      </c>
      <c r="L303" t="s">
        <v>43</v>
      </c>
      <c r="M303" t="s">
        <v>82</v>
      </c>
      <c r="N303" t="s">
        <v>41</v>
      </c>
      <c r="O303" t="s">
        <v>46</v>
      </c>
      <c r="P303" t="s">
        <v>68</v>
      </c>
      <c r="Q303" t="s">
        <v>44</v>
      </c>
      <c r="R303">
        <v>1</v>
      </c>
      <c r="S303">
        <v>1</v>
      </c>
      <c r="T303">
        <v>1</v>
      </c>
      <c r="U303">
        <v>0</v>
      </c>
      <c r="V303">
        <v>0</v>
      </c>
      <c r="W303">
        <v>0</v>
      </c>
      <c r="X303">
        <v>1</v>
      </c>
      <c r="Y303">
        <v>0</v>
      </c>
      <c r="Z303">
        <v>1</v>
      </c>
      <c r="AA303">
        <v>0</v>
      </c>
      <c r="AB303">
        <v>0</v>
      </c>
      <c r="AC303">
        <v>0</v>
      </c>
      <c r="AD303">
        <v>0</v>
      </c>
      <c r="AE303">
        <v>0</v>
      </c>
    </row>
    <row r="304" spans="1:31" x14ac:dyDescent="0.2">
      <c r="A304" t="s">
        <v>165</v>
      </c>
      <c r="B304" t="s">
        <v>102</v>
      </c>
      <c r="C304">
        <v>29</v>
      </c>
      <c r="D304" t="s">
        <v>33</v>
      </c>
      <c r="E304" t="s">
        <v>52</v>
      </c>
      <c r="F304" t="s">
        <v>69</v>
      </c>
      <c r="G304">
        <v>22362</v>
      </c>
      <c r="H304">
        <v>0</v>
      </c>
      <c r="I304">
        <v>0</v>
      </c>
      <c r="J304">
        <v>1</v>
      </c>
      <c r="K304">
        <v>0</v>
      </c>
      <c r="L304" t="s">
        <v>35</v>
      </c>
      <c r="M304" t="s">
        <v>35</v>
      </c>
      <c r="N304" t="s">
        <v>35</v>
      </c>
      <c r="O304" t="s">
        <v>35</v>
      </c>
      <c r="P304" t="s">
        <v>35</v>
      </c>
      <c r="Q304" t="s">
        <v>35</v>
      </c>
      <c r="R304" t="s">
        <v>35</v>
      </c>
      <c r="S304">
        <v>1</v>
      </c>
      <c r="T304">
        <v>1</v>
      </c>
      <c r="U304">
        <v>0</v>
      </c>
      <c r="V304">
        <v>0</v>
      </c>
      <c r="W304">
        <v>0</v>
      </c>
      <c r="X304">
        <v>1</v>
      </c>
      <c r="Y304">
        <v>0</v>
      </c>
      <c r="Z304">
        <v>1</v>
      </c>
      <c r="AA304">
        <v>0</v>
      </c>
      <c r="AB304">
        <v>0</v>
      </c>
      <c r="AC304">
        <v>0</v>
      </c>
      <c r="AD304">
        <v>0</v>
      </c>
      <c r="AE304">
        <v>0</v>
      </c>
    </row>
    <row r="305" spans="1:31" x14ac:dyDescent="0.2">
      <c r="A305" t="s">
        <v>165</v>
      </c>
      <c r="B305" t="s">
        <v>102</v>
      </c>
      <c r="C305">
        <v>29</v>
      </c>
      <c r="D305" t="s">
        <v>33</v>
      </c>
      <c r="E305" t="s">
        <v>39</v>
      </c>
      <c r="F305" t="s">
        <v>59</v>
      </c>
      <c r="G305">
        <v>7023</v>
      </c>
      <c r="H305">
        <v>1</v>
      </c>
      <c r="I305">
        <v>1</v>
      </c>
      <c r="J305">
        <v>0</v>
      </c>
      <c r="K305">
        <v>0</v>
      </c>
      <c r="L305" t="s">
        <v>99</v>
      </c>
      <c r="M305" t="s">
        <v>60</v>
      </c>
      <c r="N305" t="s">
        <v>61</v>
      </c>
      <c r="O305" t="s">
        <v>67</v>
      </c>
      <c r="P305" t="s">
        <v>44</v>
      </c>
      <c r="Q305" t="s">
        <v>46</v>
      </c>
      <c r="R305">
        <v>0</v>
      </c>
      <c r="S305">
        <v>1</v>
      </c>
      <c r="T305">
        <v>1</v>
      </c>
      <c r="U305">
        <v>1</v>
      </c>
      <c r="V305">
        <v>0</v>
      </c>
      <c r="W305">
        <v>0</v>
      </c>
      <c r="X305">
        <v>1</v>
      </c>
      <c r="Y305">
        <v>0</v>
      </c>
      <c r="Z305">
        <v>1</v>
      </c>
      <c r="AA305">
        <v>0</v>
      </c>
      <c r="AB305">
        <v>1</v>
      </c>
      <c r="AC305">
        <v>0</v>
      </c>
      <c r="AD305">
        <v>0</v>
      </c>
      <c r="AE305">
        <v>0</v>
      </c>
    </row>
    <row r="306" spans="1:31" x14ac:dyDescent="0.2">
      <c r="A306" t="s">
        <v>165</v>
      </c>
      <c r="B306" t="s">
        <v>102</v>
      </c>
      <c r="C306">
        <v>29</v>
      </c>
      <c r="D306" t="s">
        <v>33</v>
      </c>
      <c r="E306" t="s">
        <v>52</v>
      </c>
      <c r="F306" t="s">
        <v>58</v>
      </c>
      <c r="G306">
        <v>9584</v>
      </c>
      <c r="H306">
        <v>1</v>
      </c>
      <c r="I306">
        <v>0</v>
      </c>
      <c r="J306">
        <v>0</v>
      </c>
      <c r="K306">
        <v>0</v>
      </c>
      <c r="L306" t="s">
        <v>35</v>
      </c>
      <c r="M306" t="s">
        <v>35</v>
      </c>
      <c r="N306" t="s">
        <v>35</v>
      </c>
      <c r="O306" t="s">
        <v>35</v>
      </c>
      <c r="P306" t="s">
        <v>35</v>
      </c>
      <c r="Q306" t="s">
        <v>35</v>
      </c>
      <c r="R306" t="s">
        <v>35</v>
      </c>
      <c r="S306">
        <v>1</v>
      </c>
      <c r="T306">
        <v>1</v>
      </c>
      <c r="U306">
        <v>1</v>
      </c>
      <c r="V306">
        <v>0</v>
      </c>
      <c r="W306">
        <v>0</v>
      </c>
      <c r="X306">
        <v>1</v>
      </c>
      <c r="Y306">
        <v>0</v>
      </c>
      <c r="Z306">
        <v>1</v>
      </c>
      <c r="AA306">
        <v>0</v>
      </c>
      <c r="AB306">
        <v>1</v>
      </c>
      <c r="AC306">
        <v>0</v>
      </c>
      <c r="AD306">
        <v>0</v>
      </c>
      <c r="AE306">
        <v>0</v>
      </c>
    </row>
    <row r="307" spans="1:31" x14ac:dyDescent="0.2">
      <c r="A307" t="s">
        <v>165</v>
      </c>
      <c r="B307" t="s">
        <v>102</v>
      </c>
      <c r="C307">
        <v>29</v>
      </c>
      <c r="D307" t="s">
        <v>33</v>
      </c>
      <c r="E307" t="s">
        <v>39</v>
      </c>
      <c r="F307" t="s">
        <v>47</v>
      </c>
      <c r="G307">
        <v>11158</v>
      </c>
      <c r="H307">
        <v>1</v>
      </c>
      <c r="I307">
        <v>1</v>
      </c>
      <c r="J307">
        <v>0</v>
      </c>
      <c r="K307">
        <v>0</v>
      </c>
      <c r="L307" t="s">
        <v>49</v>
      </c>
      <c r="M307" t="s">
        <v>80</v>
      </c>
      <c r="N307" t="s">
        <v>50</v>
      </c>
      <c r="O307" t="s">
        <v>44</v>
      </c>
      <c r="P307" t="s">
        <v>67</v>
      </c>
      <c r="Q307" t="s">
        <v>51</v>
      </c>
      <c r="R307">
        <v>0</v>
      </c>
      <c r="S307">
        <v>1</v>
      </c>
      <c r="T307">
        <v>0</v>
      </c>
      <c r="U307">
        <v>1</v>
      </c>
      <c r="V307">
        <v>0</v>
      </c>
      <c r="W307">
        <v>0</v>
      </c>
      <c r="X307">
        <v>1</v>
      </c>
      <c r="Y307">
        <v>0</v>
      </c>
      <c r="Z307">
        <v>1</v>
      </c>
      <c r="AA307">
        <v>0</v>
      </c>
      <c r="AB307">
        <v>1</v>
      </c>
      <c r="AC307">
        <v>0</v>
      </c>
      <c r="AD307">
        <v>0</v>
      </c>
      <c r="AE307">
        <v>0</v>
      </c>
    </row>
    <row r="308" spans="1:31" x14ac:dyDescent="0.2">
      <c r="A308" t="s">
        <v>165</v>
      </c>
      <c r="B308" t="s">
        <v>102</v>
      </c>
      <c r="C308">
        <v>29</v>
      </c>
      <c r="D308" t="s">
        <v>33</v>
      </c>
      <c r="E308" t="s">
        <v>52</v>
      </c>
      <c r="F308" t="s">
        <v>53</v>
      </c>
      <c r="G308">
        <v>21406</v>
      </c>
      <c r="H308">
        <v>1</v>
      </c>
      <c r="I308">
        <v>1</v>
      </c>
      <c r="J308">
        <v>0</v>
      </c>
      <c r="K308">
        <v>0</v>
      </c>
      <c r="L308" t="s">
        <v>35</v>
      </c>
      <c r="M308" t="s">
        <v>35</v>
      </c>
      <c r="N308" t="s">
        <v>35</v>
      </c>
      <c r="O308" t="s">
        <v>35</v>
      </c>
      <c r="P308" t="s">
        <v>35</v>
      </c>
      <c r="Q308" t="s">
        <v>35</v>
      </c>
      <c r="R308" t="s">
        <v>35</v>
      </c>
      <c r="S308">
        <v>1</v>
      </c>
      <c r="T308">
        <v>0</v>
      </c>
      <c r="U308">
        <v>1</v>
      </c>
      <c r="V308">
        <v>0</v>
      </c>
      <c r="W308">
        <v>0</v>
      </c>
      <c r="X308">
        <v>1</v>
      </c>
      <c r="Y308">
        <v>0</v>
      </c>
      <c r="Z308">
        <v>1</v>
      </c>
      <c r="AA308">
        <v>0</v>
      </c>
      <c r="AB308">
        <v>1</v>
      </c>
      <c r="AC308">
        <v>0</v>
      </c>
      <c r="AD308">
        <v>0</v>
      </c>
      <c r="AE308">
        <v>0</v>
      </c>
    </row>
    <row r="309" spans="1:31" x14ac:dyDescent="0.2">
      <c r="A309" t="s">
        <v>165</v>
      </c>
      <c r="B309" t="s">
        <v>102</v>
      </c>
      <c r="C309">
        <v>29</v>
      </c>
      <c r="D309" t="s">
        <v>33</v>
      </c>
      <c r="E309" t="s">
        <v>75</v>
      </c>
      <c r="F309" t="s">
        <v>35</v>
      </c>
      <c r="G309">
        <v>32406</v>
      </c>
      <c r="H309" t="s">
        <v>166</v>
      </c>
      <c r="I309" t="s">
        <v>167</v>
      </c>
      <c r="J309" t="s">
        <v>105</v>
      </c>
      <c r="K309" t="s">
        <v>35</v>
      </c>
      <c r="L309" t="s">
        <v>35</v>
      </c>
      <c r="M309" t="s">
        <v>35</v>
      </c>
      <c r="N309" t="s">
        <v>35</v>
      </c>
      <c r="O309" t="s">
        <v>35</v>
      </c>
      <c r="P309" t="s">
        <v>35</v>
      </c>
      <c r="Q309" t="s">
        <v>35</v>
      </c>
      <c r="R309" t="s">
        <v>35</v>
      </c>
      <c r="S309" t="s">
        <v>35</v>
      </c>
      <c r="T309" t="s">
        <v>35</v>
      </c>
      <c r="U309" t="s">
        <v>35</v>
      </c>
      <c r="V309" t="s">
        <v>35</v>
      </c>
      <c r="W309" t="s">
        <v>35</v>
      </c>
      <c r="X309" t="s">
        <v>35</v>
      </c>
      <c r="Y309" t="s">
        <v>35</v>
      </c>
      <c r="Z309" t="s">
        <v>35</v>
      </c>
      <c r="AA309" t="s">
        <v>35</v>
      </c>
      <c r="AB309" t="s">
        <v>35</v>
      </c>
      <c r="AC309" t="s">
        <v>35</v>
      </c>
      <c r="AD309" t="s">
        <v>35</v>
      </c>
      <c r="AE309" t="s">
        <v>35</v>
      </c>
    </row>
    <row r="310" spans="1:31" x14ac:dyDescent="0.2">
      <c r="A310" t="s">
        <v>168</v>
      </c>
      <c r="B310" t="s">
        <v>107</v>
      </c>
      <c r="C310">
        <v>28</v>
      </c>
      <c r="D310" t="s">
        <v>33</v>
      </c>
      <c r="E310" t="s">
        <v>34</v>
      </c>
      <c r="F310" t="s">
        <v>35</v>
      </c>
      <c r="G310">
        <v>46273</v>
      </c>
      <c r="H310" t="s">
        <v>35</v>
      </c>
      <c r="I310" t="s">
        <v>35</v>
      </c>
      <c r="J310" t="s">
        <v>35</v>
      </c>
      <c r="K310" t="s">
        <v>35</v>
      </c>
      <c r="L310" t="s">
        <v>35</v>
      </c>
      <c r="M310" t="s">
        <v>35</v>
      </c>
      <c r="N310" t="s">
        <v>35</v>
      </c>
      <c r="O310" t="s">
        <v>35</v>
      </c>
      <c r="P310" t="s">
        <v>35</v>
      </c>
      <c r="Q310" t="s">
        <v>35</v>
      </c>
      <c r="R310" t="s">
        <v>35</v>
      </c>
      <c r="S310" t="s">
        <v>35</v>
      </c>
      <c r="T310" t="s">
        <v>35</v>
      </c>
      <c r="U310" t="s">
        <v>35</v>
      </c>
      <c r="V310" t="s">
        <v>35</v>
      </c>
      <c r="W310" t="s">
        <v>35</v>
      </c>
      <c r="X310" t="s">
        <v>35</v>
      </c>
      <c r="Y310" t="s">
        <v>35</v>
      </c>
      <c r="Z310" t="s">
        <v>35</v>
      </c>
      <c r="AA310" t="s">
        <v>35</v>
      </c>
      <c r="AB310" t="s">
        <v>35</v>
      </c>
      <c r="AC310" t="s">
        <v>35</v>
      </c>
      <c r="AD310" t="s">
        <v>35</v>
      </c>
      <c r="AE310" t="s">
        <v>35</v>
      </c>
    </row>
    <row r="311" spans="1:31" x14ac:dyDescent="0.2">
      <c r="A311" t="s">
        <v>168</v>
      </c>
      <c r="B311" t="s">
        <v>107</v>
      </c>
      <c r="C311">
        <v>28</v>
      </c>
      <c r="D311" t="s">
        <v>33</v>
      </c>
      <c r="E311" t="s">
        <v>36</v>
      </c>
      <c r="F311" t="s">
        <v>37</v>
      </c>
      <c r="G311">
        <v>13602</v>
      </c>
      <c r="H311">
        <v>1</v>
      </c>
      <c r="I311">
        <v>1</v>
      </c>
      <c r="J311">
        <v>1</v>
      </c>
      <c r="K311">
        <v>1</v>
      </c>
      <c r="L311" t="s">
        <v>35</v>
      </c>
      <c r="M311" t="s">
        <v>35</v>
      </c>
      <c r="N311" t="s">
        <v>35</v>
      </c>
      <c r="O311" t="s">
        <v>35</v>
      </c>
      <c r="P311" t="s">
        <v>35</v>
      </c>
      <c r="Q311" t="s">
        <v>35</v>
      </c>
      <c r="R311" t="s">
        <v>35</v>
      </c>
      <c r="S311" t="s">
        <v>35</v>
      </c>
      <c r="T311" t="s">
        <v>35</v>
      </c>
      <c r="U311" t="s">
        <v>35</v>
      </c>
      <c r="V311" t="s">
        <v>35</v>
      </c>
      <c r="W311" t="s">
        <v>35</v>
      </c>
      <c r="X311" t="s">
        <v>35</v>
      </c>
      <c r="Y311" t="s">
        <v>35</v>
      </c>
      <c r="Z311" t="s">
        <v>35</v>
      </c>
      <c r="AA311" t="s">
        <v>35</v>
      </c>
      <c r="AB311" t="s">
        <v>35</v>
      </c>
      <c r="AC311" t="s">
        <v>35</v>
      </c>
      <c r="AD311" t="s">
        <v>35</v>
      </c>
      <c r="AE311" t="s">
        <v>35</v>
      </c>
    </row>
    <row r="312" spans="1:31" x14ac:dyDescent="0.2">
      <c r="A312" t="s">
        <v>168</v>
      </c>
      <c r="B312" t="s">
        <v>107</v>
      </c>
      <c r="C312">
        <v>28</v>
      </c>
      <c r="D312" t="s">
        <v>33</v>
      </c>
      <c r="E312" t="s">
        <v>36</v>
      </c>
      <c r="F312" t="s">
        <v>38</v>
      </c>
      <c r="G312">
        <v>37076</v>
      </c>
      <c r="H312">
        <v>0</v>
      </c>
      <c r="I312">
        <v>0</v>
      </c>
      <c r="J312">
        <v>0</v>
      </c>
      <c r="K312">
        <v>1</v>
      </c>
      <c r="L312" t="s">
        <v>35</v>
      </c>
      <c r="M312" t="s">
        <v>35</v>
      </c>
      <c r="N312" t="s">
        <v>35</v>
      </c>
      <c r="O312" t="s">
        <v>35</v>
      </c>
      <c r="P312" t="s">
        <v>35</v>
      </c>
      <c r="Q312" t="s">
        <v>35</v>
      </c>
      <c r="R312" t="s">
        <v>35</v>
      </c>
      <c r="S312" t="s">
        <v>35</v>
      </c>
      <c r="T312" t="s">
        <v>35</v>
      </c>
      <c r="U312" t="s">
        <v>35</v>
      </c>
      <c r="V312" t="s">
        <v>35</v>
      </c>
      <c r="W312" t="s">
        <v>35</v>
      </c>
      <c r="X312" t="s">
        <v>35</v>
      </c>
      <c r="Y312" t="s">
        <v>35</v>
      </c>
      <c r="Z312" t="s">
        <v>35</v>
      </c>
      <c r="AA312" t="s">
        <v>35</v>
      </c>
      <c r="AB312" t="s">
        <v>35</v>
      </c>
      <c r="AC312" t="s">
        <v>35</v>
      </c>
      <c r="AD312" t="s">
        <v>35</v>
      </c>
      <c r="AE312" t="s">
        <v>35</v>
      </c>
    </row>
    <row r="313" spans="1:31" x14ac:dyDescent="0.2">
      <c r="A313" t="s">
        <v>168</v>
      </c>
      <c r="B313" t="s">
        <v>107</v>
      </c>
      <c r="C313">
        <v>28</v>
      </c>
      <c r="D313" t="s">
        <v>33</v>
      </c>
      <c r="E313" t="s">
        <v>39</v>
      </c>
      <c r="F313" t="s">
        <v>40</v>
      </c>
      <c r="G313">
        <v>25757</v>
      </c>
      <c r="H313">
        <v>0</v>
      </c>
      <c r="I313">
        <v>0</v>
      </c>
      <c r="J313">
        <v>1</v>
      </c>
      <c r="K313">
        <v>0</v>
      </c>
      <c r="L313" t="s">
        <v>43</v>
      </c>
      <c r="M313" t="s">
        <v>42</v>
      </c>
      <c r="N313" t="s">
        <v>41</v>
      </c>
      <c r="O313" t="s">
        <v>46</v>
      </c>
      <c r="P313" t="s">
        <v>45</v>
      </c>
      <c r="Q313" t="s">
        <v>44</v>
      </c>
      <c r="R313">
        <v>0</v>
      </c>
      <c r="S313">
        <v>1</v>
      </c>
      <c r="T313">
        <v>1</v>
      </c>
      <c r="U313">
        <v>0</v>
      </c>
      <c r="V313">
        <v>1</v>
      </c>
      <c r="W313">
        <v>0</v>
      </c>
      <c r="X313">
        <v>1</v>
      </c>
      <c r="Y313">
        <v>0</v>
      </c>
      <c r="Z313">
        <v>1</v>
      </c>
      <c r="AA313">
        <v>0</v>
      </c>
      <c r="AB313">
        <v>0</v>
      </c>
      <c r="AC313">
        <v>0</v>
      </c>
      <c r="AD313">
        <v>0</v>
      </c>
      <c r="AE313">
        <v>0</v>
      </c>
    </row>
    <row r="314" spans="1:31" x14ac:dyDescent="0.2">
      <c r="A314" t="s">
        <v>168</v>
      </c>
      <c r="B314" t="s">
        <v>107</v>
      </c>
      <c r="C314">
        <v>28</v>
      </c>
      <c r="D314" t="s">
        <v>33</v>
      </c>
      <c r="E314" t="s">
        <v>39</v>
      </c>
      <c r="F314" t="s">
        <v>70</v>
      </c>
      <c r="G314">
        <v>14910</v>
      </c>
      <c r="H314">
        <v>0</v>
      </c>
      <c r="I314">
        <v>0</v>
      </c>
      <c r="J314">
        <v>1</v>
      </c>
      <c r="K314">
        <v>0</v>
      </c>
      <c r="L314" t="s">
        <v>86</v>
      </c>
      <c r="M314" t="s">
        <v>71</v>
      </c>
      <c r="N314" t="s">
        <v>72</v>
      </c>
      <c r="O314" t="s">
        <v>46</v>
      </c>
      <c r="P314" t="s">
        <v>45</v>
      </c>
      <c r="Q314" t="s">
        <v>67</v>
      </c>
      <c r="R314">
        <v>0</v>
      </c>
      <c r="S314">
        <v>0</v>
      </c>
      <c r="T314">
        <v>1</v>
      </c>
      <c r="U314">
        <v>1</v>
      </c>
      <c r="V314">
        <v>1</v>
      </c>
      <c r="W314">
        <v>0</v>
      </c>
      <c r="X314">
        <v>1</v>
      </c>
      <c r="Y314">
        <v>0</v>
      </c>
      <c r="Z314">
        <v>0</v>
      </c>
      <c r="AA314">
        <v>0</v>
      </c>
      <c r="AB314">
        <v>1</v>
      </c>
      <c r="AC314">
        <v>0</v>
      </c>
      <c r="AD314">
        <v>0</v>
      </c>
      <c r="AE314">
        <v>0</v>
      </c>
    </row>
    <row r="315" spans="1:31" x14ac:dyDescent="0.2">
      <c r="A315" t="s">
        <v>168</v>
      </c>
      <c r="B315" t="s">
        <v>107</v>
      </c>
      <c r="C315">
        <v>28</v>
      </c>
      <c r="D315" t="s">
        <v>33</v>
      </c>
      <c r="E315" t="s">
        <v>52</v>
      </c>
      <c r="F315" t="s">
        <v>58</v>
      </c>
      <c r="G315">
        <v>16492</v>
      </c>
      <c r="H315">
        <v>0</v>
      </c>
      <c r="I315">
        <v>0</v>
      </c>
      <c r="J315">
        <v>1</v>
      </c>
      <c r="K315">
        <v>0</v>
      </c>
      <c r="L315" t="s">
        <v>35</v>
      </c>
      <c r="M315" t="s">
        <v>35</v>
      </c>
      <c r="N315" t="s">
        <v>35</v>
      </c>
      <c r="O315" t="s">
        <v>35</v>
      </c>
      <c r="P315" t="s">
        <v>35</v>
      </c>
      <c r="Q315" t="s">
        <v>35</v>
      </c>
      <c r="R315" t="s">
        <v>35</v>
      </c>
      <c r="S315">
        <v>0</v>
      </c>
      <c r="T315">
        <v>1</v>
      </c>
      <c r="U315">
        <v>1</v>
      </c>
      <c r="V315">
        <v>1</v>
      </c>
      <c r="W315">
        <v>0</v>
      </c>
      <c r="X315">
        <v>1</v>
      </c>
      <c r="Y315">
        <v>0</v>
      </c>
      <c r="Z315">
        <v>0</v>
      </c>
      <c r="AA315">
        <v>0</v>
      </c>
      <c r="AB315">
        <v>1</v>
      </c>
      <c r="AC315">
        <v>0</v>
      </c>
      <c r="AD315">
        <v>0</v>
      </c>
      <c r="AE315">
        <v>0</v>
      </c>
    </row>
    <row r="316" spans="1:31" x14ac:dyDescent="0.2">
      <c r="A316" t="s">
        <v>168</v>
      </c>
      <c r="B316" t="s">
        <v>107</v>
      </c>
      <c r="C316">
        <v>28</v>
      </c>
      <c r="D316" t="s">
        <v>33</v>
      </c>
      <c r="E316" t="s">
        <v>39</v>
      </c>
      <c r="F316" t="s">
        <v>59</v>
      </c>
      <c r="G316">
        <v>9188</v>
      </c>
      <c r="H316">
        <v>0</v>
      </c>
      <c r="I316">
        <v>0</v>
      </c>
      <c r="J316">
        <v>1</v>
      </c>
      <c r="K316">
        <v>0</v>
      </c>
      <c r="L316" t="s">
        <v>61</v>
      </c>
      <c r="M316" t="s">
        <v>99</v>
      </c>
      <c r="N316" t="s">
        <v>62</v>
      </c>
      <c r="O316" t="s">
        <v>46</v>
      </c>
      <c r="P316" t="s">
        <v>67</v>
      </c>
      <c r="Q316" t="s">
        <v>45</v>
      </c>
      <c r="R316">
        <v>0</v>
      </c>
      <c r="S316">
        <v>0</v>
      </c>
      <c r="T316">
        <v>1</v>
      </c>
      <c r="U316">
        <v>1</v>
      </c>
      <c r="V316">
        <v>1</v>
      </c>
      <c r="W316">
        <v>0</v>
      </c>
      <c r="X316">
        <v>1</v>
      </c>
      <c r="Y316">
        <v>0</v>
      </c>
      <c r="Z316">
        <v>0</v>
      </c>
      <c r="AA316">
        <v>0</v>
      </c>
      <c r="AB316">
        <v>0</v>
      </c>
      <c r="AC316">
        <v>1</v>
      </c>
      <c r="AD316">
        <v>0</v>
      </c>
      <c r="AE316">
        <v>0</v>
      </c>
    </row>
    <row r="317" spans="1:31" x14ac:dyDescent="0.2">
      <c r="A317" t="s">
        <v>168</v>
      </c>
      <c r="B317" t="s">
        <v>107</v>
      </c>
      <c r="C317">
        <v>28</v>
      </c>
      <c r="D317" t="s">
        <v>33</v>
      </c>
      <c r="E317" t="s">
        <v>39</v>
      </c>
      <c r="F317" t="s">
        <v>47</v>
      </c>
      <c r="G317">
        <v>5846</v>
      </c>
      <c r="H317">
        <v>0</v>
      </c>
      <c r="I317">
        <v>0</v>
      </c>
      <c r="J317">
        <v>1</v>
      </c>
      <c r="K317">
        <v>0</v>
      </c>
      <c r="L317" t="s">
        <v>80</v>
      </c>
      <c r="M317" t="s">
        <v>50</v>
      </c>
      <c r="N317" t="s">
        <v>49</v>
      </c>
      <c r="O317" t="s">
        <v>67</v>
      </c>
      <c r="P317" t="s">
        <v>51</v>
      </c>
      <c r="Q317" t="s">
        <v>44</v>
      </c>
      <c r="R317">
        <v>0</v>
      </c>
      <c r="S317">
        <v>1</v>
      </c>
      <c r="T317">
        <v>0</v>
      </c>
      <c r="U317">
        <v>1</v>
      </c>
      <c r="V317">
        <v>0</v>
      </c>
      <c r="W317">
        <v>0</v>
      </c>
      <c r="X317">
        <v>1</v>
      </c>
      <c r="Y317">
        <v>0</v>
      </c>
      <c r="Z317">
        <v>1</v>
      </c>
      <c r="AA317">
        <v>0</v>
      </c>
      <c r="AB317">
        <v>0</v>
      </c>
      <c r="AC317">
        <v>0</v>
      </c>
      <c r="AD317">
        <v>0</v>
      </c>
      <c r="AE317">
        <v>0</v>
      </c>
    </row>
    <row r="318" spans="1:31" x14ac:dyDescent="0.2">
      <c r="A318" t="s">
        <v>168</v>
      </c>
      <c r="B318" t="s">
        <v>107</v>
      </c>
      <c r="C318">
        <v>28</v>
      </c>
      <c r="D318" t="s">
        <v>33</v>
      </c>
      <c r="E318" t="s">
        <v>52</v>
      </c>
      <c r="F318" t="s">
        <v>53</v>
      </c>
      <c r="G318">
        <v>7287</v>
      </c>
      <c r="H318">
        <v>0</v>
      </c>
      <c r="I318">
        <v>1</v>
      </c>
      <c r="J318">
        <v>0</v>
      </c>
      <c r="K318">
        <v>0</v>
      </c>
      <c r="L318" t="s">
        <v>35</v>
      </c>
      <c r="M318" t="s">
        <v>35</v>
      </c>
      <c r="N318" t="s">
        <v>35</v>
      </c>
      <c r="O318" t="s">
        <v>35</v>
      </c>
      <c r="P318" t="s">
        <v>35</v>
      </c>
      <c r="Q318" t="s">
        <v>35</v>
      </c>
      <c r="R318" t="s">
        <v>35</v>
      </c>
      <c r="S318">
        <v>1</v>
      </c>
      <c r="T318">
        <v>0</v>
      </c>
      <c r="U318">
        <v>1</v>
      </c>
      <c r="V318">
        <v>0</v>
      </c>
      <c r="W318">
        <v>0</v>
      </c>
      <c r="X318">
        <v>1</v>
      </c>
      <c r="Y318">
        <v>0</v>
      </c>
      <c r="Z318">
        <v>1</v>
      </c>
      <c r="AA318">
        <v>0</v>
      </c>
      <c r="AB318">
        <v>0</v>
      </c>
      <c r="AC318">
        <v>0</v>
      </c>
      <c r="AD318">
        <v>0</v>
      </c>
      <c r="AE318">
        <v>0</v>
      </c>
    </row>
    <row r="319" spans="1:31" x14ac:dyDescent="0.2">
      <c r="A319" t="s">
        <v>168</v>
      </c>
      <c r="B319" t="s">
        <v>107</v>
      </c>
      <c r="C319">
        <v>28</v>
      </c>
      <c r="D319" t="s">
        <v>33</v>
      </c>
      <c r="E319" t="s">
        <v>39</v>
      </c>
      <c r="F319" t="s">
        <v>63</v>
      </c>
      <c r="G319">
        <v>11405</v>
      </c>
      <c r="H319">
        <v>0</v>
      </c>
      <c r="I319">
        <v>0</v>
      </c>
      <c r="J319">
        <v>1</v>
      </c>
      <c r="K319">
        <v>0</v>
      </c>
      <c r="L319" t="s">
        <v>64</v>
      </c>
      <c r="M319" t="s">
        <v>66</v>
      </c>
      <c r="N319" t="s">
        <v>84</v>
      </c>
      <c r="O319" t="s">
        <v>67</v>
      </c>
      <c r="P319" t="s">
        <v>45</v>
      </c>
      <c r="Q319" t="s">
        <v>46</v>
      </c>
      <c r="R319">
        <v>0</v>
      </c>
      <c r="S319">
        <v>0</v>
      </c>
      <c r="T319">
        <v>1</v>
      </c>
      <c r="U319">
        <v>1</v>
      </c>
      <c r="V319">
        <v>1</v>
      </c>
      <c r="W319">
        <v>0</v>
      </c>
      <c r="X319">
        <v>1</v>
      </c>
      <c r="Y319">
        <v>0</v>
      </c>
      <c r="Z319">
        <v>0</v>
      </c>
      <c r="AA319">
        <v>1</v>
      </c>
      <c r="AB319">
        <v>0</v>
      </c>
      <c r="AC319">
        <v>0</v>
      </c>
      <c r="AD319">
        <v>0</v>
      </c>
      <c r="AE319">
        <v>0</v>
      </c>
    </row>
    <row r="320" spans="1:31" x14ac:dyDescent="0.2">
      <c r="A320" t="s">
        <v>168</v>
      </c>
      <c r="B320" t="s">
        <v>107</v>
      </c>
      <c r="C320">
        <v>28</v>
      </c>
      <c r="D320" t="s">
        <v>33</v>
      </c>
      <c r="E320" t="s">
        <v>52</v>
      </c>
      <c r="F320" t="s">
        <v>74</v>
      </c>
      <c r="G320">
        <v>8835</v>
      </c>
      <c r="H320">
        <v>0</v>
      </c>
      <c r="I320">
        <v>1</v>
      </c>
      <c r="J320">
        <v>0</v>
      </c>
      <c r="K320">
        <v>0</v>
      </c>
      <c r="L320" t="s">
        <v>35</v>
      </c>
      <c r="M320" t="s">
        <v>35</v>
      </c>
      <c r="N320" t="s">
        <v>35</v>
      </c>
      <c r="O320" t="s">
        <v>35</v>
      </c>
      <c r="P320" t="s">
        <v>35</v>
      </c>
      <c r="Q320" t="s">
        <v>35</v>
      </c>
      <c r="R320" t="s">
        <v>35</v>
      </c>
      <c r="S320">
        <v>0</v>
      </c>
      <c r="T320">
        <v>1</v>
      </c>
      <c r="U320">
        <v>1</v>
      </c>
      <c r="V320">
        <v>1</v>
      </c>
      <c r="W320">
        <v>0</v>
      </c>
      <c r="X320">
        <v>1</v>
      </c>
      <c r="Y320">
        <v>0</v>
      </c>
      <c r="Z320">
        <v>0</v>
      </c>
      <c r="AA320">
        <v>1</v>
      </c>
      <c r="AB320">
        <v>0</v>
      </c>
      <c r="AC320">
        <v>0</v>
      </c>
      <c r="AD320">
        <v>0</v>
      </c>
      <c r="AE320">
        <v>0</v>
      </c>
    </row>
    <row r="321" spans="1:31" x14ac:dyDescent="0.2">
      <c r="A321" t="s">
        <v>168</v>
      </c>
      <c r="B321" t="s">
        <v>107</v>
      </c>
      <c r="C321">
        <v>28</v>
      </c>
      <c r="D321" t="s">
        <v>33</v>
      </c>
      <c r="E321" t="s">
        <v>39</v>
      </c>
      <c r="F321" t="s">
        <v>54</v>
      </c>
      <c r="G321">
        <v>9324</v>
      </c>
      <c r="H321">
        <v>0</v>
      </c>
      <c r="I321">
        <v>0</v>
      </c>
      <c r="J321">
        <v>1</v>
      </c>
      <c r="K321">
        <v>0</v>
      </c>
      <c r="L321" t="s">
        <v>55</v>
      </c>
      <c r="M321" t="s">
        <v>56</v>
      </c>
      <c r="N321" t="s">
        <v>88</v>
      </c>
      <c r="O321" t="s">
        <v>44</v>
      </c>
      <c r="P321" t="s">
        <v>45</v>
      </c>
      <c r="Q321" t="s">
        <v>51</v>
      </c>
      <c r="R321">
        <v>0</v>
      </c>
      <c r="S321">
        <v>1</v>
      </c>
      <c r="T321">
        <v>0</v>
      </c>
      <c r="U321">
        <v>0</v>
      </c>
      <c r="V321">
        <v>1</v>
      </c>
      <c r="W321">
        <v>0</v>
      </c>
      <c r="X321">
        <v>1</v>
      </c>
      <c r="Y321">
        <v>0</v>
      </c>
      <c r="Z321">
        <v>0</v>
      </c>
      <c r="AA321">
        <v>0</v>
      </c>
      <c r="AB321">
        <v>0</v>
      </c>
      <c r="AC321">
        <v>0</v>
      </c>
      <c r="AD321">
        <v>0</v>
      </c>
      <c r="AE321">
        <v>0</v>
      </c>
    </row>
    <row r="322" spans="1:31" x14ac:dyDescent="0.2">
      <c r="A322" t="s">
        <v>168</v>
      </c>
      <c r="B322" t="s">
        <v>107</v>
      </c>
      <c r="C322">
        <v>28</v>
      </c>
      <c r="D322" t="s">
        <v>33</v>
      </c>
      <c r="E322" t="s">
        <v>52</v>
      </c>
      <c r="F322" t="s">
        <v>69</v>
      </c>
      <c r="G322">
        <v>20847</v>
      </c>
      <c r="H322">
        <v>0</v>
      </c>
      <c r="I322">
        <v>0</v>
      </c>
      <c r="J322">
        <v>1</v>
      </c>
      <c r="K322">
        <v>0</v>
      </c>
      <c r="L322" t="s">
        <v>35</v>
      </c>
      <c r="M322" t="s">
        <v>35</v>
      </c>
      <c r="N322" t="s">
        <v>35</v>
      </c>
      <c r="O322" t="s">
        <v>35</v>
      </c>
      <c r="P322" t="s">
        <v>35</v>
      </c>
      <c r="Q322" t="s">
        <v>35</v>
      </c>
      <c r="R322" t="s">
        <v>35</v>
      </c>
      <c r="S322">
        <v>1</v>
      </c>
      <c r="T322">
        <v>0</v>
      </c>
      <c r="U322">
        <v>0</v>
      </c>
      <c r="V322">
        <v>1</v>
      </c>
      <c r="W322">
        <v>0</v>
      </c>
      <c r="X322">
        <v>1</v>
      </c>
      <c r="Y322">
        <v>0</v>
      </c>
      <c r="Z322">
        <v>0</v>
      </c>
      <c r="AA322">
        <v>0</v>
      </c>
      <c r="AB322">
        <v>0</v>
      </c>
      <c r="AC322">
        <v>0</v>
      </c>
      <c r="AD322">
        <v>0</v>
      </c>
      <c r="AE322">
        <v>0</v>
      </c>
    </row>
    <row r="323" spans="1:31" x14ac:dyDescent="0.2">
      <c r="A323" t="s">
        <v>168</v>
      </c>
      <c r="B323" t="s">
        <v>107</v>
      </c>
      <c r="C323">
        <v>28</v>
      </c>
      <c r="D323" t="s">
        <v>33</v>
      </c>
      <c r="E323" t="s">
        <v>75</v>
      </c>
      <c r="F323" t="s">
        <v>35</v>
      </c>
      <c r="G323">
        <v>352710</v>
      </c>
      <c r="H323" t="s">
        <v>169</v>
      </c>
      <c r="I323" t="s">
        <v>116</v>
      </c>
      <c r="J323" t="s">
        <v>170</v>
      </c>
      <c r="K323" t="s">
        <v>35</v>
      </c>
      <c r="L323" t="s">
        <v>35</v>
      </c>
      <c r="M323" t="s">
        <v>35</v>
      </c>
      <c r="N323" t="s">
        <v>35</v>
      </c>
      <c r="O323" t="s">
        <v>35</v>
      </c>
      <c r="P323" t="s">
        <v>35</v>
      </c>
      <c r="Q323" t="s">
        <v>35</v>
      </c>
      <c r="R323" t="s">
        <v>35</v>
      </c>
      <c r="S323" t="s">
        <v>35</v>
      </c>
      <c r="T323" t="s">
        <v>35</v>
      </c>
      <c r="U323" t="s">
        <v>35</v>
      </c>
      <c r="V323" t="s">
        <v>35</v>
      </c>
      <c r="W323" t="s">
        <v>35</v>
      </c>
      <c r="X323" t="s">
        <v>35</v>
      </c>
      <c r="Y323" t="s">
        <v>35</v>
      </c>
      <c r="Z323" t="s">
        <v>35</v>
      </c>
      <c r="AA323" t="s">
        <v>35</v>
      </c>
      <c r="AB323" t="s">
        <v>35</v>
      </c>
      <c r="AC323" t="s">
        <v>35</v>
      </c>
      <c r="AD323" t="s">
        <v>35</v>
      </c>
      <c r="AE323" t="s">
        <v>35</v>
      </c>
    </row>
    <row r="324" spans="1:31" x14ac:dyDescent="0.2">
      <c r="A324" t="s">
        <v>171</v>
      </c>
      <c r="B324" t="s">
        <v>102</v>
      </c>
      <c r="C324">
        <v>29</v>
      </c>
      <c r="D324" t="s">
        <v>78</v>
      </c>
      <c r="E324" t="s">
        <v>34</v>
      </c>
      <c r="F324" t="s">
        <v>35</v>
      </c>
      <c r="G324">
        <v>36654</v>
      </c>
      <c r="H324" t="s">
        <v>35</v>
      </c>
      <c r="I324" t="s">
        <v>35</v>
      </c>
      <c r="J324" t="s">
        <v>35</v>
      </c>
      <c r="K324" t="s">
        <v>35</v>
      </c>
      <c r="L324" t="s">
        <v>35</v>
      </c>
      <c r="M324" t="s">
        <v>35</v>
      </c>
      <c r="N324" t="s">
        <v>35</v>
      </c>
      <c r="O324" t="s">
        <v>35</v>
      </c>
      <c r="P324" t="s">
        <v>35</v>
      </c>
      <c r="Q324" t="s">
        <v>35</v>
      </c>
      <c r="R324" t="s">
        <v>35</v>
      </c>
      <c r="S324" t="s">
        <v>35</v>
      </c>
      <c r="T324" t="s">
        <v>35</v>
      </c>
      <c r="U324" t="s">
        <v>35</v>
      </c>
      <c r="V324" t="s">
        <v>35</v>
      </c>
      <c r="W324" t="s">
        <v>35</v>
      </c>
      <c r="X324" t="s">
        <v>35</v>
      </c>
      <c r="Y324" t="s">
        <v>35</v>
      </c>
      <c r="Z324" t="s">
        <v>35</v>
      </c>
      <c r="AA324" t="s">
        <v>35</v>
      </c>
      <c r="AB324" t="s">
        <v>35</v>
      </c>
      <c r="AC324" t="s">
        <v>35</v>
      </c>
      <c r="AD324" t="s">
        <v>35</v>
      </c>
      <c r="AE324" t="s">
        <v>35</v>
      </c>
    </row>
    <row r="325" spans="1:31" x14ac:dyDescent="0.2">
      <c r="A325" t="s">
        <v>171</v>
      </c>
      <c r="B325" t="s">
        <v>102</v>
      </c>
      <c r="C325">
        <v>29</v>
      </c>
      <c r="D325" t="s">
        <v>78</v>
      </c>
      <c r="E325" t="s">
        <v>36</v>
      </c>
      <c r="F325" t="s">
        <v>38</v>
      </c>
      <c r="G325">
        <v>32685</v>
      </c>
      <c r="H325">
        <v>0</v>
      </c>
      <c r="I325">
        <v>0</v>
      </c>
      <c r="J325">
        <v>0</v>
      </c>
      <c r="K325">
        <v>1</v>
      </c>
      <c r="L325" t="s">
        <v>35</v>
      </c>
      <c r="M325" t="s">
        <v>35</v>
      </c>
      <c r="N325" t="s">
        <v>35</v>
      </c>
      <c r="O325" t="s">
        <v>35</v>
      </c>
      <c r="P325" t="s">
        <v>35</v>
      </c>
      <c r="Q325" t="s">
        <v>35</v>
      </c>
      <c r="R325" t="s">
        <v>35</v>
      </c>
      <c r="S325" t="s">
        <v>35</v>
      </c>
      <c r="T325" t="s">
        <v>35</v>
      </c>
      <c r="U325" t="s">
        <v>35</v>
      </c>
      <c r="V325" t="s">
        <v>35</v>
      </c>
      <c r="W325" t="s">
        <v>35</v>
      </c>
      <c r="X325" t="s">
        <v>35</v>
      </c>
      <c r="Y325" t="s">
        <v>35</v>
      </c>
      <c r="Z325" t="s">
        <v>35</v>
      </c>
      <c r="AA325" t="s">
        <v>35</v>
      </c>
      <c r="AB325" t="s">
        <v>35</v>
      </c>
      <c r="AC325" t="s">
        <v>35</v>
      </c>
      <c r="AD325" t="s">
        <v>35</v>
      </c>
      <c r="AE325" t="s">
        <v>35</v>
      </c>
    </row>
    <row r="326" spans="1:31" x14ac:dyDescent="0.2">
      <c r="A326" t="s">
        <v>171</v>
      </c>
      <c r="B326" t="s">
        <v>102</v>
      </c>
      <c r="C326">
        <v>29</v>
      </c>
      <c r="D326" t="s">
        <v>78</v>
      </c>
      <c r="E326" t="s">
        <v>36</v>
      </c>
      <c r="F326" t="s">
        <v>37</v>
      </c>
      <c r="G326">
        <v>39910</v>
      </c>
      <c r="H326">
        <v>0</v>
      </c>
      <c r="I326">
        <v>0</v>
      </c>
      <c r="J326">
        <v>1</v>
      </c>
      <c r="K326">
        <v>0</v>
      </c>
      <c r="L326" t="s">
        <v>35</v>
      </c>
      <c r="M326" t="s">
        <v>35</v>
      </c>
      <c r="N326" t="s">
        <v>35</v>
      </c>
      <c r="O326" t="s">
        <v>35</v>
      </c>
      <c r="P326" t="s">
        <v>35</v>
      </c>
      <c r="Q326" t="s">
        <v>35</v>
      </c>
      <c r="R326" t="s">
        <v>35</v>
      </c>
      <c r="S326" t="s">
        <v>35</v>
      </c>
      <c r="T326" t="s">
        <v>35</v>
      </c>
      <c r="U326" t="s">
        <v>35</v>
      </c>
      <c r="V326" t="s">
        <v>35</v>
      </c>
      <c r="W326" t="s">
        <v>35</v>
      </c>
      <c r="X326" t="s">
        <v>35</v>
      </c>
      <c r="Y326" t="s">
        <v>35</v>
      </c>
      <c r="Z326" t="s">
        <v>35</v>
      </c>
      <c r="AA326" t="s">
        <v>35</v>
      </c>
      <c r="AB326" t="s">
        <v>35</v>
      </c>
      <c r="AC326" t="s">
        <v>35</v>
      </c>
      <c r="AD326" t="s">
        <v>35</v>
      </c>
      <c r="AE326" t="s">
        <v>35</v>
      </c>
    </row>
    <row r="327" spans="1:31" x14ac:dyDescent="0.2">
      <c r="A327" t="s">
        <v>171</v>
      </c>
      <c r="B327" t="s">
        <v>102</v>
      </c>
      <c r="C327">
        <v>29</v>
      </c>
      <c r="D327" t="s">
        <v>78</v>
      </c>
      <c r="E327" t="s">
        <v>39</v>
      </c>
      <c r="F327" t="s">
        <v>63</v>
      </c>
      <c r="G327">
        <v>87776</v>
      </c>
      <c r="H327">
        <v>0</v>
      </c>
      <c r="I327">
        <v>0</v>
      </c>
      <c r="J327">
        <v>0</v>
      </c>
      <c r="K327">
        <v>1</v>
      </c>
      <c r="L327" t="s">
        <v>90</v>
      </c>
      <c r="M327" t="s">
        <v>66</v>
      </c>
      <c r="N327" t="s">
        <v>84</v>
      </c>
      <c r="O327" t="s">
        <v>44</v>
      </c>
      <c r="P327" t="s">
        <v>45</v>
      </c>
      <c r="Q327" t="s">
        <v>46</v>
      </c>
      <c r="R327">
        <v>0</v>
      </c>
      <c r="S327">
        <v>1</v>
      </c>
      <c r="T327">
        <v>1</v>
      </c>
      <c r="U327">
        <v>0</v>
      </c>
      <c r="V327">
        <v>1</v>
      </c>
      <c r="W327">
        <v>0</v>
      </c>
      <c r="X327">
        <v>1</v>
      </c>
      <c r="Y327">
        <v>0</v>
      </c>
      <c r="Z327">
        <v>0</v>
      </c>
      <c r="AA327">
        <v>0</v>
      </c>
      <c r="AB327">
        <v>0</v>
      </c>
      <c r="AC327">
        <v>0</v>
      </c>
      <c r="AD327">
        <v>0</v>
      </c>
      <c r="AE327">
        <v>1</v>
      </c>
    </row>
    <row r="328" spans="1:31" x14ac:dyDescent="0.2">
      <c r="A328" t="s">
        <v>171</v>
      </c>
      <c r="B328" t="s">
        <v>102</v>
      </c>
      <c r="C328">
        <v>29</v>
      </c>
      <c r="D328" t="s">
        <v>78</v>
      </c>
      <c r="E328" t="s">
        <v>39</v>
      </c>
      <c r="F328" t="s">
        <v>70</v>
      </c>
      <c r="G328">
        <v>27414</v>
      </c>
      <c r="H328">
        <v>0</v>
      </c>
      <c r="I328">
        <v>0</v>
      </c>
      <c r="J328">
        <v>0</v>
      </c>
      <c r="K328">
        <v>1</v>
      </c>
      <c r="L328" t="s">
        <v>92</v>
      </c>
      <c r="M328" t="s">
        <v>72</v>
      </c>
      <c r="N328" t="s">
        <v>86</v>
      </c>
      <c r="O328" t="s">
        <v>51</v>
      </c>
      <c r="P328" t="s">
        <v>67</v>
      </c>
      <c r="Q328" t="s">
        <v>46</v>
      </c>
      <c r="R328">
        <v>0</v>
      </c>
      <c r="S328">
        <v>0</v>
      </c>
      <c r="T328">
        <v>1</v>
      </c>
      <c r="U328">
        <v>1</v>
      </c>
      <c r="V328">
        <v>0</v>
      </c>
      <c r="W328">
        <v>0</v>
      </c>
      <c r="X328">
        <v>1</v>
      </c>
      <c r="Y328">
        <v>0</v>
      </c>
      <c r="Z328">
        <v>0</v>
      </c>
      <c r="AA328">
        <v>0</v>
      </c>
      <c r="AB328">
        <v>0</v>
      </c>
      <c r="AC328">
        <v>0</v>
      </c>
      <c r="AD328">
        <v>0</v>
      </c>
      <c r="AE328">
        <v>1</v>
      </c>
    </row>
    <row r="329" spans="1:31" x14ac:dyDescent="0.2">
      <c r="A329" t="s">
        <v>171</v>
      </c>
      <c r="B329" t="s">
        <v>102</v>
      </c>
      <c r="C329">
        <v>29</v>
      </c>
      <c r="D329" t="s">
        <v>78</v>
      </c>
      <c r="E329" t="s">
        <v>52</v>
      </c>
      <c r="F329" t="s">
        <v>74</v>
      </c>
      <c r="G329">
        <v>29968</v>
      </c>
      <c r="H329">
        <v>1</v>
      </c>
      <c r="I329">
        <v>0</v>
      </c>
      <c r="J329">
        <v>0</v>
      </c>
      <c r="K329">
        <v>0</v>
      </c>
      <c r="L329" t="s">
        <v>35</v>
      </c>
      <c r="M329" t="s">
        <v>35</v>
      </c>
      <c r="N329" t="s">
        <v>35</v>
      </c>
      <c r="O329" t="s">
        <v>35</v>
      </c>
      <c r="P329" t="s">
        <v>35</v>
      </c>
      <c r="Q329" t="s">
        <v>35</v>
      </c>
      <c r="R329" t="s">
        <v>35</v>
      </c>
      <c r="S329">
        <v>0</v>
      </c>
      <c r="T329">
        <v>1</v>
      </c>
      <c r="U329">
        <v>1</v>
      </c>
      <c r="V329">
        <v>0</v>
      </c>
      <c r="W329">
        <v>0</v>
      </c>
      <c r="X329">
        <v>1</v>
      </c>
      <c r="Y329">
        <v>0</v>
      </c>
      <c r="Z329">
        <v>0</v>
      </c>
      <c r="AA329">
        <v>0</v>
      </c>
      <c r="AB329">
        <v>0</v>
      </c>
      <c r="AC329">
        <v>0</v>
      </c>
      <c r="AD329">
        <v>0</v>
      </c>
      <c r="AE329">
        <v>1</v>
      </c>
    </row>
    <row r="330" spans="1:31" x14ac:dyDescent="0.2">
      <c r="A330" t="s">
        <v>171</v>
      </c>
      <c r="B330" t="s">
        <v>102</v>
      </c>
      <c r="C330">
        <v>29</v>
      </c>
      <c r="D330" t="s">
        <v>78</v>
      </c>
      <c r="E330" t="s">
        <v>39</v>
      </c>
      <c r="F330" t="s">
        <v>40</v>
      </c>
      <c r="G330">
        <v>23618</v>
      </c>
      <c r="H330">
        <v>0</v>
      </c>
      <c r="I330">
        <v>0</v>
      </c>
      <c r="J330">
        <v>0</v>
      </c>
      <c r="K330">
        <v>1</v>
      </c>
      <c r="L330" t="s">
        <v>42</v>
      </c>
      <c r="M330" t="s">
        <v>41</v>
      </c>
      <c r="N330" t="s">
        <v>91</v>
      </c>
      <c r="O330" t="s">
        <v>45</v>
      </c>
      <c r="P330" t="s">
        <v>44</v>
      </c>
      <c r="Q330" t="s">
        <v>51</v>
      </c>
      <c r="R330">
        <v>0</v>
      </c>
      <c r="S330">
        <v>1</v>
      </c>
      <c r="T330">
        <v>0</v>
      </c>
      <c r="U330">
        <v>0</v>
      </c>
      <c r="V330">
        <v>1</v>
      </c>
      <c r="W330">
        <v>0</v>
      </c>
      <c r="X330">
        <v>1</v>
      </c>
      <c r="Y330">
        <v>0</v>
      </c>
      <c r="Z330">
        <v>0</v>
      </c>
      <c r="AA330">
        <v>0</v>
      </c>
      <c r="AB330">
        <v>0</v>
      </c>
      <c r="AC330">
        <v>0</v>
      </c>
      <c r="AD330">
        <v>0</v>
      </c>
      <c r="AE330">
        <v>1</v>
      </c>
    </row>
    <row r="331" spans="1:31" x14ac:dyDescent="0.2">
      <c r="A331" t="s">
        <v>171</v>
      </c>
      <c r="B331" t="s">
        <v>102</v>
      </c>
      <c r="C331">
        <v>29</v>
      </c>
      <c r="D331" t="s">
        <v>78</v>
      </c>
      <c r="E331" t="s">
        <v>39</v>
      </c>
      <c r="F331" t="s">
        <v>47</v>
      </c>
      <c r="G331">
        <v>20342</v>
      </c>
      <c r="H331">
        <v>0</v>
      </c>
      <c r="I331">
        <v>0</v>
      </c>
      <c r="J331">
        <v>0</v>
      </c>
      <c r="K331">
        <v>1</v>
      </c>
      <c r="L331" t="s">
        <v>49</v>
      </c>
      <c r="M331" t="s">
        <v>79</v>
      </c>
      <c r="N331" t="s">
        <v>80</v>
      </c>
      <c r="O331" t="s">
        <v>44</v>
      </c>
      <c r="P331" t="s">
        <v>45</v>
      </c>
      <c r="Q331" t="s">
        <v>67</v>
      </c>
      <c r="R331">
        <v>0</v>
      </c>
      <c r="S331">
        <v>1</v>
      </c>
      <c r="T331">
        <v>0</v>
      </c>
      <c r="U331">
        <v>1</v>
      </c>
      <c r="V331">
        <v>1</v>
      </c>
      <c r="W331">
        <v>0</v>
      </c>
      <c r="X331">
        <v>1</v>
      </c>
      <c r="Y331">
        <v>0</v>
      </c>
      <c r="Z331">
        <v>0</v>
      </c>
      <c r="AA331">
        <v>0</v>
      </c>
      <c r="AB331">
        <v>0</v>
      </c>
      <c r="AC331">
        <v>0</v>
      </c>
      <c r="AD331">
        <v>0</v>
      </c>
      <c r="AE331">
        <v>1</v>
      </c>
    </row>
    <row r="332" spans="1:31" x14ac:dyDescent="0.2">
      <c r="A332" t="s">
        <v>171</v>
      </c>
      <c r="B332" t="s">
        <v>102</v>
      </c>
      <c r="C332">
        <v>29</v>
      </c>
      <c r="D332" t="s">
        <v>78</v>
      </c>
      <c r="E332" t="s">
        <v>52</v>
      </c>
      <c r="F332" t="s">
        <v>53</v>
      </c>
      <c r="G332">
        <v>64264</v>
      </c>
      <c r="H332">
        <v>0</v>
      </c>
      <c r="I332">
        <v>1</v>
      </c>
      <c r="J332">
        <v>0</v>
      </c>
      <c r="K332">
        <v>0</v>
      </c>
      <c r="L332" t="s">
        <v>35</v>
      </c>
      <c r="M332" t="s">
        <v>35</v>
      </c>
      <c r="N332" t="s">
        <v>35</v>
      </c>
      <c r="O332" t="s">
        <v>35</v>
      </c>
      <c r="P332" t="s">
        <v>35</v>
      </c>
      <c r="Q332" t="s">
        <v>35</v>
      </c>
      <c r="R332" t="s">
        <v>35</v>
      </c>
      <c r="S332">
        <v>1</v>
      </c>
      <c r="T332">
        <v>0</v>
      </c>
      <c r="U332">
        <v>1</v>
      </c>
      <c r="V332">
        <v>1</v>
      </c>
      <c r="W332">
        <v>0</v>
      </c>
      <c r="X332">
        <v>1</v>
      </c>
      <c r="Y332">
        <v>0</v>
      </c>
      <c r="Z332">
        <v>0</v>
      </c>
      <c r="AA332">
        <v>0</v>
      </c>
      <c r="AB332">
        <v>0</v>
      </c>
      <c r="AC332">
        <v>0</v>
      </c>
      <c r="AD332">
        <v>0</v>
      </c>
      <c r="AE332">
        <v>1</v>
      </c>
    </row>
    <row r="333" spans="1:31" x14ac:dyDescent="0.2">
      <c r="A333" t="s">
        <v>171</v>
      </c>
      <c r="B333" t="s">
        <v>102</v>
      </c>
      <c r="C333">
        <v>29</v>
      </c>
      <c r="D333" t="s">
        <v>78</v>
      </c>
      <c r="E333" t="s">
        <v>39</v>
      </c>
      <c r="F333" t="s">
        <v>59</v>
      </c>
      <c r="G333">
        <v>19310</v>
      </c>
      <c r="H333">
        <v>0</v>
      </c>
      <c r="I333">
        <v>0</v>
      </c>
      <c r="J333">
        <v>0</v>
      </c>
      <c r="K333">
        <v>1</v>
      </c>
      <c r="L333" t="s">
        <v>83</v>
      </c>
      <c r="M333" t="s">
        <v>60</v>
      </c>
      <c r="N333" t="s">
        <v>62</v>
      </c>
      <c r="O333" t="s">
        <v>51</v>
      </c>
      <c r="P333" t="s">
        <v>44</v>
      </c>
      <c r="Q333" t="s">
        <v>45</v>
      </c>
      <c r="R333">
        <v>0</v>
      </c>
      <c r="S333">
        <v>1</v>
      </c>
      <c r="T333">
        <v>0</v>
      </c>
      <c r="U333">
        <v>0</v>
      </c>
      <c r="V333">
        <v>1</v>
      </c>
      <c r="W333">
        <v>0</v>
      </c>
      <c r="X333">
        <v>1</v>
      </c>
      <c r="Y333">
        <v>0</v>
      </c>
      <c r="Z333">
        <v>0</v>
      </c>
      <c r="AA333">
        <v>0</v>
      </c>
      <c r="AB333">
        <v>0</v>
      </c>
      <c r="AC333">
        <v>0</v>
      </c>
      <c r="AD333">
        <v>0</v>
      </c>
      <c r="AE333">
        <v>1</v>
      </c>
    </row>
    <row r="334" spans="1:31" x14ac:dyDescent="0.2">
      <c r="A334" t="s">
        <v>171</v>
      </c>
      <c r="B334" t="s">
        <v>102</v>
      </c>
      <c r="C334">
        <v>29</v>
      </c>
      <c r="D334" t="s">
        <v>78</v>
      </c>
      <c r="E334" t="s">
        <v>52</v>
      </c>
      <c r="F334" t="s">
        <v>69</v>
      </c>
      <c r="G334">
        <v>43648</v>
      </c>
      <c r="H334">
        <v>0</v>
      </c>
      <c r="I334">
        <v>1</v>
      </c>
      <c r="J334">
        <v>1</v>
      </c>
      <c r="K334">
        <v>0</v>
      </c>
      <c r="L334" t="s">
        <v>35</v>
      </c>
      <c r="M334" t="s">
        <v>35</v>
      </c>
      <c r="N334" t="s">
        <v>35</v>
      </c>
      <c r="O334" t="s">
        <v>35</v>
      </c>
      <c r="P334" t="s">
        <v>35</v>
      </c>
      <c r="Q334" t="s">
        <v>35</v>
      </c>
      <c r="R334" t="s">
        <v>35</v>
      </c>
      <c r="S334">
        <v>1</v>
      </c>
      <c r="T334">
        <v>0</v>
      </c>
      <c r="U334">
        <v>0</v>
      </c>
      <c r="V334">
        <v>1</v>
      </c>
      <c r="W334">
        <v>0</v>
      </c>
      <c r="X334">
        <v>1</v>
      </c>
      <c r="Y334">
        <v>0</v>
      </c>
      <c r="Z334">
        <v>0</v>
      </c>
      <c r="AA334">
        <v>0</v>
      </c>
      <c r="AB334">
        <v>0</v>
      </c>
      <c r="AC334">
        <v>0</v>
      </c>
      <c r="AD334">
        <v>0</v>
      </c>
      <c r="AE334">
        <v>1</v>
      </c>
    </row>
    <row r="335" spans="1:31" x14ac:dyDescent="0.2">
      <c r="A335" t="s">
        <v>171</v>
      </c>
      <c r="B335" t="s">
        <v>102</v>
      </c>
      <c r="C335">
        <v>29</v>
      </c>
      <c r="D335" t="s">
        <v>78</v>
      </c>
      <c r="E335" t="s">
        <v>39</v>
      </c>
      <c r="F335" t="s">
        <v>54</v>
      </c>
      <c r="G335">
        <v>20613</v>
      </c>
      <c r="H335">
        <v>0</v>
      </c>
      <c r="I335">
        <v>0</v>
      </c>
      <c r="J335">
        <v>0</v>
      </c>
      <c r="K335">
        <v>1</v>
      </c>
      <c r="L335" t="s">
        <v>89</v>
      </c>
      <c r="M335" t="s">
        <v>55</v>
      </c>
      <c r="N335" t="s">
        <v>57</v>
      </c>
      <c r="O335" t="s">
        <v>67</v>
      </c>
      <c r="P335" t="s">
        <v>44</v>
      </c>
      <c r="Q335" t="s">
        <v>46</v>
      </c>
      <c r="R335">
        <v>0</v>
      </c>
      <c r="S335">
        <v>1</v>
      </c>
      <c r="T335">
        <v>1</v>
      </c>
      <c r="U335">
        <v>1</v>
      </c>
      <c r="V335">
        <v>0</v>
      </c>
      <c r="W335">
        <v>0</v>
      </c>
      <c r="X335">
        <v>1</v>
      </c>
      <c r="Y335">
        <v>0</v>
      </c>
      <c r="Z335">
        <v>0</v>
      </c>
      <c r="AA335">
        <v>0</v>
      </c>
      <c r="AB335">
        <v>0</v>
      </c>
      <c r="AC335">
        <v>0</v>
      </c>
      <c r="AD335">
        <v>0</v>
      </c>
      <c r="AE335">
        <v>1</v>
      </c>
    </row>
    <row r="336" spans="1:31" x14ac:dyDescent="0.2">
      <c r="A336" t="s">
        <v>171</v>
      </c>
      <c r="B336" t="s">
        <v>102</v>
      </c>
      <c r="C336">
        <v>29</v>
      </c>
      <c r="D336" t="s">
        <v>78</v>
      </c>
      <c r="E336" t="s">
        <v>52</v>
      </c>
      <c r="F336" t="s">
        <v>58</v>
      </c>
      <c r="G336">
        <v>31629</v>
      </c>
      <c r="H336">
        <v>1</v>
      </c>
      <c r="I336">
        <v>0</v>
      </c>
      <c r="J336">
        <v>0</v>
      </c>
      <c r="K336">
        <v>0</v>
      </c>
      <c r="L336" t="s">
        <v>35</v>
      </c>
      <c r="M336" t="s">
        <v>35</v>
      </c>
      <c r="N336" t="s">
        <v>35</v>
      </c>
      <c r="O336" t="s">
        <v>35</v>
      </c>
      <c r="P336" t="s">
        <v>35</v>
      </c>
      <c r="Q336" t="s">
        <v>35</v>
      </c>
      <c r="R336" t="s">
        <v>35</v>
      </c>
      <c r="S336">
        <v>1</v>
      </c>
      <c r="T336">
        <v>1</v>
      </c>
      <c r="U336">
        <v>1</v>
      </c>
      <c r="V336">
        <v>0</v>
      </c>
      <c r="W336">
        <v>0</v>
      </c>
      <c r="X336">
        <v>1</v>
      </c>
      <c r="Y336">
        <v>0</v>
      </c>
      <c r="Z336">
        <v>0</v>
      </c>
      <c r="AA336">
        <v>0</v>
      </c>
      <c r="AB336">
        <v>0</v>
      </c>
      <c r="AC336">
        <v>0</v>
      </c>
      <c r="AD336">
        <v>0</v>
      </c>
      <c r="AE336">
        <v>1</v>
      </c>
    </row>
    <row r="337" spans="1:31" x14ac:dyDescent="0.2">
      <c r="A337" t="s">
        <v>171</v>
      </c>
      <c r="B337" t="s">
        <v>102</v>
      </c>
      <c r="C337">
        <v>29</v>
      </c>
      <c r="D337" t="s">
        <v>78</v>
      </c>
      <c r="E337" t="s">
        <v>75</v>
      </c>
      <c r="F337" t="s">
        <v>35</v>
      </c>
      <c r="G337">
        <v>130580</v>
      </c>
      <c r="H337" t="s">
        <v>172</v>
      </c>
      <c r="I337" t="s">
        <v>173</v>
      </c>
      <c r="J337" t="s">
        <v>105</v>
      </c>
      <c r="K337" t="s">
        <v>35</v>
      </c>
      <c r="L337" t="s">
        <v>35</v>
      </c>
      <c r="M337" t="s">
        <v>35</v>
      </c>
      <c r="N337" t="s">
        <v>35</v>
      </c>
      <c r="O337" t="s">
        <v>35</v>
      </c>
      <c r="P337" t="s">
        <v>35</v>
      </c>
      <c r="Q337" t="s">
        <v>35</v>
      </c>
      <c r="R337" t="s">
        <v>35</v>
      </c>
      <c r="S337" t="s">
        <v>35</v>
      </c>
      <c r="T337" t="s">
        <v>35</v>
      </c>
      <c r="U337" t="s">
        <v>35</v>
      </c>
      <c r="V337" t="s">
        <v>35</v>
      </c>
      <c r="W337" t="s">
        <v>35</v>
      </c>
      <c r="X337" t="s">
        <v>35</v>
      </c>
      <c r="Y337" t="s">
        <v>35</v>
      </c>
      <c r="Z337" t="s">
        <v>35</v>
      </c>
      <c r="AA337" t="s">
        <v>35</v>
      </c>
      <c r="AB337" t="s">
        <v>35</v>
      </c>
      <c r="AC337" t="s">
        <v>35</v>
      </c>
      <c r="AD337" t="s">
        <v>35</v>
      </c>
      <c r="AE337" t="s">
        <v>35</v>
      </c>
    </row>
    <row r="338" spans="1:31" x14ac:dyDescent="0.2">
      <c r="A338" t="s">
        <v>174</v>
      </c>
      <c r="B338" t="s">
        <v>102</v>
      </c>
      <c r="C338">
        <v>38</v>
      </c>
      <c r="D338" t="s">
        <v>33</v>
      </c>
      <c r="E338" t="s">
        <v>34</v>
      </c>
      <c r="F338" t="s">
        <v>35</v>
      </c>
      <c r="G338">
        <v>43102</v>
      </c>
      <c r="H338" t="s">
        <v>35</v>
      </c>
      <c r="I338" t="s">
        <v>35</v>
      </c>
      <c r="J338" t="s">
        <v>35</v>
      </c>
      <c r="K338" t="s">
        <v>35</v>
      </c>
      <c r="L338" t="s">
        <v>35</v>
      </c>
      <c r="M338" t="s">
        <v>35</v>
      </c>
      <c r="N338" t="s">
        <v>35</v>
      </c>
      <c r="O338" t="s">
        <v>35</v>
      </c>
      <c r="P338" t="s">
        <v>35</v>
      </c>
      <c r="Q338" t="s">
        <v>35</v>
      </c>
      <c r="R338" t="s">
        <v>35</v>
      </c>
      <c r="S338" t="s">
        <v>35</v>
      </c>
      <c r="T338" t="s">
        <v>35</v>
      </c>
      <c r="U338" t="s">
        <v>35</v>
      </c>
      <c r="V338" t="s">
        <v>35</v>
      </c>
      <c r="W338" t="s">
        <v>35</v>
      </c>
      <c r="X338" t="s">
        <v>35</v>
      </c>
      <c r="Y338" t="s">
        <v>35</v>
      </c>
      <c r="Z338" t="s">
        <v>35</v>
      </c>
      <c r="AA338" t="s">
        <v>35</v>
      </c>
      <c r="AB338" t="s">
        <v>35</v>
      </c>
      <c r="AC338" t="s">
        <v>35</v>
      </c>
      <c r="AD338" t="s">
        <v>35</v>
      </c>
      <c r="AE338" t="s">
        <v>35</v>
      </c>
    </row>
    <row r="339" spans="1:31" x14ac:dyDescent="0.2">
      <c r="A339" t="s">
        <v>174</v>
      </c>
      <c r="B339" t="s">
        <v>102</v>
      </c>
      <c r="C339">
        <v>38</v>
      </c>
      <c r="D339" t="s">
        <v>33</v>
      </c>
      <c r="E339" t="s">
        <v>36</v>
      </c>
      <c r="F339" t="s">
        <v>38</v>
      </c>
      <c r="G339">
        <v>51348</v>
      </c>
      <c r="H339">
        <v>0</v>
      </c>
      <c r="I339">
        <v>0</v>
      </c>
      <c r="J339">
        <v>0</v>
      </c>
      <c r="K339">
        <v>1</v>
      </c>
      <c r="L339" t="s">
        <v>35</v>
      </c>
      <c r="M339" t="s">
        <v>35</v>
      </c>
      <c r="N339" t="s">
        <v>35</v>
      </c>
      <c r="O339" t="s">
        <v>35</v>
      </c>
      <c r="P339" t="s">
        <v>35</v>
      </c>
      <c r="Q339" t="s">
        <v>35</v>
      </c>
      <c r="R339" t="s">
        <v>35</v>
      </c>
      <c r="S339" t="s">
        <v>35</v>
      </c>
      <c r="T339" t="s">
        <v>35</v>
      </c>
      <c r="U339" t="s">
        <v>35</v>
      </c>
      <c r="V339" t="s">
        <v>35</v>
      </c>
      <c r="W339" t="s">
        <v>35</v>
      </c>
      <c r="X339" t="s">
        <v>35</v>
      </c>
      <c r="Y339" t="s">
        <v>35</v>
      </c>
      <c r="Z339" t="s">
        <v>35</v>
      </c>
      <c r="AA339" t="s">
        <v>35</v>
      </c>
      <c r="AB339" t="s">
        <v>35</v>
      </c>
      <c r="AC339" t="s">
        <v>35</v>
      </c>
      <c r="AD339" t="s">
        <v>35</v>
      </c>
      <c r="AE339" t="s">
        <v>35</v>
      </c>
    </row>
    <row r="340" spans="1:31" x14ac:dyDescent="0.2">
      <c r="A340" t="s">
        <v>174</v>
      </c>
      <c r="B340" t="s">
        <v>102</v>
      </c>
      <c r="C340">
        <v>38</v>
      </c>
      <c r="D340" t="s">
        <v>33</v>
      </c>
      <c r="E340" t="s">
        <v>36</v>
      </c>
      <c r="F340" t="s">
        <v>37</v>
      </c>
      <c r="G340">
        <v>42363</v>
      </c>
      <c r="H340">
        <v>0</v>
      </c>
      <c r="I340">
        <v>0</v>
      </c>
      <c r="J340">
        <v>1</v>
      </c>
      <c r="K340">
        <v>0</v>
      </c>
      <c r="L340" t="s">
        <v>35</v>
      </c>
      <c r="M340" t="s">
        <v>35</v>
      </c>
      <c r="N340" t="s">
        <v>35</v>
      </c>
      <c r="O340" t="s">
        <v>35</v>
      </c>
      <c r="P340" t="s">
        <v>35</v>
      </c>
      <c r="Q340" t="s">
        <v>35</v>
      </c>
      <c r="R340" t="s">
        <v>35</v>
      </c>
      <c r="S340" t="s">
        <v>35</v>
      </c>
      <c r="T340" t="s">
        <v>35</v>
      </c>
      <c r="U340" t="s">
        <v>35</v>
      </c>
      <c r="V340" t="s">
        <v>35</v>
      </c>
      <c r="W340" t="s">
        <v>35</v>
      </c>
      <c r="X340" t="s">
        <v>35</v>
      </c>
      <c r="Y340" t="s">
        <v>35</v>
      </c>
      <c r="Z340" t="s">
        <v>35</v>
      </c>
      <c r="AA340" t="s">
        <v>35</v>
      </c>
      <c r="AB340" t="s">
        <v>35</v>
      </c>
      <c r="AC340" t="s">
        <v>35</v>
      </c>
      <c r="AD340" t="s">
        <v>35</v>
      </c>
      <c r="AE340" t="s">
        <v>35</v>
      </c>
    </row>
    <row r="341" spans="1:31" x14ac:dyDescent="0.2">
      <c r="A341" t="s">
        <v>174</v>
      </c>
      <c r="B341" t="s">
        <v>102</v>
      </c>
      <c r="C341">
        <v>38</v>
      </c>
      <c r="D341" t="s">
        <v>33</v>
      </c>
      <c r="E341" t="s">
        <v>39</v>
      </c>
      <c r="F341" t="s">
        <v>40</v>
      </c>
      <c r="G341">
        <v>39695</v>
      </c>
      <c r="H341">
        <v>1</v>
      </c>
      <c r="I341">
        <v>1</v>
      </c>
      <c r="J341">
        <v>1</v>
      </c>
      <c r="K341">
        <v>0</v>
      </c>
      <c r="L341" t="s">
        <v>91</v>
      </c>
      <c r="M341" t="s">
        <v>43</v>
      </c>
      <c r="N341" t="s">
        <v>41</v>
      </c>
      <c r="O341" t="s">
        <v>51</v>
      </c>
      <c r="P341" t="s">
        <v>46</v>
      </c>
      <c r="Q341" t="s">
        <v>44</v>
      </c>
      <c r="R341">
        <v>0</v>
      </c>
      <c r="S341">
        <v>1</v>
      </c>
      <c r="T341">
        <v>1</v>
      </c>
      <c r="U341">
        <v>0</v>
      </c>
      <c r="V341">
        <v>0</v>
      </c>
      <c r="W341">
        <v>0</v>
      </c>
      <c r="X341">
        <v>1</v>
      </c>
      <c r="Y341">
        <v>0</v>
      </c>
      <c r="Z341">
        <v>1</v>
      </c>
      <c r="AA341">
        <v>1</v>
      </c>
      <c r="AB341">
        <v>0</v>
      </c>
      <c r="AC341">
        <v>0</v>
      </c>
      <c r="AD341">
        <v>0</v>
      </c>
      <c r="AE341">
        <v>0</v>
      </c>
    </row>
    <row r="342" spans="1:31" x14ac:dyDescent="0.2">
      <c r="A342" t="s">
        <v>174</v>
      </c>
      <c r="B342" t="s">
        <v>102</v>
      </c>
      <c r="C342">
        <v>38</v>
      </c>
      <c r="D342" t="s">
        <v>33</v>
      </c>
      <c r="E342" t="s">
        <v>39</v>
      </c>
      <c r="F342" t="s">
        <v>54</v>
      </c>
      <c r="G342">
        <v>43084</v>
      </c>
      <c r="H342">
        <v>1</v>
      </c>
      <c r="I342">
        <v>1</v>
      </c>
      <c r="J342">
        <v>1</v>
      </c>
      <c r="K342">
        <v>0</v>
      </c>
      <c r="L342" t="s">
        <v>56</v>
      </c>
      <c r="M342" t="s">
        <v>57</v>
      </c>
      <c r="N342" t="s">
        <v>55</v>
      </c>
      <c r="O342" t="s">
        <v>45</v>
      </c>
      <c r="P342" t="s">
        <v>46</v>
      </c>
      <c r="Q342" t="s">
        <v>44</v>
      </c>
      <c r="R342">
        <v>0</v>
      </c>
      <c r="S342">
        <v>1</v>
      </c>
      <c r="T342">
        <v>1</v>
      </c>
      <c r="U342">
        <v>0</v>
      </c>
      <c r="V342">
        <v>1</v>
      </c>
      <c r="W342">
        <v>0</v>
      </c>
      <c r="X342">
        <v>1</v>
      </c>
      <c r="Y342">
        <v>0</v>
      </c>
      <c r="Z342">
        <v>1</v>
      </c>
      <c r="AA342">
        <v>1</v>
      </c>
      <c r="AB342">
        <v>0</v>
      </c>
      <c r="AC342">
        <v>1</v>
      </c>
      <c r="AD342">
        <v>0</v>
      </c>
      <c r="AE342">
        <v>0</v>
      </c>
    </row>
    <row r="343" spans="1:31" x14ac:dyDescent="0.2">
      <c r="A343" t="s">
        <v>174</v>
      </c>
      <c r="B343" t="s">
        <v>102</v>
      </c>
      <c r="C343">
        <v>38</v>
      </c>
      <c r="D343" t="s">
        <v>33</v>
      </c>
      <c r="E343" t="s">
        <v>52</v>
      </c>
      <c r="F343" t="s">
        <v>58</v>
      </c>
      <c r="G343">
        <v>26261</v>
      </c>
      <c r="H343">
        <v>1</v>
      </c>
      <c r="I343">
        <v>1</v>
      </c>
      <c r="J343">
        <v>0</v>
      </c>
      <c r="K343">
        <v>0</v>
      </c>
      <c r="L343" t="s">
        <v>35</v>
      </c>
      <c r="M343" t="s">
        <v>35</v>
      </c>
      <c r="N343" t="s">
        <v>35</v>
      </c>
      <c r="O343" t="s">
        <v>35</v>
      </c>
      <c r="P343" t="s">
        <v>35</v>
      </c>
      <c r="Q343" t="s">
        <v>35</v>
      </c>
      <c r="R343" t="s">
        <v>35</v>
      </c>
      <c r="S343">
        <v>1</v>
      </c>
      <c r="T343">
        <v>1</v>
      </c>
      <c r="U343">
        <v>0</v>
      </c>
      <c r="V343">
        <v>1</v>
      </c>
      <c r="W343">
        <v>0</v>
      </c>
      <c r="X343">
        <v>1</v>
      </c>
      <c r="Y343">
        <v>0</v>
      </c>
      <c r="Z343">
        <v>1</v>
      </c>
      <c r="AA343">
        <v>1</v>
      </c>
      <c r="AB343">
        <v>0</v>
      </c>
      <c r="AC343">
        <v>1</v>
      </c>
      <c r="AD343">
        <v>0</v>
      </c>
      <c r="AE343">
        <v>0</v>
      </c>
    </row>
    <row r="344" spans="1:31" x14ac:dyDescent="0.2">
      <c r="A344" t="s">
        <v>174</v>
      </c>
      <c r="B344" t="s">
        <v>102</v>
      </c>
      <c r="C344">
        <v>38</v>
      </c>
      <c r="D344" t="s">
        <v>33</v>
      </c>
      <c r="E344" t="s">
        <v>39</v>
      </c>
      <c r="F344" t="s">
        <v>47</v>
      </c>
      <c r="G344">
        <v>40514</v>
      </c>
      <c r="H344">
        <v>0</v>
      </c>
      <c r="I344">
        <v>0</v>
      </c>
      <c r="J344">
        <v>0</v>
      </c>
      <c r="K344">
        <v>1</v>
      </c>
      <c r="L344" t="s">
        <v>49</v>
      </c>
      <c r="M344" t="s">
        <v>80</v>
      </c>
      <c r="N344" t="s">
        <v>79</v>
      </c>
      <c r="O344" t="s">
        <v>44</v>
      </c>
      <c r="P344" t="s">
        <v>67</v>
      </c>
      <c r="Q344" t="s">
        <v>45</v>
      </c>
      <c r="R344">
        <v>0</v>
      </c>
      <c r="S344">
        <v>1</v>
      </c>
      <c r="T344">
        <v>0</v>
      </c>
      <c r="U344">
        <v>1</v>
      </c>
      <c r="V344">
        <v>1</v>
      </c>
      <c r="W344">
        <v>0</v>
      </c>
      <c r="X344">
        <v>1</v>
      </c>
      <c r="Y344">
        <v>0</v>
      </c>
      <c r="Z344">
        <v>0</v>
      </c>
      <c r="AA344">
        <v>0</v>
      </c>
      <c r="AB344">
        <v>0</v>
      </c>
      <c r="AC344">
        <v>0</v>
      </c>
      <c r="AD344">
        <v>0</v>
      </c>
      <c r="AE344">
        <v>1</v>
      </c>
    </row>
    <row r="345" spans="1:31" x14ac:dyDescent="0.2">
      <c r="A345" t="s">
        <v>174</v>
      </c>
      <c r="B345" t="s">
        <v>102</v>
      </c>
      <c r="C345">
        <v>38</v>
      </c>
      <c r="D345" t="s">
        <v>33</v>
      </c>
      <c r="E345" t="s">
        <v>39</v>
      </c>
      <c r="F345" t="s">
        <v>59</v>
      </c>
      <c r="G345">
        <v>44225</v>
      </c>
      <c r="H345">
        <v>0</v>
      </c>
      <c r="I345">
        <v>0</v>
      </c>
      <c r="J345">
        <v>0</v>
      </c>
      <c r="K345">
        <v>1</v>
      </c>
      <c r="L345" t="s">
        <v>83</v>
      </c>
      <c r="M345" t="s">
        <v>62</v>
      </c>
      <c r="N345" t="s">
        <v>61</v>
      </c>
      <c r="O345" t="s">
        <v>51</v>
      </c>
      <c r="P345" t="s">
        <v>45</v>
      </c>
      <c r="Q345" t="s">
        <v>46</v>
      </c>
      <c r="R345">
        <v>0</v>
      </c>
      <c r="S345">
        <v>0</v>
      </c>
      <c r="T345">
        <v>1</v>
      </c>
      <c r="U345">
        <v>0</v>
      </c>
      <c r="V345">
        <v>1</v>
      </c>
      <c r="W345">
        <v>0</v>
      </c>
      <c r="X345">
        <v>1</v>
      </c>
      <c r="Y345">
        <v>0</v>
      </c>
      <c r="Z345">
        <v>0</v>
      </c>
      <c r="AA345">
        <v>0</v>
      </c>
      <c r="AB345">
        <v>0</v>
      </c>
      <c r="AC345">
        <v>0</v>
      </c>
      <c r="AD345">
        <v>0</v>
      </c>
      <c r="AE345">
        <v>1</v>
      </c>
    </row>
    <row r="346" spans="1:31" x14ac:dyDescent="0.2">
      <c r="A346" t="s">
        <v>174</v>
      </c>
      <c r="B346" t="s">
        <v>102</v>
      </c>
      <c r="C346">
        <v>38</v>
      </c>
      <c r="D346" t="s">
        <v>33</v>
      </c>
      <c r="E346" t="s">
        <v>52</v>
      </c>
      <c r="F346" t="s">
        <v>74</v>
      </c>
      <c r="G346">
        <v>25099</v>
      </c>
      <c r="H346">
        <v>1</v>
      </c>
      <c r="I346">
        <v>0</v>
      </c>
      <c r="J346">
        <v>0</v>
      </c>
      <c r="K346">
        <v>0</v>
      </c>
      <c r="L346" t="s">
        <v>35</v>
      </c>
      <c r="M346" t="s">
        <v>35</v>
      </c>
      <c r="N346" t="s">
        <v>35</v>
      </c>
      <c r="O346" t="s">
        <v>35</v>
      </c>
      <c r="P346" t="s">
        <v>35</v>
      </c>
      <c r="Q346" t="s">
        <v>35</v>
      </c>
      <c r="R346" t="s">
        <v>35</v>
      </c>
      <c r="S346">
        <v>0</v>
      </c>
      <c r="T346">
        <v>1</v>
      </c>
      <c r="U346">
        <v>0</v>
      </c>
      <c r="V346">
        <v>1</v>
      </c>
      <c r="W346">
        <v>0</v>
      </c>
      <c r="X346">
        <v>1</v>
      </c>
      <c r="Y346">
        <v>0</v>
      </c>
      <c r="Z346">
        <v>0</v>
      </c>
      <c r="AA346">
        <v>0</v>
      </c>
      <c r="AB346">
        <v>0</v>
      </c>
      <c r="AC346">
        <v>0</v>
      </c>
      <c r="AD346">
        <v>0</v>
      </c>
      <c r="AE346">
        <v>1</v>
      </c>
    </row>
    <row r="347" spans="1:31" x14ac:dyDescent="0.2">
      <c r="A347" t="s">
        <v>174</v>
      </c>
      <c r="B347" t="s">
        <v>102</v>
      </c>
      <c r="C347">
        <v>38</v>
      </c>
      <c r="D347" t="s">
        <v>33</v>
      </c>
      <c r="E347" t="s">
        <v>39</v>
      </c>
      <c r="F347" t="s">
        <v>70</v>
      </c>
      <c r="G347">
        <v>23179</v>
      </c>
      <c r="H347">
        <v>0</v>
      </c>
      <c r="I347">
        <v>0</v>
      </c>
      <c r="J347">
        <v>0</v>
      </c>
      <c r="K347">
        <v>1</v>
      </c>
      <c r="L347" t="s">
        <v>86</v>
      </c>
      <c r="M347" t="s">
        <v>71</v>
      </c>
      <c r="N347" t="s">
        <v>92</v>
      </c>
      <c r="O347" t="s">
        <v>46</v>
      </c>
      <c r="P347" t="s">
        <v>45</v>
      </c>
      <c r="Q347" t="s">
        <v>51</v>
      </c>
      <c r="R347">
        <v>0</v>
      </c>
      <c r="S347">
        <v>0</v>
      </c>
      <c r="T347">
        <v>1</v>
      </c>
      <c r="U347">
        <v>0</v>
      </c>
      <c r="V347">
        <v>1</v>
      </c>
      <c r="W347">
        <v>0</v>
      </c>
      <c r="X347">
        <v>1</v>
      </c>
      <c r="Y347">
        <v>0</v>
      </c>
      <c r="Z347">
        <v>0</v>
      </c>
      <c r="AA347">
        <v>0</v>
      </c>
      <c r="AB347">
        <v>0</v>
      </c>
      <c r="AC347">
        <v>0</v>
      </c>
      <c r="AD347">
        <v>0</v>
      </c>
      <c r="AE347">
        <v>1</v>
      </c>
    </row>
    <row r="348" spans="1:31" x14ac:dyDescent="0.2">
      <c r="A348" t="s">
        <v>174</v>
      </c>
      <c r="B348" t="s">
        <v>102</v>
      </c>
      <c r="C348">
        <v>38</v>
      </c>
      <c r="D348" t="s">
        <v>33</v>
      </c>
      <c r="E348" t="s">
        <v>52</v>
      </c>
      <c r="F348" t="s">
        <v>69</v>
      </c>
      <c r="G348">
        <v>31957</v>
      </c>
      <c r="H348">
        <v>0</v>
      </c>
      <c r="I348">
        <v>0</v>
      </c>
      <c r="J348">
        <v>1</v>
      </c>
      <c r="K348">
        <v>0</v>
      </c>
      <c r="L348" t="s">
        <v>35</v>
      </c>
      <c r="M348" t="s">
        <v>35</v>
      </c>
      <c r="N348" t="s">
        <v>35</v>
      </c>
      <c r="O348" t="s">
        <v>35</v>
      </c>
      <c r="P348" t="s">
        <v>35</v>
      </c>
      <c r="Q348" t="s">
        <v>35</v>
      </c>
      <c r="R348" t="s">
        <v>35</v>
      </c>
      <c r="S348">
        <v>0</v>
      </c>
      <c r="T348">
        <v>1</v>
      </c>
      <c r="U348">
        <v>0</v>
      </c>
      <c r="V348">
        <v>1</v>
      </c>
      <c r="W348">
        <v>0</v>
      </c>
      <c r="X348">
        <v>1</v>
      </c>
      <c r="Y348">
        <v>0</v>
      </c>
      <c r="Z348">
        <v>0</v>
      </c>
      <c r="AA348">
        <v>0</v>
      </c>
      <c r="AB348">
        <v>0</v>
      </c>
      <c r="AC348">
        <v>0</v>
      </c>
      <c r="AD348">
        <v>0</v>
      </c>
      <c r="AE348">
        <v>1</v>
      </c>
    </row>
    <row r="349" spans="1:31" x14ac:dyDescent="0.2">
      <c r="A349" t="s">
        <v>174</v>
      </c>
      <c r="B349" t="s">
        <v>102</v>
      </c>
      <c r="C349">
        <v>38</v>
      </c>
      <c r="D349" t="s">
        <v>33</v>
      </c>
      <c r="E349" t="s">
        <v>39</v>
      </c>
      <c r="F349" t="s">
        <v>63</v>
      </c>
      <c r="G349">
        <v>33800</v>
      </c>
      <c r="H349">
        <v>0</v>
      </c>
      <c r="I349">
        <v>0</v>
      </c>
      <c r="J349">
        <v>1</v>
      </c>
      <c r="K349">
        <v>0</v>
      </c>
      <c r="L349" t="s">
        <v>66</v>
      </c>
      <c r="M349" t="s">
        <v>84</v>
      </c>
      <c r="N349" t="s">
        <v>90</v>
      </c>
      <c r="O349" t="s">
        <v>45</v>
      </c>
      <c r="P349" t="s">
        <v>46</v>
      </c>
      <c r="Q349" t="s">
        <v>44</v>
      </c>
      <c r="R349">
        <v>0</v>
      </c>
      <c r="S349">
        <v>1</v>
      </c>
      <c r="T349">
        <v>1</v>
      </c>
      <c r="U349">
        <v>0</v>
      </c>
      <c r="V349">
        <v>1</v>
      </c>
      <c r="W349">
        <v>0</v>
      </c>
      <c r="X349">
        <v>1</v>
      </c>
      <c r="Y349">
        <v>0</v>
      </c>
      <c r="Z349">
        <v>1</v>
      </c>
      <c r="AA349">
        <v>0</v>
      </c>
      <c r="AB349">
        <v>0</v>
      </c>
      <c r="AC349">
        <v>0</v>
      </c>
      <c r="AD349">
        <v>0</v>
      </c>
      <c r="AE349">
        <v>0</v>
      </c>
    </row>
    <row r="350" spans="1:31" x14ac:dyDescent="0.2">
      <c r="A350" t="s">
        <v>174</v>
      </c>
      <c r="B350" t="s">
        <v>102</v>
      </c>
      <c r="C350">
        <v>38</v>
      </c>
      <c r="D350" t="s">
        <v>33</v>
      </c>
      <c r="E350" t="s">
        <v>52</v>
      </c>
      <c r="F350" t="s">
        <v>53</v>
      </c>
      <c r="G350">
        <v>39558</v>
      </c>
      <c r="H350">
        <v>0</v>
      </c>
      <c r="I350">
        <v>0</v>
      </c>
      <c r="J350">
        <v>0</v>
      </c>
      <c r="K350">
        <v>1</v>
      </c>
      <c r="L350" t="s">
        <v>35</v>
      </c>
      <c r="M350" t="s">
        <v>35</v>
      </c>
      <c r="N350" t="s">
        <v>35</v>
      </c>
      <c r="O350" t="s">
        <v>35</v>
      </c>
      <c r="P350" t="s">
        <v>35</v>
      </c>
      <c r="Q350" t="s">
        <v>35</v>
      </c>
      <c r="R350" t="s">
        <v>35</v>
      </c>
      <c r="S350">
        <v>1</v>
      </c>
      <c r="T350">
        <v>1</v>
      </c>
      <c r="U350">
        <v>0</v>
      </c>
      <c r="V350">
        <v>1</v>
      </c>
      <c r="W350">
        <v>0</v>
      </c>
      <c r="X350">
        <v>1</v>
      </c>
      <c r="Y350">
        <v>0</v>
      </c>
      <c r="Z350">
        <v>1</v>
      </c>
      <c r="AA350">
        <v>0</v>
      </c>
      <c r="AB350">
        <v>0</v>
      </c>
      <c r="AC350">
        <v>0</v>
      </c>
      <c r="AD350">
        <v>0</v>
      </c>
      <c r="AE350">
        <v>0</v>
      </c>
    </row>
    <row r="351" spans="1:31" x14ac:dyDescent="0.2">
      <c r="A351" t="s">
        <v>174</v>
      </c>
      <c r="B351" t="s">
        <v>102</v>
      </c>
      <c r="C351">
        <v>38</v>
      </c>
      <c r="D351" t="s">
        <v>33</v>
      </c>
      <c r="E351" t="s">
        <v>75</v>
      </c>
      <c r="F351" t="s">
        <v>35</v>
      </c>
      <c r="G351">
        <v>55591</v>
      </c>
      <c r="H351" t="s">
        <v>175</v>
      </c>
      <c r="I351" t="s">
        <v>176</v>
      </c>
      <c r="J351" t="s">
        <v>177</v>
      </c>
      <c r="K351" t="s">
        <v>35</v>
      </c>
      <c r="L351" t="s">
        <v>35</v>
      </c>
      <c r="M351" t="s">
        <v>35</v>
      </c>
      <c r="N351" t="s">
        <v>35</v>
      </c>
      <c r="O351" t="s">
        <v>35</v>
      </c>
      <c r="P351" t="s">
        <v>35</v>
      </c>
      <c r="Q351" t="s">
        <v>35</v>
      </c>
      <c r="R351" t="s">
        <v>35</v>
      </c>
      <c r="S351" t="s">
        <v>35</v>
      </c>
      <c r="T351" t="s">
        <v>35</v>
      </c>
      <c r="U351" t="s">
        <v>35</v>
      </c>
      <c r="V351" t="s">
        <v>35</v>
      </c>
      <c r="W351" t="s">
        <v>35</v>
      </c>
      <c r="X351" t="s">
        <v>35</v>
      </c>
      <c r="Y351" t="s">
        <v>35</v>
      </c>
      <c r="Z351" t="s">
        <v>35</v>
      </c>
      <c r="AA351" t="s">
        <v>35</v>
      </c>
      <c r="AB351" t="s">
        <v>35</v>
      </c>
      <c r="AC351" t="s">
        <v>35</v>
      </c>
      <c r="AD351" t="s">
        <v>35</v>
      </c>
      <c r="AE351" t="s">
        <v>35</v>
      </c>
    </row>
    <row r="352" spans="1:31" x14ac:dyDescent="0.2">
      <c r="A352" t="s">
        <v>178</v>
      </c>
      <c r="B352" t="s">
        <v>102</v>
      </c>
      <c r="C352">
        <v>43</v>
      </c>
      <c r="D352" t="s">
        <v>33</v>
      </c>
      <c r="E352" t="s">
        <v>34</v>
      </c>
      <c r="F352" t="s">
        <v>35</v>
      </c>
      <c r="G352">
        <v>35992</v>
      </c>
      <c r="H352" t="s">
        <v>35</v>
      </c>
      <c r="I352" t="s">
        <v>35</v>
      </c>
      <c r="J352" t="s">
        <v>35</v>
      </c>
      <c r="K352" t="s">
        <v>35</v>
      </c>
      <c r="L352" t="s">
        <v>35</v>
      </c>
      <c r="M352" t="s">
        <v>35</v>
      </c>
      <c r="N352" t="s">
        <v>35</v>
      </c>
      <c r="O352" t="s">
        <v>35</v>
      </c>
      <c r="P352" t="s">
        <v>35</v>
      </c>
      <c r="Q352" t="s">
        <v>35</v>
      </c>
      <c r="R352" t="s">
        <v>35</v>
      </c>
      <c r="S352" t="s">
        <v>35</v>
      </c>
      <c r="T352" t="s">
        <v>35</v>
      </c>
      <c r="U352" t="s">
        <v>35</v>
      </c>
      <c r="V352" t="s">
        <v>35</v>
      </c>
      <c r="W352" t="s">
        <v>35</v>
      </c>
      <c r="X352" t="s">
        <v>35</v>
      </c>
      <c r="Y352" t="s">
        <v>35</v>
      </c>
      <c r="Z352" t="s">
        <v>35</v>
      </c>
      <c r="AA352" t="s">
        <v>35</v>
      </c>
      <c r="AB352" t="s">
        <v>35</v>
      </c>
      <c r="AC352" t="s">
        <v>35</v>
      </c>
      <c r="AD352" t="s">
        <v>35</v>
      </c>
      <c r="AE352" t="s">
        <v>35</v>
      </c>
    </row>
    <row r="353" spans="1:31" x14ac:dyDescent="0.2">
      <c r="A353" t="s">
        <v>178</v>
      </c>
      <c r="B353" t="s">
        <v>102</v>
      </c>
      <c r="C353">
        <v>43</v>
      </c>
      <c r="D353" t="s">
        <v>33</v>
      </c>
      <c r="E353" t="s">
        <v>36</v>
      </c>
      <c r="F353" t="s">
        <v>38</v>
      </c>
      <c r="G353">
        <v>37939</v>
      </c>
      <c r="H353">
        <v>0</v>
      </c>
      <c r="I353">
        <v>0</v>
      </c>
      <c r="J353">
        <v>0</v>
      </c>
      <c r="K353">
        <v>1</v>
      </c>
      <c r="L353" t="s">
        <v>35</v>
      </c>
      <c r="M353" t="s">
        <v>35</v>
      </c>
      <c r="N353" t="s">
        <v>35</v>
      </c>
      <c r="O353" t="s">
        <v>35</v>
      </c>
      <c r="P353" t="s">
        <v>35</v>
      </c>
      <c r="Q353" t="s">
        <v>35</v>
      </c>
      <c r="R353" t="s">
        <v>35</v>
      </c>
      <c r="S353" t="s">
        <v>35</v>
      </c>
      <c r="T353" t="s">
        <v>35</v>
      </c>
      <c r="U353" t="s">
        <v>35</v>
      </c>
      <c r="V353" t="s">
        <v>35</v>
      </c>
      <c r="W353" t="s">
        <v>35</v>
      </c>
      <c r="X353" t="s">
        <v>35</v>
      </c>
      <c r="Y353" t="s">
        <v>35</v>
      </c>
      <c r="Z353" t="s">
        <v>35</v>
      </c>
      <c r="AA353" t="s">
        <v>35</v>
      </c>
      <c r="AB353" t="s">
        <v>35</v>
      </c>
      <c r="AC353" t="s">
        <v>35</v>
      </c>
      <c r="AD353" t="s">
        <v>35</v>
      </c>
      <c r="AE353" t="s">
        <v>35</v>
      </c>
    </row>
    <row r="354" spans="1:31" x14ac:dyDescent="0.2">
      <c r="A354" t="s">
        <v>178</v>
      </c>
      <c r="B354" t="s">
        <v>102</v>
      </c>
      <c r="C354">
        <v>43</v>
      </c>
      <c r="D354" t="s">
        <v>33</v>
      </c>
      <c r="E354" t="s">
        <v>36</v>
      </c>
      <c r="F354" t="s">
        <v>37</v>
      </c>
      <c r="G354">
        <v>53435</v>
      </c>
      <c r="H354">
        <v>0</v>
      </c>
      <c r="I354">
        <v>0</v>
      </c>
      <c r="J354">
        <v>1</v>
      </c>
      <c r="K354">
        <v>0</v>
      </c>
      <c r="L354" t="s">
        <v>35</v>
      </c>
      <c r="M354" t="s">
        <v>35</v>
      </c>
      <c r="N354" t="s">
        <v>35</v>
      </c>
      <c r="O354" t="s">
        <v>35</v>
      </c>
      <c r="P354" t="s">
        <v>35</v>
      </c>
      <c r="Q354" t="s">
        <v>35</v>
      </c>
      <c r="R354" t="s">
        <v>35</v>
      </c>
      <c r="S354" t="s">
        <v>35</v>
      </c>
      <c r="T354" t="s">
        <v>35</v>
      </c>
      <c r="U354" t="s">
        <v>35</v>
      </c>
      <c r="V354" t="s">
        <v>35</v>
      </c>
      <c r="W354" t="s">
        <v>35</v>
      </c>
      <c r="X354" t="s">
        <v>35</v>
      </c>
      <c r="Y354" t="s">
        <v>35</v>
      </c>
      <c r="Z354" t="s">
        <v>35</v>
      </c>
      <c r="AA354" t="s">
        <v>35</v>
      </c>
      <c r="AB354" t="s">
        <v>35</v>
      </c>
      <c r="AC354" t="s">
        <v>35</v>
      </c>
      <c r="AD354" t="s">
        <v>35</v>
      </c>
      <c r="AE354" t="s">
        <v>35</v>
      </c>
    </row>
    <row r="355" spans="1:31" x14ac:dyDescent="0.2">
      <c r="A355" t="s">
        <v>178</v>
      </c>
      <c r="B355" t="s">
        <v>102</v>
      </c>
      <c r="C355">
        <v>43</v>
      </c>
      <c r="D355" t="s">
        <v>33</v>
      </c>
      <c r="E355" t="s">
        <v>39</v>
      </c>
      <c r="F355" t="s">
        <v>70</v>
      </c>
      <c r="G355">
        <v>61523</v>
      </c>
      <c r="H355">
        <v>1</v>
      </c>
      <c r="I355">
        <v>1</v>
      </c>
      <c r="J355">
        <v>1</v>
      </c>
      <c r="K355">
        <v>0</v>
      </c>
      <c r="L355" t="s">
        <v>93</v>
      </c>
      <c r="M355" t="s">
        <v>73</v>
      </c>
      <c r="N355" t="s">
        <v>72</v>
      </c>
      <c r="O355" t="s">
        <v>68</v>
      </c>
      <c r="P355" t="s">
        <v>44</v>
      </c>
      <c r="Q355" t="s">
        <v>67</v>
      </c>
      <c r="R355">
        <v>1</v>
      </c>
      <c r="S355">
        <v>1</v>
      </c>
      <c r="T355">
        <v>0</v>
      </c>
      <c r="U355">
        <v>1</v>
      </c>
      <c r="V355">
        <v>0</v>
      </c>
      <c r="W355">
        <v>0</v>
      </c>
      <c r="X355">
        <v>1</v>
      </c>
      <c r="Y355">
        <v>1</v>
      </c>
      <c r="Z355">
        <v>1</v>
      </c>
      <c r="AA355">
        <v>0</v>
      </c>
      <c r="AB355">
        <v>1</v>
      </c>
      <c r="AC355">
        <v>0</v>
      </c>
      <c r="AD355">
        <v>0</v>
      </c>
      <c r="AE355">
        <v>0</v>
      </c>
    </row>
    <row r="356" spans="1:31" x14ac:dyDescent="0.2">
      <c r="A356" t="s">
        <v>178</v>
      </c>
      <c r="B356" t="s">
        <v>102</v>
      </c>
      <c r="C356">
        <v>43</v>
      </c>
      <c r="D356" t="s">
        <v>33</v>
      </c>
      <c r="E356" t="s">
        <v>52</v>
      </c>
      <c r="F356" t="s">
        <v>53</v>
      </c>
      <c r="G356">
        <v>39766</v>
      </c>
      <c r="H356">
        <v>0</v>
      </c>
      <c r="I356">
        <v>0</v>
      </c>
      <c r="J356">
        <v>0</v>
      </c>
      <c r="K356">
        <v>1</v>
      </c>
      <c r="L356" t="s">
        <v>35</v>
      </c>
      <c r="M356" t="s">
        <v>35</v>
      </c>
      <c r="N356" t="s">
        <v>35</v>
      </c>
      <c r="O356" t="s">
        <v>35</v>
      </c>
      <c r="P356" t="s">
        <v>35</v>
      </c>
      <c r="Q356" t="s">
        <v>35</v>
      </c>
      <c r="R356" t="s">
        <v>35</v>
      </c>
      <c r="S356">
        <v>1</v>
      </c>
      <c r="T356">
        <v>0</v>
      </c>
      <c r="U356">
        <v>1</v>
      </c>
      <c r="V356">
        <v>0</v>
      </c>
      <c r="W356">
        <v>0</v>
      </c>
      <c r="X356">
        <v>1</v>
      </c>
      <c r="Y356">
        <v>1</v>
      </c>
      <c r="Z356">
        <v>1</v>
      </c>
      <c r="AA356">
        <v>0</v>
      </c>
      <c r="AB356">
        <v>1</v>
      </c>
      <c r="AC356">
        <v>0</v>
      </c>
      <c r="AD356">
        <v>0</v>
      </c>
      <c r="AE356">
        <v>0</v>
      </c>
    </row>
    <row r="357" spans="1:31" x14ac:dyDescent="0.2">
      <c r="A357" t="s">
        <v>178</v>
      </c>
      <c r="B357" t="s">
        <v>102</v>
      </c>
      <c r="C357">
        <v>43</v>
      </c>
      <c r="D357" t="s">
        <v>33</v>
      </c>
      <c r="E357" t="s">
        <v>39</v>
      </c>
      <c r="F357" t="s">
        <v>59</v>
      </c>
      <c r="G357">
        <v>31890</v>
      </c>
      <c r="H357">
        <v>1</v>
      </c>
      <c r="I357">
        <v>1</v>
      </c>
      <c r="J357">
        <v>1</v>
      </c>
      <c r="K357">
        <v>0</v>
      </c>
      <c r="L357" t="s">
        <v>99</v>
      </c>
      <c r="M357" t="s">
        <v>60</v>
      </c>
      <c r="N357" t="s">
        <v>94</v>
      </c>
      <c r="O357" t="s">
        <v>67</v>
      </c>
      <c r="P357" t="s">
        <v>44</v>
      </c>
      <c r="Q357" t="s">
        <v>68</v>
      </c>
      <c r="R357">
        <v>1</v>
      </c>
      <c r="S357">
        <v>1</v>
      </c>
      <c r="T357">
        <v>0</v>
      </c>
      <c r="U357">
        <v>1</v>
      </c>
      <c r="V357">
        <v>0</v>
      </c>
      <c r="W357">
        <v>0</v>
      </c>
      <c r="X357">
        <v>1</v>
      </c>
      <c r="Y357">
        <v>1</v>
      </c>
      <c r="Z357">
        <v>1</v>
      </c>
      <c r="AA357">
        <v>0</v>
      </c>
      <c r="AB357">
        <v>1</v>
      </c>
      <c r="AC357">
        <v>0</v>
      </c>
      <c r="AD357">
        <v>0</v>
      </c>
      <c r="AE357">
        <v>0</v>
      </c>
    </row>
    <row r="358" spans="1:31" x14ac:dyDescent="0.2">
      <c r="A358" t="s">
        <v>178</v>
      </c>
      <c r="B358" t="s">
        <v>102</v>
      </c>
      <c r="C358">
        <v>43</v>
      </c>
      <c r="D358" t="s">
        <v>33</v>
      </c>
      <c r="E358" t="s">
        <v>39</v>
      </c>
      <c r="F358" t="s">
        <v>63</v>
      </c>
      <c r="G358">
        <v>26749</v>
      </c>
      <c r="H358">
        <v>1</v>
      </c>
      <c r="I358">
        <v>1</v>
      </c>
      <c r="J358">
        <v>1</v>
      </c>
      <c r="K358">
        <v>0</v>
      </c>
      <c r="L358" t="s">
        <v>66</v>
      </c>
      <c r="M358" t="s">
        <v>64</v>
      </c>
      <c r="N358" t="s">
        <v>90</v>
      </c>
      <c r="O358" t="s">
        <v>45</v>
      </c>
      <c r="P358" t="s">
        <v>67</v>
      </c>
      <c r="Q358" t="s">
        <v>44</v>
      </c>
      <c r="R358">
        <v>0</v>
      </c>
      <c r="S358">
        <v>1</v>
      </c>
      <c r="T358">
        <v>0</v>
      </c>
      <c r="U358">
        <v>1</v>
      </c>
      <c r="V358">
        <v>1</v>
      </c>
      <c r="W358">
        <v>0</v>
      </c>
      <c r="X358">
        <v>1</v>
      </c>
      <c r="Y358">
        <v>0</v>
      </c>
      <c r="Z358">
        <v>1</v>
      </c>
      <c r="AA358">
        <v>0</v>
      </c>
      <c r="AB358">
        <v>1</v>
      </c>
      <c r="AC358">
        <v>1</v>
      </c>
      <c r="AD358">
        <v>0</v>
      </c>
      <c r="AE358">
        <v>0</v>
      </c>
    </row>
    <row r="359" spans="1:31" x14ac:dyDescent="0.2">
      <c r="A359" t="s">
        <v>178</v>
      </c>
      <c r="B359" t="s">
        <v>102</v>
      </c>
      <c r="C359">
        <v>43</v>
      </c>
      <c r="D359" t="s">
        <v>33</v>
      </c>
      <c r="E359" t="s">
        <v>52</v>
      </c>
      <c r="F359" t="s">
        <v>74</v>
      </c>
      <c r="G359">
        <v>22286</v>
      </c>
      <c r="H359">
        <v>1</v>
      </c>
      <c r="I359">
        <v>1</v>
      </c>
      <c r="J359">
        <v>0</v>
      </c>
      <c r="K359">
        <v>0</v>
      </c>
      <c r="L359" t="s">
        <v>35</v>
      </c>
      <c r="M359" t="s">
        <v>35</v>
      </c>
      <c r="N359" t="s">
        <v>35</v>
      </c>
      <c r="O359" t="s">
        <v>35</v>
      </c>
      <c r="P359" t="s">
        <v>35</v>
      </c>
      <c r="Q359" t="s">
        <v>35</v>
      </c>
      <c r="R359" t="s">
        <v>35</v>
      </c>
      <c r="S359">
        <v>1</v>
      </c>
      <c r="T359">
        <v>0</v>
      </c>
      <c r="U359">
        <v>1</v>
      </c>
      <c r="V359">
        <v>1</v>
      </c>
      <c r="W359">
        <v>0</v>
      </c>
      <c r="X359">
        <v>1</v>
      </c>
      <c r="Y359">
        <v>0</v>
      </c>
      <c r="Z359">
        <v>1</v>
      </c>
      <c r="AA359">
        <v>0</v>
      </c>
      <c r="AB359">
        <v>1</v>
      </c>
      <c r="AC359">
        <v>1</v>
      </c>
      <c r="AD359">
        <v>0</v>
      </c>
      <c r="AE359">
        <v>0</v>
      </c>
    </row>
    <row r="360" spans="1:31" x14ac:dyDescent="0.2">
      <c r="A360" t="s">
        <v>178</v>
      </c>
      <c r="B360" t="s">
        <v>102</v>
      </c>
      <c r="C360">
        <v>43</v>
      </c>
      <c r="D360" t="s">
        <v>33</v>
      </c>
      <c r="E360" t="s">
        <v>39</v>
      </c>
      <c r="F360" t="s">
        <v>54</v>
      </c>
      <c r="G360">
        <v>24443</v>
      </c>
      <c r="H360">
        <v>1</v>
      </c>
      <c r="I360">
        <v>1</v>
      </c>
      <c r="J360">
        <v>1</v>
      </c>
      <c r="K360">
        <v>0</v>
      </c>
      <c r="L360" t="s">
        <v>122</v>
      </c>
      <c r="M360" t="s">
        <v>57</v>
      </c>
      <c r="N360" t="s">
        <v>55</v>
      </c>
      <c r="O360" t="s">
        <v>68</v>
      </c>
      <c r="P360" t="s">
        <v>46</v>
      </c>
      <c r="Q360" t="s">
        <v>44</v>
      </c>
      <c r="R360">
        <v>1</v>
      </c>
      <c r="S360">
        <v>1</v>
      </c>
      <c r="T360">
        <v>1</v>
      </c>
      <c r="U360">
        <v>0</v>
      </c>
      <c r="V360">
        <v>0</v>
      </c>
      <c r="W360">
        <v>0</v>
      </c>
      <c r="X360">
        <v>1</v>
      </c>
      <c r="Y360">
        <v>1</v>
      </c>
      <c r="Z360">
        <v>1</v>
      </c>
      <c r="AA360">
        <v>1</v>
      </c>
      <c r="AB360">
        <v>0</v>
      </c>
      <c r="AC360">
        <v>0</v>
      </c>
      <c r="AD360">
        <v>0</v>
      </c>
      <c r="AE360">
        <v>0</v>
      </c>
    </row>
    <row r="361" spans="1:31" x14ac:dyDescent="0.2">
      <c r="A361" t="s">
        <v>178</v>
      </c>
      <c r="B361" t="s">
        <v>102</v>
      </c>
      <c r="C361">
        <v>43</v>
      </c>
      <c r="D361" t="s">
        <v>33</v>
      </c>
      <c r="E361" t="s">
        <v>52</v>
      </c>
      <c r="F361" t="s">
        <v>58</v>
      </c>
      <c r="G361">
        <v>34443</v>
      </c>
      <c r="H361">
        <v>1</v>
      </c>
      <c r="I361">
        <v>0</v>
      </c>
      <c r="J361">
        <v>0</v>
      </c>
      <c r="K361">
        <v>0</v>
      </c>
      <c r="L361" t="s">
        <v>35</v>
      </c>
      <c r="M361" t="s">
        <v>35</v>
      </c>
      <c r="N361" t="s">
        <v>35</v>
      </c>
      <c r="O361" t="s">
        <v>35</v>
      </c>
      <c r="P361" t="s">
        <v>35</v>
      </c>
      <c r="Q361" t="s">
        <v>35</v>
      </c>
      <c r="R361" t="s">
        <v>35</v>
      </c>
      <c r="S361">
        <v>1</v>
      </c>
      <c r="T361">
        <v>1</v>
      </c>
      <c r="U361">
        <v>0</v>
      </c>
      <c r="V361">
        <v>0</v>
      </c>
      <c r="W361">
        <v>0</v>
      </c>
      <c r="X361">
        <v>1</v>
      </c>
      <c r="Y361">
        <v>1</v>
      </c>
      <c r="Z361">
        <v>1</v>
      </c>
      <c r="AA361">
        <v>1</v>
      </c>
      <c r="AB361">
        <v>0</v>
      </c>
      <c r="AC361">
        <v>0</v>
      </c>
      <c r="AD361">
        <v>0</v>
      </c>
      <c r="AE361">
        <v>0</v>
      </c>
    </row>
    <row r="362" spans="1:31" x14ac:dyDescent="0.2">
      <c r="A362" t="s">
        <v>178</v>
      </c>
      <c r="B362" t="s">
        <v>102</v>
      </c>
      <c r="C362">
        <v>43</v>
      </c>
      <c r="D362" t="s">
        <v>33</v>
      </c>
      <c r="E362" t="s">
        <v>39</v>
      </c>
      <c r="F362" t="s">
        <v>40</v>
      </c>
      <c r="G362">
        <v>72467</v>
      </c>
      <c r="H362">
        <v>1</v>
      </c>
      <c r="I362">
        <v>1</v>
      </c>
      <c r="J362">
        <v>1</v>
      </c>
      <c r="K362">
        <v>0</v>
      </c>
      <c r="L362" t="s">
        <v>41</v>
      </c>
      <c r="M362" t="s">
        <v>81</v>
      </c>
      <c r="N362" t="s">
        <v>82</v>
      </c>
      <c r="O362" t="s">
        <v>44</v>
      </c>
      <c r="P362" t="s">
        <v>67</v>
      </c>
      <c r="Q362" t="s">
        <v>68</v>
      </c>
      <c r="R362">
        <v>1</v>
      </c>
      <c r="S362">
        <v>1</v>
      </c>
      <c r="T362">
        <v>0</v>
      </c>
      <c r="U362">
        <v>1</v>
      </c>
      <c r="V362">
        <v>0</v>
      </c>
      <c r="W362">
        <v>0</v>
      </c>
      <c r="X362">
        <v>1</v>
      </c>
      <c r="Y362">
        <v>1</v>
      </c>
      <c r="Z362">
        <v>1</v>
      </c>
      <c r="AA362">
        <v>0</v>
      </c>
      <c r="AB362">
        <v>1</v>
      </c>
      <c r="AC362">
        <v>0</v>
      </c>
      <c r="AD362">
        <v>0</v>
      </c>
      <c r="AE362">
        <v>0</v>
      </c>
    </row>
    <row r="363" spans="1:31" x14ac:dyDescent="0.2">
      <c r="A363" t="s">
        <v>178</v>
      </c>
      <c r="B363" t="s">
        <v>102</v>
      </c>
      <c r="C363">
        <v>43</v>
      </c>
      <c r="D363" t="s">
        <v>33</v>
      </c>
      <c r="E363" t="s">
        <v>39</v>
      </c>
      <c r="F363" t="s">
        <v>47</v>
      </c>
      <c r="G363">
        <v>28183</v>
      </c>
      <c r="H363">
        <v>0</v>
      </c>
      <c r="I363">
        <v>0</v>
      </c>
      <c r="J363">
        <v>0</v>
      </c>
      <c r="K363">
        <v>1</v>
      </c>
      <c r="L363" t="s">
        <v>49</v>
      </c>
      <c r="M363" t="s">
        <v>48</v>
      </c>
      <c r="N363" t="s">
        <v>79</v>
      </c>
      <c r="O363" t="s">
        <v>44</v>
      </c>
      <c r="P363" t="s">
        <v>46</v>
      </c>
      <c r="Q363" t="s">
        <v>45</v>
      </c>
      <c r="R363">
        <v>0</v>
      </c>
      <c r="S363">
        <v>1</v>
      </c>
      <c r="T363">
        <v>1</v>
      </c>
      <c r="U363">
        <v>0</v>
      </c>
      <c r="V363">
        <v>1</v>
      </c>
      <c r="W363">
        <v>0</v>
      </c>
      <c r="X363">
        <v>1</v>
      </c>
      <c r="Y363">
        <v>0</v>
      </c>
      <c r="Z363">
        <v>0</v>
      </c>
      <c r="AA363">
        <v>0</v>
      </c>
      <c r="AB363">
        <v>0</v>
      </c>
      <c r="AC363">
        <v>0</v>
      </c>
      <c r="AD363">
        <v>0</v>
      </c>
      <c r="AE363">
        <v>1</v>
      </c>
    </row>
    <row r="364" spans="1:31" x14ac:dyDescent="0.2">
      <c r="A364" t="s">
        <v>178</v>
      </c>
      <c r="B364" t="s">
        <v>102</v>
      </c>
      <c r="C364">
        <v>43</v>
      </c>
      <c r="D364" t="s">
        <v>33</v>
      </c>
      <c r="E364" t="s">
        <v>52</v>
      </c>
      <c r="F364" t="s">
        <v>69</v>
      </c>
      <c r="G364">
        <v>48726</v>
      </c>
      <c r="H364">
        <v>0</v>
      </c>
      <c r="I364">
        <v>0</v>
      </c>
      <c r="J364">
        <v>1</v>
      </c>
      <c r="K364">
        <v>0</v>
      </c>
      <c r="L364" t="s">
        <v>35</v>
      </c>
      <c r="M364" t="s">
        <v>35</v>
      </c>
      <c r="N364" t="s">
        <v>35</v>
      </c>
      <c r="O364" t="s">
        <v>35</v>
      </c>
      <c r="P364" t="s">
        <v>35</v>
      </c>
      <c r="Q364" t="s">
        <v>35</v>
      </c>
      <c r="R364" t="s">
        <v>35</v>
      </c>
      <c r="S364">
        <v>1</v>
      </c>
      <c r="T364">
        <v>1</v>
      </c>
      <c r="U364">
        <v>0</v>
      </c>
      <c r="V364">
        <v>1</v>
      </c>
      <c r="W364">
        <v>0</v>
      </c>
      <c r="X364">
        <v>1</v>
      </c>
      <c r="Y364">
        <v>0</v>
      </c>
      <c r="Z364">
        <v>0</v>
      </c>
      <c r="AA364">
        <v>0</v>
      </c>
      <c r="AB364">
        <v>0</v>
      </c>
      <c r="AC364">
        <v>0</v>
      </c>
      <c r="AD364">
        <v>0</v>
      </c>
      <c r="AE364">
        <v>1</v>
      </c>
    </row>
    <row r="365" spans="1:31" x14ac:dyDescent="0.2">
      <c r="A365" t="s">
        <v>178</v>
      </c>
      <c r="B365" t="s">
        <v>102</v>
      </c>
      <c r="C365">
        <v>43</v>
      </c>
      <c r="D365" t="s">
        <v>33</v>
      </c>
      <c r="E365" t="s">
        <v>75</v>
      </c>
      <c r="F365" t="s">
        <v>35</v>
      </c>
      <c r="G365">
        <v>41764</v>
      </c>
      <c r="H365" t="s">
        <v>179</v>
      </c>
      <c r="I365" t="s">
        <v>180</v>
      </c>
      <c r="J365" t="s">
        <v>181</v>
      </c>
      <c r="K365" t="s">
        <v>35</v>
      </c>
      <c r="L365" t="s">
        <v>35</v>
      </c>
      <c r="M365" t="s">
        <v>35</v>
      </c>
      <c r="N365" t="s">
        <v>35</v>
      </c>
      <c r="O365" t="s">
        <v>35</v>
      </c>
      <c r="P365" t="s">
        <v>35</v>
      </c>
      <c r="Q365" t="s">
        <v>35</v>
      </c>
      <c r="R365" t="s">
        <v>35</v>
      </c>
      <c r="S365" t="s">
        <v>35</v>
      </c>
      <c r="T365" t="s">
        <v>35</v>
      </c>
      <c r="U365" t="s">
        <v>35</v>
      </c>
      <c r="V365" t="s">
        <v>35</v>
      </c>
      <c r="W365" t="s">
        <v>35</v>
      </c>
      <c r="X365" t="s">
        <v>35</v>
      </c>
      <c r="Y365" t="s">
        <v>35</v>
      </c>
      <c r="Z365" t="s">
        <v>35</v>
      </c>
      <c r="AA365" t="s">
        <v>35</v>
      </c>
      <c r="AB365" t="s">
        <v>35</v>
      </c>
      <c r="AC365" t="s">
        <v>35</v>
      </c>
      <c r="AD365" t="s">
        <v>35</v>
      </c>
      <c r="AE365" t="s">
        <v>35</v>
      </c>
    </row>
    <row r="366" spans="1:31" x14ac:dyDescent="0.2">
      <c r="A366" t="s">
        <v>182</v>
      </c>
      <c r="B366" t="s">
        <v>32</v>
      </c>
      <c r="C366">
        <v>30</v>
      </c>
      <c r="D366" t="s">
        <v>78</v>
      </c>
      <c r="E366" t="s">
        <v>34</v>
      </c>
      <c r="F366" t="s">
        <v>35</v>
      </c>
      <c r="G366">
        <v>30557</v>
      </c>
      <c r="H366" t="s">
        <v>35</v>
      </c>
      <c r="I366" t="s">
        <v>35</v>
      </c>
      <c r="J366" t="s">
        <v>35</v>
      </c>
      <c r="K366" t="s">
        <v>35</v>
      </c>
      <c r="L366" t="s">
        <v>35</v>
      </c>
      <c r="M366" t="s">
        <v>35</v>
      </c>
      <c r="N366" t="s">
        <v>35</v>
      </c>
      <c r="O366" t="s">
        <v>35</v>
      </c>
      <c r="P366" t="s">
        <v>35</v>
      </c>
      <c r="Q366" t="s">
        <v>35</v>
      </c>
      <c r="R366" t="s">
        <v>35</v>
      </c>
      <c r="S366" t="s">
        <v>35</v>
      </c>
      <c r="T366" t="s">
        <v>35</v>
      </c>
      <c r="U366" t="s">
        <v>35</v>
      </c>
      <c r="V366" t="s">
        <v>35</v>
      </c>
      <c r="W366" t="s">
        <v>35</v>
      </c>
      <c r="X366" t="s">
        <v>35</v>
      </c>
      <c r="Y366" t="s">
        <v>35</v>
      </c>
      <c r="Z366" t="s">
        <v>35</v>
      </c>
      <c r="AA366" t="s">
        <v>35</v>
      </c>
      <c r="AB366" t="s">
        <v>35</v>
      </c>
      <c r="AC366" t="s">
        <v>35</v>
      </c>
      <c r="AD366" t="s">
        <v>35</v>
      </c>
      <c r="AE366" t="s">
        <v>35</v>
      </c>
    </row>
    <row r="367" spans="1:31" x14ac:dyDescent="0.2">
      <c r="A367" t="s">
        <v>182</v>
      </c>
      <c r="B367" t="s">
        <v>32</v>
      </c>
      <c r="C367">
        <v>30</v>
      </c>
      <c r="D367" t="s">
        <v>78</v>
      </c>
      <c r="E367" t="s">
        <v>36</v>
      </c>
      <c r="F367" t="s">
        <v>38</v>
      </c>
      <c r="G367">
        <v>25204</v>
      </c>
      <c r="H367">
        <v>0</v>
      </c>
      <c r="I367">
        <v>0</v>
      </c>
      <c r="J367">
        <v>1</v>
      </c>
      <c r="K367">
        <v>0</v>
      </c>
      <c r="L367" t="s">
        <v>35</v>
      </c>
      <c r="M367" t="s">
        <v>35</v>
      </c>
      <c r="N367" t="s">
        <v>35</v>
      </c>
      <c r="O367" t="s">
        <v>35</v>
      </c>
      <c r="P367" t="s">
        <v>35</v>
      </c>
      <c r="Q367" t="s">
        <v>35</v>
      </c>
      <c r="R367" t="s">
        <v>35</v>
      </c>
      <c r="S367" t="s">
        <v>35</v>
      </c>
      <c r="T367" t="s">
        <v>35</v>
      </c>
      <c r="U367" t="s">
        <v>35</v>
      </c>
      <c r="V367" t="s">
        <v>35</v>
      </c>
      <c r="W367" t="s">
        <v>35</v>
      </c>
      <c r="X367" t="s">
        <v>35</v>
      </c>
      <c r="Y367" t="s">
        <v>35</v>
      </c>
      <c r="Z367" t="s">
        <v>35</v>
      </c>
      <c r="AA367" t="s">
        <v>35</v>
      </c>
      <c r="AB367" t="s">
        <v>35</v>
      </c>
      <c r="AC367" t="s">
        <v>35</v>
      </c>
      <c r="AD367" t="s">
        <v>35</v>
      </c>
      <c r="AE367" t="s">
        <v>35</v>
      </c>
    </row>
    <row r="368" spans="1:31" x14ac:dyDescent="0.2">
      <c r="A368" t="s">
        <v>182</v>
      </c>
      <c r="B368" t="s">
        <v>32</v>
      </c>
      <c r="C368">
        <v>30</v>
      </c>
      <c r="D368" t="s">
        <v>78</v>
      </c>
      <c r="E368" t="s">
        <v>36</v>
      </c>
      <c r="F368" t="s">
        <v>37</v>
      </c>
      <c r="G368">
        <v>28008</v>
      </c>
      <c r="H368">
        <v>0</v>
      </c>
      <c r="I368">
        <v>0</v>
      </c>
      <c r="J368">
        <v>1</v>
      </c>
      <c r="K368">
        <v>0</v>
      </c>
      <c r="L368" t="s">
        <v>35</v>
      </c>
      <c r="M368" t="s">
        <v>35</v>
      </c>
      <c r="N368" t="s">
        <v>35</v>
      </c>
      <c r="O368" t="s">
        <v>35</v>
      </c>
      <c r="P368" t="s">
        <v>35</v>
      </c>
      <c r="Q368" t="s">
        <v>35</v>
      </c>
      <c r="R368" t="s">
        <v>35</v>
      </c>
      <c r="S368" t="s">
        <v>35</v>
      </c>
      <c r="T368" t="s">
        <v>35</v>
      </c>
      <c r="U368" t="s">
        <v>35</v>
      </c>
      <c r="V368" t="s">
        <v>35</v>
      </c>
      <c r="W368" t="s">
        <v>35</v>
      </c>
      <c r="X368" t="s">
        <v>35</v>
      </c>
      <c r="Y368" t="s">
        <v>35</v>
      </c>
      <c r="Z368" t="s">
        <v>35</v>
      </c>
      <c r="AA368" t="s">
        <v>35</v>
      </c>
      <c r="AB368" t="s">
        <v>35</v>
      </c>
      <c r="AC368" t="s">
        <v>35</v>
      </c>
      <c r="AD368" t="s">
        <v>35</v>
      </c>
      <c r="AE368" t="s">
        <v>35</v>
      </c>
    </row>
    <row r="369" spans="1:31" x14ac:dyDescent="0.2">
      <c r="A369" t="s">
        <v>182</v>
      </c>
      <c r="B369" t="s">
        <v>32</v>
      </c>
      <c r="C369">
        <v>30</v>
      </c>
      <c r="D369" t="s">
        <v>78</v>
      </c>
      <c r="E369" t="s">
        <v>39</v>
      </c>
      <c r="F369" t="s">
        <v>59</v>
      </c>
      <c r="G369">
        <v>55518</v>
      </c>
      <c r="H369">
        <v>0</v>
      </c>
      <c r="I369">
        <v>0</v>
      </c>
      <c r="J369">
        <v>0</v>
      </c>
      <c r="K369">
        <v>1</v>
      </c>
      <c r="L369" t="s">
        <v>94</v>
      </c>
      <c r="M369" t="s">
        <v>83</v>
      </c>
      <c r="N369" t="s">
        <v>60</v>
      </c>
      <c r="O369" t="s">
        <v>68</v>
      </c>
      <c r="P369" t="s">
        <v>51</v>
      </c>
      <c r="Q369" t="s">
        <v>44</v>
      </c>
      <c r="R369">
        <v>1</v>
      </c>
      <c r="S369">
        <v>1</v>
      </c>
      <c r="T369">
        <v>0</v>
      </c>
      <c r="U369">
        <v>0</v>
      </c>
      <c r="V369">
        <v>0</v>
      </c>
      <c r="W369">
        <v>0</v>
      </c>
      <c r="X369">
        <v>1</v>
      </c>
      <c r="Y369">
        <v>0</v>
      </c>
      <c r="Z369">
        <v>0</v>
      </c>
      <c r="AA369">
        <v>0</v>
      </c>
      <c r="AB369">
        <v>0</v>
      </c>
      <c r="AC369">
        <v>0</v>
      </c>
      <c r="AD369">
        <v>0</v>
      </c>
      <c r="AE369">
        <v>1</v>
      </c>
    </row>
    <row r="370" spans="1:31" x14ac:dyDescent="0.2">
      <c r="A370" t="s">
        <v>182</v>
      </c>
      <c r="B370" t="s">
        <v>32</v>
      </c>
      <c r="C370">
        <v>30</v>
      </c>
      <c r="D370" t="s">
        <v>78</v>
      </c>
      <c r="E370" t="s">
        <v>39</v>
      </c>
      <c r="F370" t="s">
        <v>40</v>
      </c>
      <c r="G370">
        <v>74773</v>
      </c>
      <c r="H370">
        <v>1</v>
      </c>
      <c r="I370">
        <v>0</v>
      </c>
      <c r="J370">
        <v>0</v>
      </c>
      <c r="K370">
        <v>0</v>
      </c>
      <c r="L370" t="s">
        <v>41</v>
      </c>
      <c r="M370" t="s">
        <v>43</v>
      </c>
      <c r="N370" t="s">
        <v>81</v>
      </c>
      <c r="O370" t="s">
        <v>44</v>
      </c>
      <c r="P370" t="s">
        <v>46</v>
      </c>
      <c r="Q370" t="s">
        <v>67</v>
      </c>
      <c r="R370">
        <v>0</v>
      </c>
      <c r="S370">
        <v>1</v>
      </c>
      <c r="T370">
        <v>1</v>
      </c>
      <c r="U370">
        <v>1</v>
      </c>
      <c r="V370">
        <v>0</v>
      </c>
      <c r="W370">
        <v>0</v>
      </c>
      <c r="X370">
        <v>1</v>
      </c>
      <c r="Y370">
        <v>0</v>
      </c>
      <c r="Z370">
        <v>1</v>
      </c>
      <c r="AA370">
        <v>0</v>
      </c>
      <c r="AB370">
        <v>0</v>
      </c>
      <c r="AC370">
        <v>0</v>
      </c>
      <c r="AD370">
        <v>0</v>
      </c>
      <c r="AE370">
        <v>0</v>
      </c>
    </row>
    <row r="371" spans="1:31" x14ac:dyDescent="0.2">
      <c r="A371" t="s">
        <v>182</v>
      </c>
      <c r="B371" t="s">
        <v>32</v>
      </c>
      <c r="C371">
        <v>30</v>
      </c>
      <c r="D371" t="s">
        <v>78</v>
      </c>
      <c r="E371" t="s">
        <v>52</v>
      </c>
      <c r="F371" t="s">
        <v>53</v>
      </c>
      <c r="G371">
        <v>46857</v>
      </c>
      <c r="H371">
        <v>0</v>
      </c>
      <c r="I371">
        <v>1</v>
      </c>
      <c r="J371">
        <v>0</v>
      </c>
      <c r="K371">
        <v>0</v>
      </c>
      <c r="L371" t="s">
        <v>35</v>
      </c>
      <c r="M371" t="s">
        <v>35</v>
      </c>
      <c r="N371" t="s">
        <v>35</v>
      </c>
      <c r="O371" t="s">
        <v>35</v>
      </c>
      <c r="P371" t="s">
        <v>35</v>
      </c>
      <c r="Q371" t="s">
        <v>35</v>
      </c>
      <c r="R371" t="s">
        <v>35</v>
      </c>
      <c r="S371">
        <v>1</v>
      </c>
      <c r="T371">
        <v>1</v>
      </c>
      <c r="U371">
        <v>1</v>
      </c>
      <c r="V371">
        <v>0</v>
      </c>
      <c r="W371">
        <v>0</v>
      </c>
      <c r="X371">
        <v>1</v>
      </c>
      <c r="Y371">
        <v>0</v>
      </c>
      <c r="Z371">
        <v>1</v>
      </c>
      <c r="AA371">
        <v>0</v>
      </c>
      <c r="AB371">
        <v>0</v>
      </c>
      <c r="AC371">
        <v>0</v>
      </c>
      <c r="AD371">
        <v>0</v>
      </c>
      <c r="AE371">
        <v>0</v>
      </c>
    </row>
    <row r="372" spans="1:31" x14ac:dyDescent="0.2">
      <c r="A372" t="s">
        <v>182</v>
      </c>
      <c r="B372" t="s">
        <v>32</v>
      </c>
      <c r="C372">
        <v>30</v>
      </c>
      <c r="D372" t="s">
        <v>78</v>
      </c>
      <c r="E372" t="s">
        <v>39</v>
      </c>
      <c r="F372" t="s">
        <v>63</v>
      </c>
      <c r="G372">
        <v>28392</v>
      </c>
      <c r="H372">
        <v>0</v>
      </c>
      <c r="I372">
        <v>1</v>
      </c>
      <c r="J372">
        <v>0</v>
      </c>
      <c r="K372">
        <v>0</v>
      </c>
      <c r="L372" t="s">
        <v>64</v>
      </c>
      <c r="M372" t="s">
        <v>90</v>
      </c>
      <c r="N372" t="s">
        <v>85</v>
      </c>
      <c r="O372" t="s">
        <v>67</v>
      </c>
      <c r="P372" t="s">
        <v>44</v>
      </c>
      <c r="Q372" t="s">
        <v>51</v>
      </c>
      <c r="R372">
        <v>0</v>
      </c>
      <c r="S372">
        <v>1</v>
      </c>
      <c r="T372">
        <v>0</v>
      </c>
      <c r="U372">
        <v>1</v>
      </c>
      <c r="V372">
        <v>0</v>
      </c>
      <c r="W372">
        <v>0</v>
      </c>
      <c r="X372">
        <v>1</v>
      </c>
      <c r="Y372">
        <v>0</v>
      </c>
      <c r="Z372">
        <v>1</v>
      </c>
      <c r="AA372">
        <v>0</v>
      </c>
      <c r="AB372">
        <v>0</v>
      </c>
      <c r="AC372">
        <v>0</v>
      </c>
      <c r="AD372">
        <v>0</v>
      </c>
      <c r="AE372">
        <v>0</v>
      </c>
    </row>
    <row r="373" spans="1:31" x14ac:dyDescent="0.2">
      <c r="A373" t="s">
        <v>182</v>
      </c>
      <c r="B373" t="s">
        <v>32</v>
      </c>
      <c r="C373">
        <v>30</v>
      </c>
      <c r="D373" t="s">
        <v>78</v>
      </c>
      <c r="E373" t="s">
        <v>39</v>
      </c>
      <c r="F373" t="s">
        <v>70</v>
      </c>
      <c r="G373">
        <v>25722</v>
      </c>
      <c r="H373">
        <v>1</v>
      </c>
      <c r="I373">
        <v>0</v>
      </c>
      <c r="J373">
        <v>0</v>
      </c>
      <c r="K373">
        <v>0</v>
      </c>
      <c r="L373" t="s">
        <v>71</v>
      </c>
      <c r="M373" t="s">
        <v>86</v>
      </c>
      <c r="N373" t="s">
        <v>92</v>
      </c>
      <c r="O373" t="s">
        <v>45</v>
      </c>
      <c r="P373" t="s">
        <v>46</v>
      </c>
      <c r="Q373" t="s">
        <v>51</v>
      </c>
      <c r="R373">
        <v>0</v>
      </c>
      <c r="S373">
        <v>0</v>
      </c>
      <c r="T373">
        <v>1</v>
      </c>
      <c r="U373">
        <v>0</v>
      </c>
      <c r="V373">
        <v>1</v>
      </c>
      <c r="W373">
        <v>0</v>
      </c>
      <c r="X373">
        <v>1</v>
      </c>
      <c r="Y373">
        <v>0</v>
      </c>
      <c r="Z373">
        <v>0</v>
      </c>
      <c r="AA373">
        <v>0</v>
      </c>
      <c r="AB373">
        <v>0</v>
      </c>
      <c r="AC373">
        <v>1</v>
      </c>
      <c r="AD373">
        <v>0</v>
      </c>
      <c r="AE373">
        <v>0</v>
      </c>
    </row>
    <row r="374" spans="1:31" x14ac:dyDescent="0.2">
      <c r="A374" t="s">
        <v>182</v>
      </c>
      <c r="B374" t="s">
        <v>32</v>
      </c>
      <c r="C374">
        <v>30</v>
      </c>
      <c r="D374" t="s">
        <v>78</v>
      </c>
      <c r="E374" t="s">
        <v>52</v>
      </c>
      <c r="F374" t="s">
        <v>58</v>
      </c>
      <c r="G374">
        <v>29818</v>
      </c>
      <c r="H374">
        <v>0</v>
      </c>
      <c r="I374">
        <v>1</v>
      </c>
      <c r="J374">
        <v>0</v>
      </c>
      <c r="K374">
        <v>0</v>
      </c>
      <c r="L374" t="s">
        <v>35</v>
      </c>
      <c r="M374" t="s">
        <v>35</v>
      </c>
      <c r="N374" t="s">
        <v>35</v>
      </c>
      <c r="O374" t="s">
        <v>35</v>
      </c>
      <c r="P374" t="s">
        <v>35</v>
      </c>
      <c r="Q374" t="s">
        <v>35</v>
      </c>
      <c r="R374" t="s">
        <v>35</v>
      </c>
      <c r="S374">
        <v>0</v>
      </c>
      <c r="T374">
        <v>1</v>
      </c>
      <c r="U374">
        <v>0</v>
      </c>
      <c r="V374">
        <v>1</v>
      </c>
      <c r="W374">
        <v>0</v>
      </c>
      <c r="X374">
        <v>1</v>
      </c>
      <c r="Y374">
        <v>0</v>
      </c>
      <c r="Z374">
        <v>0</v>
      </c>
      <c r="AA374">
        <v>0</v>
      </c>
      <c r="AB374">
        <v>0</v>
      </c>
      <c r="AC374">
        <v>1</v>
      </c>
      <c r="AD374">
        <v>0</v>
      </c>
      <c r="AE374">
        <v>0</v>
      </c>
    </row>
    <row r="375" spans="1:31" x14ac:dyDescent="0.2">
      <c r="A375" t="s">
        <v>182</v>
      </c>
      <c r="B375" t="s">
        <v>32</v>
      </c>
      <c r="C375">
        <v>30</v>
      </c>
      <c r="D375" t="s">
        <v>78</v>
      </c>
      <c r="E375" t="s">
        <v>39</v>
      </c>
      <c r="F375" t="s">
        <v>54</v>
      </c>
      <c r="G375">
        <v>6507</v>
      </c>
      <c r="H375">
        <v>0</v>
      </c>
      <c r="I375">
        <v>1</v>
      </c>
      <c r="J375">
        <v>0</v>
      </c>
      <c r="K375">
        <v>0</v>
      </c>
      <c r="L375" t="s">
        <v>89</v>
      </c>
      <c r="M375" t="s">
        <v>57</v>
      </c>
      <c r="N375" t="s">
        <v>55</v>
      </c>
      <c r="O375" t="s">
        <v>67</v>
      </c>
      <c r="P375" t="s">
        <v>46</v>
      </c>
      <c r="Q375" t="s">
        <v>44</v>
      </c>
      <c r="R375">
        <v>0</v>
      </c>
      <c r="S375">
        <v>1</v>
      </c>
      <c r="T375">
        <v>1</v>
      </c>
      <c r="U375">
        <v>1</v>
      </c>
      <c r="V375">
        <v>0</v>
      </c>
      <c r="W375">
        <v>0</v>
      </c>
      <c r="X375">
        <v>1</v>
      </c>
      <c r="Y375">
        <v>0</v>
      </c>
      <c r="Z375">
        <v>0</v>
      </c>
      <c r="AA375">
        <v>1</v>
      </c>
      <c r="AB375">
        <v>0</v>
      </c>
      <c r="AC375">
        <v>0</v>
      </c>
      <c r="AD375">
        <v>0</v>
      </c>
      <c r="AE375">
        <v>0</v>
      </c>
    </row>
    <row r="376" spans="1:31" x14ac:dyDescent="0.2">
      <c r="A376" t="s">
        <v>182</v>
      </c>
      <c r="B376" t="s">
        <v>32</v>
      </c>
      <c r="C376">
        <v>30</v>
      </c>
      <c r="D376" t="s">
        <v>78</v>
      </c>
      <c r="E376" t="s">
        <v>52</v>
      </c>
      <c r="F376" t="s">
        <v>74</v>
      </c>
      <c r="G376">
        <v>35048</v>
      </c>
      <c r="H376">
        <v>1</v>
      </c>
      <c r="I376">
        <v>0</v>
      </c>
      <c r="J376">
        <v>0</v>
      </c>
      <c r="K376">
        <v>0</v>
      </c>
      <c r="L376" t="s">
        <v>35</v>
      </c>
      <c r="M376" t="s">
        <v>35</v>
      </c>
      <c r="N376" t="s">
        <v>35</v>
      </c>
      <c r="O376" t="s">
        <v>35</v>
      </c>
      <c r="P376" t="s">
        <v>35</v>
      </c>
      <c r="Q376" t="s">
        <v>35</v>
      </c>
      <c r="R376" t="s">
        <v>35</v>
      </c>
      <c r="S376">
        <v>1</v>
      </c>
      <c r="T376">
        <v>1</v>
      </c>
      <c r="U376">
        <v>1</v>
      </c>
      <c r="V376">
        <v>0</v>
      </c>
      <c r="W376">
        <v>0</v>
      </c>
      <c r="X376">
        <v>1</v>
      </c>
      <c r="Y376">
        <v>0</v>
      </c>
      <c r="Z376">
        <v>0</v>
      </c>
      <c r="AA376">
        <v>1</v>
      </c>
      <c r="AB376">
        <v>0</v>
      </c>
      <c r="AC376">
        <v>0</v>
      </c>
      <c r="AD376">
        <v>0</v>
      </c>
      <c r="AE376">
        <v>0</v>
      </c>
    </row>
    <row r="377" spans="1:31" x14ac:dyDescent="0.2">
      <c r="A377" t="s">
        <v>182</v>
      </c>
      <c r="B377" t="s">
        <v>32</v>
      </c>
      <c r="C377">
        <v>30</v>
      </c>
      <c r="D377" t="s">
        <v>78</v>
      </c>
      <c r="E377" t="s">
        <v>39</v>
      </c>
      <c r="F377" t="s">
        <v>47</v>
      </c>
      <c r="G377">
        <v>43147</v>
      </c>
      <c r="H377">
        <v>0</v>
      </c>
      <c r="I377">
        <v>1</v>
      </c>
      <c r="J377">
        <v>0</v>
      </c>
      <c r="K377">
        <v>0</v>
      </c>
      <c r="L377" t="s">
        <v>49</v>
      </c>
      <c r="M377" t="s">
        <v>48</v>
      </c>
      <c r="N377" t="s">
        <v>80</v>
      </c>
      <c r="O377" t="s">
        <v>44</v>
      </c>
      <c r="P377" t="s">
        <v>46</v>
      </c>
      <c r="Q377" t="s">
        <v>67</v>
      </c>
      <c r="R377">
        <v>0</v>
      </c>
      <c r="S377">
        <v>1</v>
      </c>
      <c r="T377">
        <v>1</v>
      </c>
      <c r="U377">
        <v>1</v>
      </c>
      <c r="V377">
        <v>0</v>
      </c>
      <c r="W377">
        <v>0</v>
      </c>
      <c r="X377">
        <v>1</v>
      </c>
      <c r="Y377">
        <v>0</v>
      </c>
      <c r="Z377">
        <v>0</v>
      </c>
      <c r="AA377">
        <v>1</v>
      </c>
      <c r="AB377">
        <v>0</v>
      </c>
      <c r="AC377">
        <v>0</v>
      </c>
      <c r="AD377">
        <v>0</v>
      </c>
      <c r="AE377">
        <v>0</v>
      </c>
    </row>
    <row r="378" spans="1:31" x14ac:dyDescent="0.2">
      <c r="A378" t="s">
        <v>182</v>
      </c>
      <c r="B378" t="s">
        <v>32</v>
      </c>
      <c r="C378">
        <v>30</v>
      </c>
      <c r="D378" t="s">
        <v>78</v>
      </c>
      <c r="E378" t="s">
        <v>52</v>
      </c>
      <c r="F378" t="s">
        <v>69</v>
      </c>
      <c r="G378">
        <v>5621</v>
      </c>
      <c r="H378">
        <v>0</v>
      </c>
      <c r="I378">
        <v>1</v>
      </c>
      <c r="J378">
        <v>0</v>
      </c>
      <c r="K378">
        <v>0</v>
      </c>
      <c r="L378" t="s">
        <v>35</v>
      </c>
      <c r="M378" t="s">
        <v>35</v>
      </c>
      <c r="N378" t="s">
        <v>35</v>
      </c>
      <c r="O378" t="s">
        <v>35</v>
      </c>
      <c r="P378" t="s">
        <v>35</v>
      </c>
      <c r="Q378" t="s">
        <v>35</v>
      </c>
      <c r="R378" t="s">
        <v>35</v>
      </c>
      <c r="S378">
        <v>1</v>
      </c>
      <c r="T378">
        <v>1</v>
      </c>
      <c r="U378">
        <v>1</v>
      </c>
      <c r="V378">
        <v>0</v>
      </c>
      <c r="W378">
        <v>0</v>
      </c>
      <c r="X378">
        <v>1</v>
      </c>
      <c r="Y378">
        <v>0</v>
      </c>
      <c r="Z378">
        <v>0</v>
      </c>
      <c r="AA378">
        <v>1</v>
      </c>
      <c r="AB378">
        <v>0</v>
      </c>
      <c r="AC378">
        <v>0</v>
      </c>
      <c r="AD378">
        <v>0</v>
      </c>
      <c r="AE378">
        <v>0</v>
      </c>
    </row>
    <row r="379" spans="1:31" x14ac:dyDescent="0.2">
      <c r="A379" t="s">
        <v>182</v>
      </c>
      <c r="B379" t="s">
        <v>32</v>
      </c>
      <c r="C379">
        <v>30</v>
      </c>
      <c r="D379" t="s">
        <v>78</v>
      </c>
      <c r="E379" t="s">
        <v>75</v>
      </c>
      <c r="F379" t="s">
        <v>35</v>
      </c>
      <c r="G379">
        <v>50556</v>
      </c>
      <c r="I379" t="s">
        <v>183</v>
      </c>
      <c r="J379" t="s">
        <v>184</v>
      </c>
      <c r="K379" t="s">
        <v>35</v>
      </c>
      <c r="L379" t="s">
        <v>35</v>
      </c>
      <c r="M379" t="s">
        <v>35</v>
      </c>
      <c r="N379" t="s">
        <v>35</v>
      </c>
      <c r="O379" t="s">
        <v>35</v>
      </c>
      <c r="P379" t="s">
        <v>35</v>
      </c>
      <c r="Q379" t="s">
        <v>35</v>
      </c>
      <c r="R379" t="s">
        <v>35</v>
      </c>
      <c r="S379" t="s">
        <v>35</v>
      </c>
      <c r="T379" t="s">
        <v>35</v>
      </c>
      <c r="U379" t="s">
        <v>35</v>
      </c>
      <c r="V379" t="s">
        <v>35</v>
      </c>
      <c r="W379" t="s">
        <v>35</v>
      </c>
      <c r="X379" t="s">
        <v>35</v>
      </c>
      <c r="Y379" t="s">
        <v>35</v>
      </c>
      <c r="Z379" t="s">
        <v>35</v>
      </c>
      <c r="AA379" t="s">
        <v>35</v>
      </c>
      <c r="AB379" t="s">
        <v>35</v>
      </c>
      <c r="AC379" t="s">
        <v>35</v>
      </c>
      <c r="AD379" t="s">
        <v>35</v>
      </c>
      <c r="AE379" t="s">
        <v>35</v>
      </c>
    </row>
    <row r="380" spans="1:31" x14ac:dyDescent="0.2">
      <c r="A380" t="s">
        <v>185</v>
      </c>
      <c r="B380" t="s">
        <v>102</v>
      </c>
      <c r="C380">
        <v>32</v>
      </c>
      <c r="D380" t="s">
        <v>78</v>
      </c>
      <c r="E380" t="s">
        <v>34</v>
      </c>
      <c r="F380" t="s">
        <v>35</v>
      </c>
      <c r="G380">
        <v>49069</v>
      </c>
      <c r="H380" t="s">
        <v>35</v>
      </c>
      <c r="I380" t="s">
        <v>35</v>
      </c>
      <c r="J380" t="s">
        <v>35</v>
      </c>
      <c r="K380" t="s">
        <v>35</v>
      </c>
      <c r="L380" t="s">
        <v>35</v>
      </c>
      <c r="M380" t="s">
        <v>35</v>
      </c>
      <c r="N380" t="s">
        <v>35</v>
      </c>
      <c r="O380" t="s">
        <v>35</v>
      </c>
      <c r="P380" t="s">
        <v>35</v>
      </c>
      <c r="Q380" t="s">
        <v>35</v>
      </c>
      <c r="R380" t="s">
        <v>35</v>
      </c>
      <c r="S380" t="s">
        <v>35</v>
      </c>
      <c r="T380" t="s">
        <v>35</v>
      </c>
      <c r="U380" t="s">
        <v>35</v>
      </c>
      <c r="V380" t="s">
        <v>35</v>
      </c>
      <c r="W380" t="s">
        <v>35</v>
      </c>
      <c r="X380" t="s">
        <v>35</v>
      </c>
      <c r="Y380" t="s">
        <v>35</v>
      </c>
      <c r="Z380" t="s">
        <v>35</v>
      </c>
      <c r="AA380" t="s">
        <v>35</v>
      </c>
      <c r="AB380" t="s">
        <v>35</v>
      </c>
      <c r="AC380" t="s">
        <v>35</v>
      </c>
      <c r="AD380" t="s">
        <v>35</v>
      </c>
      <c r="AE380" t="s">
        <v>35</v>
      </c>
    </row>
    <row r="381" spans="1:31" x14ac:dyDescent="0.2">
      <c r="A381" t="s">
        <v>185</v>
      </c>
      <c r="B381" t="s">
        <v>102</v>
      </c>
      <c r="C381">
        <v>32</v>
      </c>
      <c r="D381" t="s">
        <v>78</v>
      </c>
      <c r="E381" t="s">
        <v>36</v>
      </c>
      <c r="F381" t="s">
        <v>38</v>
      </c>
      <c r="G381">
        <v>31463</v>
      </c>
      <c r="H381">
        <v>0</v>
      </c>
      <c r="I381">
        <v>0</v>
      </c>
      <c r="J381">
        <v>0</v>
      </c>
      <c r="K381">
        <v>1</v>
      </c>
      <c r="L381" t="s">
        <v>35</v>
      </c>
      <c r="M381" t="s">
        <v>35</v>
      </c>
      <c r="N381" t="s">
        <v>35</v>
      </c>
      <c r="O381" t="s">
        <v>35</v>
      </c>
      <c r="P381" t="s">
        <v>35</v>
      </c>
      <c r="Q381" t="s">
        <v>35</v>
      </c>
      <c r="R381" t="s">
        <v>35</v>
      </c>
      <c r="S381" t="s">
        <v>35</v>
      </c>
      <c r="T381" t="s">
        <v>35</v>
      </c>
      <c r="U381" t="s">
        <v>35</v>
      </c>
      <c r="V381" t="s">
        <v>35</v>
      </c>
      <c r="W381" t="s">
        <v>35</v>
      </c>
      <c r="X381" t="s">
        <v>35</v>
      </c>
      <c r="Y381" t="s">
        <v>35</v>
      </c>
      <c r="Z381" t="s">
        <v>35</v>
      </c>
      <c r="AA381" t="s">
        <v>35</v>
      </c>
      <c r="AB381" t="s">
        <v>35</v>
      </c>
      <c r="AC381" t="s">
        <v>35</v>
      </c>
      <c r="AD381" t="s">
        <v>35</v>
      </c>
      <c r="AE381" t="s">
        <v>35</v>
      </c>
    </row>
    <row r="382" spans="1:31" x14ac:dyDescent="0.2">
      <c r="A382" t="s">
        <v>185</v>
      </c>
      <c r="B382" t="s">
        <v>102</v>
      </c>
      <c r="C382">
        <v>32</v>
      </c>
      <c r="D382" t="s">
        <v>78</v>
      </c>
      <c r="E382" t="s">
        <v>36</v>
      </c>
      <c r="F382" t="s">
        <v>37</v>
      </c>
      <c r="G382">
        <v>41507</v>
      </c>
      <c r="H382">
        <v>0</v>
      </c>
      <c r="I382">
        <v>1</v>
      </c>
      <c r="J382">
        <v>1</v>
      </c>
      <c r="K382">
        <v>0</v>
      </c>
      <c r="L382" t="s">
        <v>35</v>
      </c>
      <c r="M382" t="s">
        <v>35</v>
      </c>
      <c r="N382" t="s">
        <v>35</v>
      </c>
      <c r="O382" t="s">
        <v>35</v>
      </c>
      <c r="P382" t="s">
        <v>35</v>
      </c>
      <c r="Q382" t="s">
        <v>35</v>
      </c>
      <c r="R382" t="s">
        <v>35</v>
      </c>
      <c r="S382" t="s">
        <v>35</v>
      </c>
      <c r="T382" t="s">
        <v>35</v>
      </c>
      <c r="U382" t="s">
        <v>35</v>
      </c>
      <c r="V382" t="s">
        <v>35</v>
      </c>
      <c r="W382" t="s">
        <v>35</v>
      </c>
      <c r="X382" t="s">
        <v>35</v>
      </c>
      <c r="Y382" t="s">
        <v>35</v>
      </c>
      <c r="Z382" t="s">
        <v>35</v>
      </c>
      <c r="AA382" t="s">
        <v>35</v>
      </c>
      <c r="AB382" t="s">
        <v>35</v>
      </c>
      <c r="AC382" t="s">
        <v>35</v>
      </c>
      <c r="AD382" t="s">
        <v>35</v>
      </c>
      <c r="AE382" t="s">
        <v>35</v>
      </c>
    </row>
    <row r="383" spans="1:31" x14ac:dyDescent="0.2">
      <c r="A383" t="s">
        <v>185</v>
      </c>
      <c r="B383" t="s">
        <v>102</v>
      </c>
      <c r="C383">
        <v>32</v>
      </c>
      <c r="D383" t="s">
        <v>78</v>
      </c>
      <c r="E383" t="s">
        <v>39</v>
      </c>
      <c r="F383" t="s">
        <v>63</v>
      </c>
      <c r="G383">
        <v>32715</v>
      </c>
      <c r="H383">
        <v>1</v>
      </c>
      <c r="I383">
        <v>0</v>
      </c>
      <c r="J383">
        <v>0</v>
      </c>
      <c r="K383">
        <v>0</v>
      </c>
      <c r="L383" t="s">
        <v>64</v>
      </c>
      <c r="M383" t="s">
        <v>85</v>
      </c>
      <c r="N383" t="s">
        <v>65</v>
      </c>
      <c r="O383" t="s">
        <v>67</v>
      </c>
      <c r="P383" t="s">
        <v>51</v>
      </c>
      <c r="Q383" t="s">
        <v>68</v>
      </c>
      <c r="R383">
        <v>1</v>
      </c>
      <c r="S383">
        <v>0</v>
      </c>
      <c r="T383">
        <v>0</v>
      </c>
      <c r="U383">
        <v>1</v>
      </c>
      <c r="V383">
        <v>0</v>
      </c>
      <c r="W383">
        <v>0</v>
      </c>
      <c r="X383">
        <v>1</v>
      </c>
      <c r="Y383">
        <v>0</v>
      </c>
      <c r="Z383">
        <v>0</v>
      </c>
      <c r="AA383">
        <v>0</v>
      </c>
      <c r="AB383">
        <v>1</v>
      </c>
      <c r="AC383">
        <v>0</v>
      </c>
      <c r="AD383">
        <v>0</v>
      </c>
      <c r="AE383">
        <v>0</v>
      </c>
    </row>
    <row r="384" spans="1:31" x14ac:dyDescent="0.2">
      <c r="A384" t="s">
        <v>185</v>
      </c>
      <c r="B384" t="s">
        <v>102</v>
      </c>
      <c r="C384">
        <v>32</v>
      </c>
      <c r="D384" t="s">
        <v>78</v>
      </c>
      <c r="E384" t="s">
        <v>52</v>
      </c>
      <c r="F384" t="s">
        <v>74</v>
      </c>
      <c r="G384">
        <v>14612</v>
      </c>
      <c r="H384">
        <v>1</v>
      </c>
      <c r="I384">
        <v>0</v>
      </c>
      <c r="J384">
        <v>0</v>
      </c>
      <c r="K384">
        <v>0</v>
      </c>
      <c r="L384" t="s">
        <v>35</v>
      </c>
      <c r="M384" t="s">
        <v>35</v>
      </c>
      <c r="N384" t="s">
        <v>35</v>
      </c>
      <c r="O384" t="s">
        <v>35</v>
      </c>
      <c r="P384" t="s">
        <v>35</v>
      </c>
      <c r="Q384" t="s">
        <v>35</v>
      </c>
      <c r="R384" t="s">
        <v>35</v>
      </c>
      <c r="S384">
        <v>0</v>
      </c>
      <c r="T384">
        <v>0</v>
      </c>
      <c r="U384">
        <v>1</v>
      </c>
      <c r="V384">
        <v>0</v>
      </c>
      <c r="W384">
        <v>0</v>
      </c>
      <c r="X384">
        <v>1</v>
      </c>
      <c r="Y384">
        <v>0</v>
      </c>
      <c r="Z384">
        <v>0</v>
      </c>
      <c r="AA384">
        <v>0</v>
      </c>
      <c r="AB384">
        <v>1</v>
      </c>
      <c r="AC384">
        <v>0</v>
      </c>
      <c r="AD384">
        <v>0</v>
      </c>
      <c r="AE384">
        <v>0</v>
      </c>
    </row>
    <row r="385" spans="1:31" x14ac:dyDescent="0.2">
      <c r="A385" t="s">
        <v>185</v>
      </c>
      <c r="B385" t="s">
        <v>102</v>
      </c>
      <c r="C385">
        <v>32</v>
      </c>
      <c r="D385" t="s">
        <v>78</v>
      </c>
      <c r="E385" t="s">
        <v>39</v>
      </c>
      <c r="F385" t="s">
        <v>70</v>
      </c>
      <c r="G385">
        <v>23381</v>
      </c>
      <c r="H385">
        <v>0</v>
      </c>
      <c r="I385">
        <v>0</v>
      </c>
      <c r="J385">
        <v>0</v>
      </c>
      <c r="K385">
        <v>1</v>
      </c>
      <c r="L385" t="s">
        <v>71</v>
      </c>
      <c r="M385" t="s">
        <v>92</v>
      </c>
      <c r="N385" t="s">
        <v>86</v>
      </c>
      <c r="O385" t="s">
        <v>45</v>
      </c>
      <c r="P385" t="s">
        <v>51</v>
      </c>
      <c r="Q385" t="s">
        <v>46</v>
      </c>
      <c r="R385">
        <v>0</v>
      </c>
      <c r="S385">
        <v>0</v>
      </c>
      <c r="T385">
        <v>1</v>
      </c>
      <c r="U385">
        <v>0</v>
      </c>
      <c r="V385">
        <v>1</v>
      </c>
      <c r="W385">
        <v>0</v>
      </c>
      <c r="X385">
        <v>1</v>
      </c>
      <c r="Y385">
        <v>0</v>
      </c>
      <c r="Z385">
        <v>0</v>
      </c>
      <c r="AA385">
        <v>0</v>
      </c>
      <c r="AB385">
        <v>0</v>
      </c>
      <c r="AC385">
        <v>0</v>
      </c>
      <c r="AD385">
        <v>0</v>
      </c>
      <c r="AE385">
        <v>1</v>
      </c>
    </row>
    <row r="386" spans="1:31" x14ac:dyDescent="0.2">
      <c r="A386" t="s">
        <v>185</v>
      </c>
      <c r="B386" t="s">
        <v>102</v>
      </c>
      <c r="C386">
        <v>32</v>
      </c>
      <c r="D386" t="s">
        <v>78</v>
      </c>
      <c r="E386" t="s">
        <v>39</v>
      </c>
      <c r="F386" t="s">
        <v>40</v>
      </c>
      <c r="G386">
        <v>18212</v>
      </c>
      <c r="H386">
        <v>0</v>
      </c>
      <c r="I386">
        <v>1</v>
      </c>
      <c r="J386">
        <v>0</v>
      </c>
      <c r="K386">
        <v>0</v>
      </c>
      <c r="L386" t="s">
        <v>43</v>
      </c>
      <c r="M386" t="s">
        <v>81</v>
      </c>
      <c r="N386" t="s">
        <v>91</v>
      </c>
      <c r="O386" t="s">
        <v>46</v>
      </c>
      <c r="P386" t="s">
        <v>67</v>
      </c>
      <c r="Q386" t="s">
        <v>51</v>
      </c>
      <c r="R386">
        <v>0</v>
      </c>
      <c r="S386">
        <v>0</v>
      </c>
      <c r="T386">
        <v>1</v>
      </c>
      <c r="U386">
        <v>1</v>
      </c>
      <c r="V386">
        <v>0</v>
      </c>
      <c r="W386">
        <v>0</v>
      </c>
      <c r="X386">
        <v>1</v>
      </c>
      <c r="Y386">
        <v>0</v>
      </c>
      <c r="Z386">
        <v>0</v>
      </c>
      <c r="AA386">
        <v>0</v>
      </c>
      <c r="AB386">
        <v>1</v>
      </c>
      <c r="AC386">
        <v>0</v>
      </c>
      <c r="AD386">
        <v>0</v>
      </c>
      <c r="AE386">
        <v>0</v>
      </c>
    </row>
    <row r="387" spans="1:31" x14ac:dyDescent="0.2">
      <c r="A387" t="s">
        <v>185</v>
      </c>
      <c r="B387" t="s">
        <v>102</v>
      </c>
      <c r="C387">
        <v>32</v>
      </c>
      <c r="D387" t="s">
        <v>78</v>
      </c>
      <c r="E387" t="s">
        <v>52</v>
      </c>
      <c r="F387" t="s">
        <v>53</v>
      </c>
      <c r="G387">
        <v>24937</v>
      </c>
      <c r="H387">
        <v>0</v>
      </c>
      <c r="I387">
        <v>1</v>
      </c>
      <c r="J387">
        <v>0</v>
      </c>
      <c r="K387">
        <v>0</v>
      </c>
      <c r="L387" t="s">
        <v>35</v>
      </c>
      <c r="M387" t="s">
        <v>35</v>
      </c>
      <c r="N387" t="s">
        <v>35</v>
      </c>
      <c r="O387" t="s">
        <v>35</v>
      </c>
      <c r="P387" t="s">
        <v>35</v>
      </c>
      <c r="Q387" t="s">
        <v>35</v>
      </c>
      <c r="R387" t="s">
        <v>35</v>
      </c>
      <c r="S387">
        <v>0</v>
      </c>
      <c r="T387">
        <v>1</v>
      </c>
      <c r="U387">
        <v>1</v>
      </c>
      <c r="V387">
        <v>0</v>
      </c>
      <c r="W387">
        <v>0</v>
      </c>
      <c r="X387">
        <v>1</v>
      </c>
      <c r="Y387">
        <v>0</v>
      </c>
      <c r="Z387">
        <v>0</v>
      </c>
      <c r="AA387">
        <v>0</v>
      </c>
      <c r="AB387">
        <v>1</v>
      </c>
      <c r="AC387">
        <v>0</v>
      </c>
      <c r="AD387">
        <v>0</v>
      </c>
      <c r="AE387">
        <v>0</v>
      </c>
    </row>
    <row r="388" spans="1:31" x14ac:dyDescent="0.2">
      <c r="A388" t="s">
        <v>185</v>
      </c>
      <c r="B388" t="s">
        <v>102</v>
      </c>
      <c r="C388">
        <v>32</v>
      </c>
      <c r="D388" t="s">
        <v>78</v>
      </c>
      <c r="E388" t="s">
        <v>39</v>
      </c>
      <c r="F388" t="s">
        <v>59</v>
      </c>
      <c r="G388">
        <v>38960</v>
      </c>
      <c r="H388">
        <v>0</v>
      </c>
      <c r="I388">
        <v>0</v>
      </c>
      <c r="J388">
        <v>0</v>
      </c>
      <c r="K388">
        <v>1</v>
      </c>
      <c r="L388" t="s">
        <v>83</v>
      </c>
      <c r="M388" t="s">
        <v>62</v>
      </c>
      <c r="N388" t="s">
        <v>61</v>
      </c>
      <c r="O388" t="s">
        <v>51</v>
      </c>
      <c r="P388" t="s">
        <v>45</v>
      </c>
      <c r="Q388" t="s">
        <v>46</v>
      </c>
      <c r="R388">
        <v>0</v>
      </c>
      <c r="S388">
        <v>0</v>
      </c>
      <c r="T388">
        <v>1</v>
      </c>
      <c r="U388">
        <v>0</v>
      </c>
      <c r="V388">
        <v>1</v>
      </c>
      <c r="W388">
        <v>0</v>
      </c>
      <c r="X388">
        <v>1</v>
      </c>
      <c r="Y388">
        <v>0</v>
      </c>
      <c r="Z388">
        <v>0</v>
      </c>
      <c r="AA388">
        <v>0</v>
      </c>
      <c r="AB388">
        <v>0</v>
      </c>
      <c r="AC388">
        <v>0</v>
      </c>
      <c r="AD388">
        <v>0</v>
      </c>
      <c r="AE388">
        <v>1</v>
      </c>
    </row>
    <row r="389" spans="1:31" x14ac:dyDescent="0.2">
      <c r="A389" t="s">
        <v>185</v>
      </c>
      <c r="B389" t="s">
        <v>102</v>
      </c>
      <c r="C389">
        <v>32</v>
      </c>
      <c r="D389" t="s">
        <v>78</v>
      </c>
      <c r="E389" t="s">
        <v>52</v>
      </c>
      <c r="F389" t="s">
        <v>69</v>
      </c>
      <c r="G389">
        <v>38871</v>
      </c>
      <c r="H389">
        <v>0</v>
      </c>
      <c r="I389">
        <v>1</v>
      </c>
      <c r="J389">
        <v>1</v>
      </c>
      <c r="K389">
        <v>0</v>
      </c>
      <c r="L389" t="s">
        <v>35</v>
      </c>
      <c r="M389" t="s">
        <v>35</v>
      </c>
      <c r="N389" t="s">
        <v>35</v>
      </c>
      <c r="O389" t="s">
        <v>35</v>
      </c>
      <c r="P389" t="s">
        <v>35</v>
      </c>
      <c r="Q389" t="s">
        <v>35</v>
      </c>
      <c r="R389" t="s">
        <v>35</v>
      </c>
      <c r="S389">
        <v>0</v>
      </c>
      <c r="T389">
        <v>1</v>
      </c>
      <c r="U389">
        <v>0</v>
      </c>
      <c r="V389">
        <v>1</v>
      </c>
      <c r="W389">
        <v>0</v>
      </c>
      <c r="X389">
        <v>1</v>
      </c>
      <c r="Y389">
        <v>0</v>
      </c>
      <c r="Z389">
        <v>0</v>
      </c>
      <c r="AA389">
        <v>0</v>
      </c>
      <c r="AB389">
        <v>0</v>
      </c>
      <c r="AC389">
        <v>0</v>
      </c>
      <c r="AD389">
        <v>0</v>
      </c>
      <c r="AE389">
        <v>1</v>
      </c>
    </row>
    <row r="390" spans="1:31" x14ac:dyDescent="0.2">
      <c r="A390" t="s">
        <v>185</v>
      </c>
      <c r="B390" t="s">
        <v>102</v>
      </c>
      <c r="C390">
        <v>32</v>
      </c>
      <c r="D390" t="s">
        <v>78</v>
      </c>
      <c r="E390" t="s">
        <v>39</v>
      </c>
      <c r="F390" t="s">
        <v>54</v>
      </c>
      <c r="G390">
        <v>13705</v>
      </c>
      <c r="H390">
        <v>1</v>
      </c>
      <c r="I390">
        <v>0</v>
      </c>
      <c r="J390">
        <v>0</v>
      </c>
      <c r="K390">
        <v>0</v>
      </c>
      <c r="L390" t="s">
        <v>89</v>
      </c>
      <c r="M390" t="s">
        <v>57</v>
      </c>
      <c r="N390" t="s">
        <v>88</v>
      </c>
      <c r="O390" t="s">
        <v>67</v>
      </c>
      <c r="P390" t="s">
        <v>46</v>
      </c>
      <c r="Q390" t="s">
        <v>51</v>
      </c>
      <c r="R390">
        <v>0</v>
      </c>
      <c r="S390">
        <v>0</v>
      </c>
      <c r="T390">
        <v>1</v>
      </c>
      <c r="U390">
        <v>1</v>
      </c>
      <c r="V390">
        <v>0</v>
      </c>
      <c r="W390">
        <v>0</v>
      </c>
      <c r="X390">
        <v>1</v>
      </c>
      <c r="Y390">
        <v>0</v>
      </c>
      <c r="Z390">
        <v>0</v>
      </c>
      <c r="AA390">
        <v>0</v>
      </c>
      <c r="AB390">
        <v>1</v>
      </c>
      <c r="AC390">
        <v>0</v>
      </c>
      <c r="AD390">
        <v>0</v>
      </c>
      <c r="AE390">
        <v>0</v>
      </c>
    </row>
    <row r="391" spans="1:31" x14ac:dyDescent="0.2">
      <c r="A391" t="s">
        <v>185</v>
      </c>
      <c r="B391" t="s">
        <v>102</v>
      </c>
      <c r="C391">
        <v>32</v>
      </c>
      <c r="D391" t="s">
        <v>78</v>
      </c>
      <c r="E391" t="s">
        <v>39</v>
      </c>
      <c r="F391" t="s">
        <v>47</v>
      </c>
      <c r="G391">
        <v>21386</v>
      </c>
      <c r="H391">
        <v>0</v>
      </c>
      <c r="I391">
        <v>0</v>
      </c>
      <c r="J391">
        <v>1</v>
      </c>
      <c r="K391">
        <v>0</v>
      </c>
      <c r="L391" t="s">
        <v>50</v>
      </c>
      <c r="M391" t="s">
        <v>48</v>
      </c>
      <c r="N391" t="s">
        <v>49</v>
      </c>
      <c r="O391" t="s">
        <v>51</v>
      </c>
      <c r="P391" t="s">
        <v>46</v>
      </c>
      <c r="Q391" t="s">
        <v>44</v>
      </c>
      <c r="R391">
        <v>0</v>
      </c>
      <c r="S391">
        <v>1</v>
      </c>
      <c r="T391">
        <v>1</v>
      </c>
      <c r="U391">
        <v>0</v>
      </c>
      <c r="V391">
        <v>0</v>
      </c>
      <c r="W391">
        <v>0</v>
      </c>
      <c r="X391">
        <v>1</v>
      </c>
      <c r="Y391">
        <v>0</v>
      </c>
      <c r="Z391">
        <v>1</v>
      </c>
      <c r="AA391">
        <v>0</v>
      </c>
      <c r="AB391">
        <v>0</v>
      </c>
      <c r="AC391">
        <v>0</v>
      </c>
      <c r="AD391">
        <v>0</v>
      </c>
      <c r="AE391">
        <v>0</v>
      </c>
    </row>
    <row r="392" spans="1:31" x14ac:dyDescent="0.2">
      <c r="A392" t="s">
        <v>185</v>
      </c>
      <c r="B392" t="s">
        <v>102</v>
      </c>
      <c r="C392">
        <v>32</v>
      </c>
      <c r="D392" t="s">
        <v>78</v>
      </c>
      <c r="E392" t="s">
        <v>52</v>
      </c>
      <c r="F392" t="s">
        <v>58</v>
      </c>
      <c r="G392">
        <v>23754</v>
      </c>
      <c r="H392">
        <v>1</v>
      </c>
      <c r="I392">
        <v>1</v>
      </c>
      <c r="J392">
        <v>0</v>
      </c>
      <c r="K392">
        <v>0</v>
      </c>
      <c r="L392" t="s">
        <v>35</v>
      </c>
      <c r="M392" t="s">
        <v>35</v>
      </c>
      <c r="N392" t="s">
        <v>35</v>
      </c>
      <c r="O392" t="s">
        <v>35</v>
      </c>
      <c r="P392" t="s">
        <v>35</v>
      </c>
      <c r="Q392" t="s">
        <v>35</v>
      </c>
      <c r="R392" t="s">
        <v>35</v>
      </c>
      <c r="S392">
        <v>1</v>
      </c>
      <c r="T392">
        <v>1</v>
      </c>
      <c r="U392">
        <v>0</v>
      </c>
      <c r="V392">
        <v>0</v>
      </c>
      <c r="W392">
        <v>0</v>
      </c>
      <c r="X392">
        <v>1</v>
      </c>
      <c r="Y392">
        <v>0</v>
      </c>
      <c r="Z392">
        <v>1</v>
      </c>
      <c r="AA392">
        <v>0</v>
      </c>
      <c r="AB392">
        <v>0</v>
      </c>
      <c r="AC392">
        <v>0</v>
      </c>
      <c r="AD392">
        <v>0</v>
      </c>
      <c r="AE392">
        <v>0</v>
      </c>
    </row>
    <row r="393" spans="1:31" x14ac:dyDescent="0.2">
      <c r="A393" t="s">
        <v>185</v>
      </c>
      <c r="B393" t="s">
        <v>102</v>
      </c>
      <c r="C393">
        <v>32</v>
      </c>
      <c r="D393" t="s">
        <v>78</v>
      </c>
      <c r="E393" t="s">
        <v>75</v>
      </c>
      <c r="F393" t="s">
        <v>35</v>
      </c>
      <c r="G393">
        <v>31803</v>
      </c>
      <c r="H393" t="s">
        <v>186</v>
      </c>
      <c r="I393" t="s">
        <v>187</v>
      </c>
      <c r="J393" t="s">
        <v>188</v>
      </c>
      <c r="K393" t="s">
        <v>35</v>
      </c>
      <c r="L393" t="s">
        <v>35</v>
      </c>
      <c r="M393" t="s">
        <v>35</v>
      </c>
      <c r="N393" t="s">
        <v>35</v>
      </c>
      <c r="O393" t="s">
        <v>35</v>
      </c>
      <c r="P393" t="s">
        <v>35</v>
      </c>
      <c r="Q393" t="s">
        <v>35</v>
      </c>
      <c r="R393" t="s">
        <v>35</v>
      </c>
      <c r="S393" t="s">
        <v>35</v>
      </c>
      <c r="T393" t="s">
        <v>35</v>
      </c>
      <c r="U393" t="s">
        <v>35</v>
      </c>
      <c r="V393" t="s">
        <v>35</v>
      </c>
      <c r="W393" t="s">
        <v>35</v>
      </c>
      <c r="X393" t="s">
        <v>35</v>
      </c>
      <c r="Y393" t="s">
        <v>35</v>
      </c>
      <c r="Z393" t="s">
        <v>35</v>
      </c>
      <c r="AA393" t="s">
        <v>35</v>
      </c>
      <c r="AB393" t="s">
        <v>35</v>
      </c>
      <c r="AC393" t="s">
        <v>35</v>
      </c>
      <c r="AD393" t="s">
        <v>35</v>
      </c>
      <c r="AE393" t="s">
        <v>35</v>
      </c>
    </row>
    <row r="394" spans="1:31" x14ac:dyDescent="0.2">
      <c r="A394" t="s">
        <v>189</v>
      </c>
      <c r="B394" t="s">
        <v>102</v>
      </c>
      <c r="C394">
        <v>22</v>
      </c>
      <c r="D394" t="s">
        <v>33</v>
      </c>
      <c r="E394" t="s">
        <v>34</v>
      </c>
      <c r="F394" t="s">
        <v>35</v>
      </c>
      <c r="G394">
        <v>28659</v>
      </c>
      <c r="H394" t="s">
        <v>35</v>
      </c>
      <c r="I394" t="s">
        <v>35</v>
      </c>
      <c r="J394" t="s">
        <v>35</v>
      </c>
      <c r="K394" t="s">
        <v>35</v>
      </c>
      <c r="L394" t="s">
        <v>35</v>
      </c>
      <c r="M394" t="s">
        <v>35</v>
      </c>
      <c r="N394" t="s">
        <v>35</v>
      </c>
      <c r="O394" t="s">
        <v>35</v>
      </c>
      <c r="P394" t="s">
        <v>35</v>
      </c>
      <c r="Q394" t="s">
        <v>35</v>
      </c>
      <c r="R394" t="s">
        <v>35</v>
      </c>
      <c r="S394" t="s">
        <v>35</v>
      </c>
      <c r="T394" t="s">
        <v>35</v>
      </c>
      <c r="U394" t="s">
        <v>35</v>
      </c>
      <c r="V394" t="s">
        <v>35</v>
      </c>
      <c r="W394" t="s">
        <v>35</v>
      </c>
      <c r="X394" t="s">
        <v>35</v>
      </c>
      <c r="Y394" t="s">
        <v>35</v>
      </c>
      <c r="Z394" t="s">
        <v>35</v>
      </c>
      <c r="AA394" t="s">
        <v>35</v>
      </c>
      <c r="AB394" t="s">
        <v>35</v>
      </c>
      <c r="AC394" t="s">
        <v>35</v>
      </c>
      <c r="AD394" t="s">
        <v>35</v>
      </c>
      <c r="AE394" t="s">
        <v>35</v>
      </c>
    </row>
    <row r="395" spans="1:31" x14ac:dyDescent="0.2">
      <c r="A395" t="s">
        <v>189</v>
      </c>
      <c r="B395" t="s">
        <v>102</v>
      </c>
      <c r="C395">
        <v>22</v>
      </c>
      <c r="D395" t="s">
        <v>33</v>
      </c>
      <c r="E395" t="s">
        <v>36</v>
      </c>
      <c r="F395" t="s">
        <v>38</v>
      </c>
      <c r="G395">
        <v>11261</v>
      </c>
      <c r="H395">
        <v>0</v>
      </c>
      <c r="I395">
        <v>0</v>
      </c>
      <c r="J395">
        <v>0</v>
      </c>
      <c r="K395">
        <v>1</v>
      </c>
      <c r="L395" t="s">
        <v>35</v>
      </c>
      <c r="M395" t="s">
        <v>35</v>
      </c>
      <c r="N395" t="s">
        <v>35</v>
      </c>
      <c r="O395" t="s">
        <v>35</v>
      </c>
      <c r="P395" t="s">
        <v>35</v>
      </c>
      <c r="Q395" t="s">
        <v>35</v>
      </c>
      <c r="R395" t="s">
        <v>35</v>
      </c>
      <c r="S395" t="s">
        <v>35</v>
      </c>
      <c r="T395" t="s">
        <v>35</v>
      </c>
      <c r="U395" t="s">
        <v>35</v>
      </c>
      <c r="V395" t="s">
        <v>35</v>
      </c>
      <c r="W395" t="s">
        <v>35</v>
      </c>
      <c r="X395" t="s">
        <v>35</v>
      </c>
      <c r="Y395" t="s">
        <v>35</v>
      </c>
      <c r="Z395" t="s">
        <v>35</v>
      </c>
      <c r="AA395" t="s">
        <v>35</v>
      </c>
      <c r="AB395" t="s">
        <v>35</v>
      </c>
      <c r="AC395" t="s">
        <v>35</v>
      </c>
      <c r="AD395" t="s">
        <v>35</v>
      </c>
      <c r="AE395" t="s">
        <v>35</v>
      </c>
    </row>
    <row r="396" spans="1:31" x14ac:dyDescent="0.2">
      <c r="A396" t="s">
        <v>189</v>
      </c>
      <c r="B396" t="s">
        <v>102</v>
      </c>
      <c r="C396">
        <v>22</v>
      </c>
      <c r="D396" t="s">
        <v>33</v>
      </c>
      <c r="E396" t="s">
        <v>36</v>
      </c>
      <c r="F396" t="s">
        <v>37</v>
      </c>
      <c r="G396">
        <v>19182</v>
      </c>
      <c r="H396">
        <v>0</v>
      </c>
      <c r="I396">
        <v>0</v>
      </c>
      <c r="J396">
        <v>1</v>
      </c>
      <c r="K396">
        <v>0</v>
      </c>
      <c r="L396" t="s">
        <v>35</v>
      </c>
      <c r="M396" t="s">
        <v>35</v>
      </c>
      <c r="N396" t="s">
        <v>35</v>
      </c>
      <c r="O396" t="s">
        <v>35</v>
      </c>
      <c r="P396" t="s">
        <v>35</v>
      </c>
      <c r="Q396" t="s">
        <v>35</v>
      </c>
      <c r="R396" t="s">
        <v>35</v>
      </c>
      <c r="S396" t="s">
        <v>35</v>
      </c>
      <c r="T396" t="s">
        <v>35</v>
      </c>
      <c r="U396" t="s">
        <v>35</v>
      </c>
      <c r="V396" t="s">
        <v>35</v>
      </c>
      <c r="W396" t="s">
        <v>35</v>
      </c>
      <c r="X396" t="s">
        <v>35</v>
      </c>
      <c r="Y396" t="s">
        <v>35</v>
      </c>
      <c r="Z396" t="s">
        <v>35</v>
      </c>
      <c r="AA396" t="s">
        <v>35</v>
      </c>
      <c r="AB396" t="s">
        <v>35</v>
      </c>
      <c r="AC396" t="s">
        <v>35</v>
      </c>
      <c r="AD396" t="s">
        <v>35</v>
      </c>
      <c r="AE396" t="s">
        <v>35</v>
      </c>
    </row>
    <row r="397" spans="1:31" x14ac:dyDescent="0.2">
      <c r="A397" t="s">
        <v>189</v>
      </c>
      <c r="B397" t="s">
        <v>102</v>
      </c>
      <c r="C397">
        <v>22</v>
      </c>
      <c r="D397" t="s">
        <v>33</v>
      </c>
      <c r="E397" t="s">
        <v>39</v>
      </c>
      <c r="F397" t="s">
        <v>59</v>
      </c>
      <c r="G397">
        <v>17095</v>
      </c>
      <c r="H397">
        <v>0</v>
      </c>
      <c r="I397">
        <v>0</v>
      </c>
      <c r="J397">
        <v>1</v>
      </c>
      <c r="K397">
        <v>0</v>
      </c>
      <c r="L397" t="s">
        <v>62</v>
      </c>
      <c r="M397" t="s">
        <v>83</v>
      </c>
      <c r="N397" t="s">
        <v>60</v>
      </c>
      <c r="O397" t="s">
        <v>45</v>
      </c>
      <c r="P397" t="s">
        <v>51</v>
      </c>
      <c r="Q397" t="s">
        <v>44</v>
      </c>
      <c r="R397">
        <v>0</v>
      </c>
      <c r="S397">
        <v>1</v>
      </c>
      <c r="T397">
        <v>0</v>
      </c>
      <c r="U397">
        <v>0</v>
      </c>
      <c r="V397">
        <v>1</v>
      </c>
      <c r="W397">
        <v>0</v>
      </c>
      <c r="X397">
        <v>1</v>
      </c>
      <c r="Y397">
        <v>0</v>
      </c>
      <c r="Z397">
        <v>1</v>
      </c>
      <c r="AA397">
        <v>0</v>
      </c>
      <c r="AB397">
        <v>0</v>
      </c>
      <c r="AC397">
        <v>0</v>
      </c>
      <c r="AD397">
        <v>0</v>
      </c>
      <c r="AE397">
        <v>0</v>
      </c>
    </row>
    <row r="398" spans="1:31" x14ac:dyDescent="0.2">
      <c r="A398" t="s">
        <v>189</v>
      </c>
      <c r="B398" t="s">
        <v>102</v>
      </c>
      <c r="C398">
        <v>22</v>
      </c>
      <c r="D398" t="s">
        <v>33</v>
      </c>
      <c r="E398" t="s">
        <v>52</v>
      </c>
      <c r="F398" t="s">
        <v>69</v>
      </c>
      <c r="G398">
        <v>7755</v>
      </c>
      <c r="H398">
        <v>0</v>
      </c>
      <c r="I398">
        <v>0</v>
      </c>
      <c r="J398">
        <v>1</v>
      </c>
      <c r="K398">
        <v>0</v>
      </c>
      <c r="L398" t="s">
        <v>35</v>
      </c>
      <c r="M398" t="s">
        <v>35</v>
      </c>
      <c r="N398" t="s">
        <v>35</v>
      </c>
      <c r="O398" t="s">
        <v>35</v>
      </c>
      <c r="P398" t="s">
        <v>35</v>
      </c>
      <c r="Q398" t="s">
        <v>35</v>
      </c>
      <c r="R398" t="s">
        <v>35</v>
      </c>
      <c r="S398">
        <v>1</v>
      </c>
      <c r="T398">
        <v>0</v>
      </c>
      <c r="U398">
        <v>0</v>
      </c>
      <c r="V398">
        <v>1</v>
      </c>
      <c r="W398">
        <v>0</v>
      </c>
      <c r="X398">
        <v>1</v>
      </c>
      <c r="Y398">
        <v>0</v>
      </c>
      <c r="Z398">
        <v>1</v>
      </c>
      <c r="AA398">
        <v>0</v>
      </c>
      <c r="AB398">
        <v>0</v>
      </c>
      <c r="AC398">
        <v>0</v>
      </c>
      <c r="AD398">
        <v>0</v>
      </c>
      <c r="AE398">
        <v>0</v>
      </c>
    </row>
    <row r="399" spans="1:31" x14ac:dyDescent="0.2">
      <c r="A399" t="s">
        <v>189</v>
      </c>
      <c r="B399" t="s">
        <v>102</v>
      </c>
      <c r="C399">
        <v>22</v>
      </c>
      <c r="D399" t="s">
        <v>33</v>
      </c>
      <c r="E399" t="s">
        <v>39</v>
      </c>
      <c r="F399" t="s">
        <v>40</v>
      </c>
      <c r="G399">
        <v>8261</v>
      </c>
      <c r="H399">
        <v>1</v>
      </c>
      <c r="I399">
        <v>1</v>
      </c>
      <c r="J399">
        <v>1</v>
      </c>
      <c r="K399">
        <v>0</v>
      </c>
      <c r="L399" t="s">
        <v>43</v>
      </c>
      <c r="M399" t="s">
        <v>42</v>
      </c>
      <c r="N399" t="s">
        <v>81</v>
      </c>
      <c r="O399" t="s">
        <v>46</v>
      </c>
      <c r="P399" t="s">
        <v>45</v>
      </c>
      <c r="Q399" t="s">
        <v>67</v>
      </c>
      <c r="R399">
        <v>0</v>
      </c>
      <c r="S399">
        <v>0</v>
      </c>
      <c r="T399">
        <v>1</v>
      </c>
      <c r="U399">
        <v>1</v>
      </c>
      <c r="V399">
        <v>1</v>
      </c>
      <c r="W399">
        <v>0</v>
      </c>
      <c r="X399">
        <v>1</v>
      </c>
      <c r="Y399">
        <v>0</v>
      </c>
      <c r="Z399">
        <v>0</v>
      </c>
      <c r="AA399">
        <v>1</v>
      </c>
      <c r="AB399">
        <v>1</v>
      </c>
      <c r="AC399">
        <v>1</v>
      </c>
      <c r="AD399">
        <v>0</v>
      </c>
      <c r="AE399">
        <v>0</v>
      </c>
    </row>
    <row r="400" spans="1:31" x14ac:dyDescent="0.2">
      <c r="A400" t="s">
        <v>189</v>
      </c>
      <c r="B400" t="s">
        <v>102</v>
      </c>
      <c r="C400">
        <v>22</v>
      </c>
      <c r="D400" t="s">
        <v>33</v>
      </c>
      <c r="E400" t="s">
        <v>39</v>
      </c>
      <c r="F400" t="s">
        <v>70</v>
      </c>
      <c r="G400">
        <v>2349</v>
      </c>
      <c r="H400">
        <v>0</v>
      </c>
      <c r="I400">
        <v>1</v>
      </c>
      <c r="J400">
        <v>0</v>
      </c>
      <c r="K400">
        <v>0</v>
      </c>
      <c r="L400" t="s">
        <v>86</v>
      </c>
      <c r="M400" t="s">
        <v>73</v>
      </c>
      <c r="N400" t="s">
        <v>93</v>
      </c>
      <c r="O400" t="s">
        <v>46</v>
      </c>
      <c r="P400" t="s">
        <v>44</v>
      </c>
      <c r="Q400" t="s">
        <v>68</v>
      </c>
      <c r="R400">
        <v>1</v>
      </c>
      <c r="S400">
        <v>1</v>
      </c>
      <c r="T400">
        <v>1</v>
      </c>
      <c r="U400">
        <v>0</v>
      </c>
      <c r="V400">
        <v>0</v>
      </c>
      <c r="W400">
        <v>0</v>
      </c>
      <c r="X400">
        <v>1</v>
      </c>
      <c r="Y400">
        <v>0</v>
      </c>
      <c r="Z400">
        <v>1</v>
      </c>
      <c r="AA400">
        <v>0</v>
      </c>
      <c r="AB400">
        <v>0</v>
      </c>
      <c r="AC400">
        <v>0</v>
      </c>
      <c r="AD400">
        <v>0</v>
      </c>
      <c r="AE400">
        <v>0</v>
      </c>
    </row>
    <row r="401" spans="1:31" x14ac:dyDescent="0.2">
      <c r="A401" t="s">
        <v>189</v>
      </c>
      <c r="B401" t="s">
        <v>102</v>
      </c>
      <c r="C401">
        <v>22</v>
      </c>
      <c r="D401" t="s">
        <v>33</v>
      </c>
      <c r="E401" t="s">
        <v>52</v>
      </c>
      <c r="F401" t="s">
        <v>74</v>
      </c>
      <c r="G401">
        <v>5874</v>
      </c>
      <c r="H401">
        <v>1</v>
      </c>
      <c r="I401">
        <v>1</v>
      </c>
      <c r="J401">
        <v>1</v>
      </c>
      <c r="K401">
        <v>0</v>
      </c>
      <c r="L401" t="s">
        <v>35</v>
      </c>
      <c r="M401" t="s">
        <v>35</v>
      </c>
      <c r="N401" t="s">
        <v>35</v>
      </c>
      <c r="O401" t="s">
        <v>35</v>
      </c>
      <c r="P401" t="s">
        <v>35</v>
      </c>
      <c r="Q401" t="s">
        <v>35</v>
      </c>
      <c r="R401" t="s">
        <v>35</v>
      </c>
      <c r="S401">
        <v>1</v>
      </c>
      <c r="T401">
        <v>1</v>
      </c>
      <c r="U401">
        <v>0</v>
      </c>
      <c r="V401">
        <v>0</v>
      </c>
      <c r="W401">
        <v>0</v>
      </c>
      <c r="X401">
        <v>1</v>
      </c>
      <c r="Y401">
        <v>0</v>
      </c>
      <c r="Z401">
        <v>1</v>
      </c>
      <c r="AA401">
        <v>0</v>
      </c>
      <c r="AB401">
        <v>0</v>
      </c>
      <c r="AC401">
        <v>0</v>
      </c>
      <c r="AD401">
        <v>0</v>
      </c>
      <c r="AE401">
        <v>0</v>
      </c>
    </row>
    <row r="402" spans="1:31" x14ac:dyDescent="0.2">
      <c r="A402" t="s">
        <v>189</v>
      </c>
      <c r="B402" t="s">
        <v>102</v>
      </c>
      <c r="C402">
        <v>22</v>
      </c>
      <c r="D402" t="s">
        <v>33</v>
      </c>
      <c r="E402" t="s">
        <v>39</v>
      </c>
      <c r="F402" t="s">
        <v>63</v>
      </c>
      <c r="G402">
        <v>6006</v>
      </c>
      <c r="H402">
        <v>1</v>
      </c>
      <c r="I402">
        <v>1</v>
      </c>
      <c r="J402">
        <v>1</v>
      </c>
      <c r="K402">
        <v>0</v>
      </c>
      <c r="L402" t="s">
        <v>65</v>
      </c>
      <c r="M402" t="s">
        <v>66</v>
      </c>
      <c r="N402" t="s">
        <v>90</v>
      </c>
      <c r="O402" t="s">
        <v>68</v>
      </c>
      <c r="P402" t="s">
        <v>45</v>
      </c>
      <c r="Q402" t="s">
        <v>44</v>
      </c>
      <c r="R402">
        <v>1</v>
      </c>
      <c r="S402">
        <v>1</v>
      </c>
      <c r="T402">
        <v>0</v>
      </c>
      <c r="U402">
        <v>0</v>
      </c>
      <c r="V402">
        <v>1</v>
      </c>
      <c r="W402">
        <v>0</v>
      </c>
      <c r="X402">
        <v>1</v>
      </c>
      <c r="Y402">
        <v>1</v>
      </c>
      <c r="Z402">
        <v>1</v>
      </c>
      <c r="AA402">
        <v>0</v>
      </c>
      <c r="AB402">
        <v>0</v>
      </c>
      <c r="AC402">
        <v>1</v>
      </c>
      <c r="AD402">
        <v>0</v>
      </c>
      <c r="AE402">
        <v>0</v>
      </c>
    </row>
    <row r="403" spans="1:31" x14ac:dyDescent="0.2">
      <c r="A403" t="s">
        <v>189</v>
      </c>
      <c r="B403" t="s">
        <v>102</v>
      </c>
      <c r="C403">
        <v>22</v>
      </c>
      <c r="D403" t="s">
        <v>33</v>
      </c>
      <c r="E403" t="s">
        <v>52</v>
      </c>
      <c r="F403" t="s">
        <v>58</v>
      </c>
      <c r="G403">
        <v>62657</v>
      </c>
      <c r="H403">
        <v>1</v>
      </c>
      <c r="I403">
        <v>1</v>
      </c>
      <c r="J403">
        <v>0</v>
      </c>
      <c r="K403">
        <v>0</v>
      </c>
      <c r="L403" t="s">
        <v>35</v>
      </c>
      <c r="M403" t="s">
        <v>35</v>
      </c>
      <c r="N403" t="s">
        <v>35</v>
      </c>
      <c r="O403" t="s">
        <v>35</v>
      </c>
      <c r="P403" t="s">
        <v>35</v>
      </c>
      <c r="Q403" t="s">
        <v>35</v>
      </c>
      <c r="R403" t="s">
        <v>35</v>
      </c>
      <c r="S403">
        <v>1</v>
      </c>
      <c r="T403">
        <v>0</v>
      </c>
      <c r="U403">
        <v>0</v>
      </c>
      <c r="V403">
        <v>1</v>
      </c>
      <c r="W403">
        <v>0</v>
      </c>
      <c r="X403">
        <v>1</v>
      </c>
      <c r="Y403">
        <v>1</v>
      </c>
      <c r="Z403">
        <v>1</v>
      </c>
      <c r="AA403">
        <v>0</v>
      </c>
      <c r="AB403">
        <v>0</v>
      </c>
      <c r="AC403">
        <v>1</v>
      </c>
      <c r="AD403">
        <v>0</v>
      </c>
      <c r="AE403">
        <v>0</v>
      </c>
    </row>
    <row r="404" spans="1:31" x14ac:dyDescent="0.2">
      <c r="A404" t="s">
        <v>189</v>
      </c>
      <c r="B404" t="s">
        <v>102</v>
      </c>
      <c r="C404">
        <v>22</v>
      </c>
      <c r="D404" t="s">
        <v>33</v>
      </c>
      <c r="E404" t="s">
        <v>39</v>
      </c>
      <c r="F404" t="s">
        <v>54</v>
      </c>
      <c r="G404">
        <v>39362</v>
      </c>
      <c r="H404">
        <v>1</v>
      </c>
      <c r="I404">
        <v>1</v>
      </c>
      <c r="J404">
        <v>1</v>
      </c>
      <c r="K404">
        <v>0</v>
      </c>
      <c r="L404" t="s">
        <v>89</v>
      </c>
      <c r="M404" t="s">
        <v>57</v>
      </c>
      <c r="N404" t="s">
        <v>55</v>
      </c>
      <c r="O404" t="s">
        <v>67</v>
      </c>
      <c r="P404" t="s">
        <v>46</v>
      </c>
      <c r="Q404" t="s">
        <v>44</v>
      </c>
      <c r="R404">
        <v>0</v>
      </c>
      <c r="S404">
        <v>1</v>
      </c>
      <c r="T404">
        <v>1</v>
      </c>
      <c r="U404">
        <v>1</v>
      </c>
      <c r="V404">
        <v>0</v>
      </c>
      <c r="W404">
        <v>0</v>
      </c>
      <c r="X404">
        <v>1</v>
      </c>
      <c r="Y404">
        <v>0</v>
      </c>
      <c r="Z404">
        <v>1</v>
      </c>
      <c r="AA404">
        <v>1</v>
      </c>
      <c r="AB404">
        <v>1</v>
      </c>
      <c r="AC404">
        <v>0</v>
      </c>
      <c r="AD404">
        <v>0</v>
      </c>
      <c r="AE404">
        <v>0</v>
      </c>
    </row>
    <row r="405" spans="1:31" x14ac:dyDescent="0.2">
      <c r="A405" t="s">
        <v>189</v>
      </c>
      <c r="B405" t="s">
        <v>102</v>
      </c>
      <c r="C405">
        <v>22</v>
      </c>
      <c r="D405" t="s">
        <v>33</v>
      </c>
      <c r="E405" t="s">
        <v>39</v>
      </c>
      <c r="F405" t="s">
        <v>47</v>
      </c>
      <c r="G405">
        <v>4774</v>
      </c>
      <c r="H405">
        <v>1</v>
      </c>
      <c r="I405">
        <v>1</v>
      </c>
      <c r="J405">
        <v>1</v>
      </c>
      <c r="K405">
        <v>0</v>
      </c>
      <c r="L405" t="s">
        <v>95</v>
      </c>
      <c r="M405" t="s">
        <v>48</v>
      </c>
      <c r="N405" t="s">
        <v>79</v>
      </c>
      <c r="O405" t="s">
        <v>68</v>
      </c>
      <c r="P405" t="s">
        <v>46</v>
      </c>
      <c r="Q405" t="s">
        <v>45</v>
      </c>
      <c r="R405">
        <v>1</v>
      </c>
      <c r="S405">
        <v>0</v>
      </c>
      <c r="T405">
        <v>1</v>
      </c>
      <c r="U405">
        <v>0</v>
      </c>
      <c r="V405">
        <v>1</v>
      </c>
      <c r="W405">
        <v>0</v>
      </c>
      <c r="X405">
        <v>1</v>
      </c>
      <c r="Y405">
        <v>1</v>
      </c>
      <c r="Z405">
        <v>0</v>
      </c>
      <c r="AA405">
        <v>1</v>
      </c>
      <c r="AB405">
        <v>0</v>
      </c>
      <c r="AC405">
        <v>1</v>
      </c>
      <c r="AD405">
        <v>0</v>
      </c>
      <c r="AE405">
        <v>0</v>
      </c>
    </row>
    <row r="406" spans="1:31" x14ac:dyDescent="0.2">
      <c r="A406" t="s">
        <v>189</v>
      </c>
      <c r="B406" t="s">
        <v>102</v>
      </c>
      <c r="C406">
        <v>22</v>
      </c>
      <c r="D406" t="s">
        <v>33</v>
      </c>
      <c r="E406" t="s">
        <v>52</v>
      </c>
      <c r="F406" t="s">
        <v>53</v>
      </c>
      <c r="G406">
        <v>121720</v>
      </c>
      <c r="H406">
        <v>0</v>
      </c>
      <c r="I406">
        <v>0</v>
      </c>
      <c r="J406">
        <v>0</v>
      </c>
      <c r="K406">
        <v>1</v>
      </c>
      <c r="L406" t="s">
        <v>35</v>
      </c>
      <c r="M406" t="s">
        <v>35</v>
      </c>
      <c r="N406" t="s">
        <v>35</v>
      </c>
      <c r="O406" t="s">
        <v>35</v>
      </c>
      <c r="P406" t="s">
        <v>35</v>
      </c>
      <c r="Q406" t="s">
        <v>35</v>
      </c>
      <c r="R406" t="s">
        <v>35</v>
      </c>
      <c r="S406">
        <v>0</v>
      </c>
      <c r="T406">
        <v>1</v>
      </c>
      <c r="U406">
        <v>0</v>
      </c>
      <c r="V406">
        <v>1</v>
      </c>
      <c r="W406">
        <v>0</v>
      </c>
      <c r="X406">
        <v>1</v>
      </c>
      <c r="Y406">
        <v>1</v>
      </c>
      <c r="Z406">
        <v>0</v>
      </c>
      <c r="AA406">
        <v>1</v>
      </c>
      <c r="AB406">
        <v>0</v>
      </c>
      <c r="AC406">
        <v>1</v>
      </c>
      <c r="AD406">
        <v>0</v>
      </c>
      <c r="AE406">
        <v>0</v>
      </c>
    </row>
    <row r="407" spans="1:31" x14ac:dyDescent="0.2">
      <c r="A407" t="s">
        <v>189</v>
      </c>
      <c r="B407" t="s">
        <v>102</v>
      </c>
      <c r="C407">
        <v>22</v>
      </c>
      <c r="D407" t="s">
        <v>33</v>
      </c>
      <c r="E407" t="s">
        <v>75</v>
      </c>
      <c r="F407" t="s">
        <v>35</v>
      </c>
      <c r="G407">
        <v>404571</v>
      </c>
      <c r="H407" t="s">
        <v>190</v>
      </c>
      <c r="I407" t="s">
        <v>191</v>
      </c>
      <c r="J407" t="s">
        <v>192</v>
      </c>
      <c r="K407" t="s">
        <v>35</v>
      </c>
      <c r="L407" t="s">
        <v>35</v>
      </c>
      <c r="M407" t="s">
        <v>35</v>
      </c>
      <c r="N407" t="s">
        <v>35</v>
      </c>
      <c r="O407" t="s">
        <v>35</v>
      </c>
      <c r="P407" t="s">
        <v>35</v>
      </c>
      <c r="Q407" t="s">
        <v>35</v>
      </c>
      <c r="R407" t="s">
        <v>35</v>
      </c>
      <c r="S407" t="s">
        <v>35</v>
      </c>
      <c r="T407" t="s">
        <v>35</v>
      </c>
      <c r="U407" t="s">
        <v>35</v>
      </c>
      <c r="V407" t="s">
        <v>35</v>
      </c>
      <c r="W407" t="s">
        <v>35</v>
      </c>
      <c r="X407" t="s">
        <v>35</v>
      </c>
      <c r="Y407" t="s">
        <v>35</v>
      </c>
      <c r="Z407" t="s">
        <v>35</v>
      </c>
      <c r="AA407" t="s">
        <v>35</v>
      </c>
      <c r="AB407" t="s">
        <v>35</v>
      </c>
      <c r="AC407" t="s">
        <v>35</v>
      </c>
      <c r="AD407" t="s">
        <v>35</v>
      </c>
      <c r="AE407" t="s">
        <v>35</v>
      </c>
    </row>
    <row r="408" spans="1:31" x14ac:dyDescent="0.2">
      <c r="A408" t="s">
        <v>193</v>
      </c>
      <c r="B408" t="s">
        <v>102</v>
      </c>
      <c r="C408">
        <v>32</v>
      </c>
      <c r="D408" t="s">
        <v>33</v>
      </c>
      <c r="E408" t="s">
        <v>34</v>
      </c>
      <c r="F408" t="s">
        <v>35</v>
      </c>
      <c r="G408">
        <v>26595</v>
      </c>
      <c r="H408" t="s">
        <v>35</v>
      </c>
      <c r="I408" t="s">
        <v>35</v>
      </c>
      <c r="J408" t="s">
        <v>35</v>
      </c>
      <c r="K408" t="s">
        <v>35</v>
      </c>
      <c r="L408" t="s">
        <v>35</v>
      </c>
      <c r="M408" t="s">
        <v>35</v>
      </c>
      <c r="N408" t="s">
        <v>35</v>
      </c>
      <c r="O408" t="s">
        <v>35</v>
      </c>
      <c r="P408" t="s">
        <v>35</v>
      </c>
      <c r="Q408" t="s">
        <v>35</v>
      </c>
      <c r="R408" t="s">
        <v>35</v>
      </c>
      <c r="S408" t="s">
        <v>35</v>
      </c>
      <c r="T408" t="s">
        <v>35</v>
      </c>
      <c r="U408" t="s">
        <v>35</v>
      </c>
      <c r="V408" t="s">
        <v>35</v>
      </c>
      <c r="W408" t="s">
        <v>35</v>
      </c>
      <c r="X408" t="s">
        <v>35</v>
      </c>
      <c r="Y408" t="s">
        <v>35</v>
      </c>
      <c r="Z408" t="s">
        <v>35</v>
      </c>
      <c r="AA408" t="s">
        <v>35</v>
      </c>
      <c r="AB408" t="s">
        <v>35</v>
      </c>
      <c r="AC408" t="s">
        <v>35</v>
      </c>
      <c r="AD408" t="s">
        <v>35</v>
      </c>
      <c r="AE408" t="s">
        <v>35</v>
      </c>
    </row>
    <row r="409" spans="1:31" x14ac:dyDescent="0.2">
      <c r="A409" t="s">
        <v>193</v>
      </c>
      <c r="B409" t="s">
        <v>102</v>
      </c>
      <c r="C409">
        <v>32</v>
      </c>
      <c r="D409" t="s">
        <v>33</v>
      </c>
      <c r="E409" t="s">
        <v>36</v>
      </c>
      <c r="F409" t="s">
        <v>38</v>
      </c>
      <c r="G409">
        <v>31410</v>
      </c>
      <c r="H409">
        <v>0</v>
      </c>
      <c r="I409">
        <v>0</v>
      </c>
      <c r="J409">
        <v>0</v>
      </c>
      <c r="K409">
        <v>1</v>
      </c>
      <c r="L409" t="s">
        <v>35</v>
      </c>
      <c r="M409" t="s">
        <v>35</v>
      </c>
      <c r="N409" t="s">
        <v>35</v>
      </c>
      <c r="O409" t="s">
        <v>35</v>
      </c>
      <c r="P409" t="s">
        <v>35</v>
      </c>
      <c r="Q409" t="s">
        <v>35</v>
      </c>
      <c r="R409" t="s">
        <v>35</v>
      </c>
      <c r="S409" t="s">
        <v>35</v>
      </c>
      <c r="T409" t="s">
        <v>35</v>
      </c>
      <c r="U409" t="s">
        <v>35</v>
      </c>
      <c r="V409" t="s">
        <v>35</v>
      </c>
      <c r="W409" t="s">
        <v>35</v>
      </c>
      <c r="X409" t="s">
        <v>35</v>
      </c>
      <c r="Y409" t="s">
        <v>35</v>
      </c>
      <c r="Z409" t="s">
        <v>35</v>
      </c>
      <c r="AA409" t="s">
        <v>35</v>
      </c>
      <c r="AB409" t="s">
        <v>35</v>
      </c>
      <c r="AC409" t="s">
        <v>35</v>
      </c>
      <c r="AD409" t="s">
        <v>35</v>
      </c>
      <c r="AE409" t="s">
        <v>35</v>
      </c>
    </row>
    <row r="410" spans="1:31" x14ac:dyDescent="0.2">
      <c r="A410" t="s">
        <v>193</v>
      </c>
      <c r="B410" t="s">
        <v>102</v>
      </c>
      <c r="C410">
        <v>32</v>
      </c>
      <c r="D410" t="s">
        <v>33</v>
      </c>
      <c r="E410" t="s">
        <v>36</v>
      </c>
      <c r="F410" t="s">
        <v>37</v>
      </c>
      <c r="G410">
        <v>46599</v>
      </c>
      <c r="H410">
        <v>0</v>
      </c>
      <c r="I410">
        <v>1</v>
      </c>
      <c r="J410">
        <v>1</v>
      </c>
      <c r="K410">
        <v>0</v>
      </c>
      <c r="L410" t="s">
        <v>35</v>
      </c>
      <c r="M410" t="s">
        <v>35</v>
      </c>
      <c r="N410" t="s">
        <v>35</v>
      </c>
      <c r="O410" t="s">
        <v>35</v>
      </c>
      <c r="P410" t="s">
        <v>35</v>
      </c>
      <c r="Q410" t="s">
        <v>35</v>
      </c>
      <c r="R410" t="s">
        <v>35</v>
      </c>
      <c r="S410" t="s">
        <v>35</v>
      </c>
      <c r="T410" t="s">
        <v>35</v>
      </c>
      <c r="U410" t="s">
        <v>35</v>
      </c>
      <c r="V410" t="s">
        <v>35</v>
      </c>
      <c r="W410" t="s">
        <v>35</v>
      </c>
      <c r="X410" t="s">
        <v>35</v>
      </c>
      <c r="Y410" t="s">
        <v>35</v>
      </c>
      <c r="Z410" t="s">
        <v>35</v>
      </c>
      <c r="AA410" t="s">
        <v>35</v>
      </c>
      <c r="AB410" t="s">
        <v>35</v>
      </c>
      <c r="AC410" t="s">
        <v>35</v>
      </c>
      <c r="AD410" t="s">
        <v>35</v>
      </c>
      <c r="AE410" t="s">
        <v>35</v>
      </c>
    </row>
    <row r="411" spans="1:31" x14ac:dyDescent="0.2">
      <c r="A411" t="s">
        <v>193</v>
      </c>
      <c r="B411" t="s">
        <v>102</v>
      </c>
      <c r="C411">
        <v>32</v>
      </c>
      <c r="D411" t="s">
        <v>33</v>
      </c>
      <c r="E411" t="s">
        <v>39</v>
      </c>
      <c r="F411" t="s">
        <v>47</v>
      </c>
      <c r="G411">
        <v>49793</v>
      </c>
      <c r="H411">
        <v>0</v>
      </c>
      <c r="I411">
        <v>0</v>
      </c>
      <c r="J411">
        <v>0</v>
      </c>
      <c r="K411">
        <v>1</v>
      </c>
      <c r="L411" t="s">
        <v>50</v>
      </c>
      <c r="M411" t="s">
        <v>80</v>
      </c>
      <c r="N411" t="s">
        <v>79</v>
      </c>
      <c r="O411" t="s">
        <v>51</v>
      </c>
      <c r="P411" t="s">
        <v>67</v>
      </c>
      <c r="Q411" t="s">
        <v>45</v>
      </c>
      <c r="R411">
        <v>0</v>
      </c>
      <c r="S411">
        <v>0</v>
      </c>
      <c r="T411">
        <v>0</v>
      </c>
      <c r="U411">
        <v>1</v>
      </c>
      <c r="V411">
        <v>1</v>
      </c>
      <c r="W411">
        <v>0</v>
      </c>
      <c r="X411">
        <v>1</v>
      </c>
      <c r="Y411">
        <v>0</v>
      </c>
      <c r="Z411">
        <v>0</v>
      </c>
      <c r="AA411">
        <v>0</v>
      </c>
      <c r="AB411">
        <v>0</v>
      </c>
      <c r="AC411">
        <v>0</v>
      </c>
      <c r="AD411">
        <v>0</v>
      </c>
      <c r="AE411">
        <v>1</v>
      </c>
    </row>
    <row r="412" spans="1:31" x14ac:dyDescent="0.2">
      <c r="A412" t="s">
        <v>193</v>
      </c>
      <c r="B412" t="s">
        <v>102</v>
      </c>
      <c r="C412">
        <v>32</v>
      </c>
      <c r="D412" t="s">
        <v>33</v>
      </c>
      <c r="E412" t="s">
        <v>39</v>
      </c>
      <c r="F412" t="s">
        <v>70</v>
      </c>
      <c r="G412">
        <v>74737</v>
      </c>
      <c r="H412">
        <v>0</v>
      </c>
      <c r="I412">
        <v>1</v>
      </c>
      <c r="J412">
        <v>1</v>
      </c>
      <c r="K412">
        <v>0</v>
      </c>
      <c r="L412" t="s">
        <v>92</v>
      </c>
      <c r="M412" t="s">
        <v>93</v>
      </c>
      <c r="N412" t="s">
        <v>72</v>
      </c>
      <c r="O412" t="s">
        <v>51</v>
      </c>
      <c r="P412" t="s">
        <v>68</v>
      </c>
      <c r="Q412" t="s">
        <v>67</v>
      </c>
      <c r="R412">
        <v>1</v>
      </c>
      <c r="S412">
        <v>0</v>
      </c>
      <c r="T412">
        <v>0</v>
      </c>
      <c r="U412">
        <v>1</v>
      </c>
      <c r="V412">
        <v>0</v>
      </c>
      <c r="W412">
        <v>0</v>
      </c>
      <c r="X412">
        <v>1</v>
      </c>
      <c r="Y412">
        <v>1</v>
      </c>
      <c r="Z412">
        <v>0</v>
      </c>
      <c r="AA412">
        <v>0</v>
      </c>
      <c r="AB412">
        <v>1</v>
      </c>
      <c r="AC412">
        <v>0</v>
      </c>
      <c r="AD412">
        <v>0</v>
      </c>
      <c r="AE412">
        <v>0</v>
      </c>
    </row>
    <row r="413" spans="1:31" x14ac:dyDescent="0.2">
      <c r="A413" t="s">
        <v>193</v>
      </c>
      <c r="B413" t="s">
        <v>102</v>
      </c>
      <c r="C413">
        <v>32</v>
      </c>
      <c r="D413" t="s">
        <v>33</v>
      </c>
      <c r="E413" t="s">
        <v>52</v>
      </c>
      <c r="F413" t="s">
        <v>58</v>
      </c>
      <c r="G413">
        <v>24781</v>
      </c>
      <c r="H413">
        <v>1</v>
      </c>
      <c r="I413">
        <v>1</v>
      </c>
      <c r="J413">
        <v>0</v>
      </c>
      <c r="K413">
        <v>0</v>
      </c>
      <c r="L413" t="s">
        <v>35</v>
      </c>
      <c r="M413" t="s">
        <v>35</v>
      </c>
      <c r="N413" t="s">
        <v>35</v>
      </c>
      <c r="O413" t="s">
        <v>35</v>
      </c>
      <c r="P413" t="s">
        <v>35</v>
      </c>
      <c r="Q413" t="s">
        <v>35</v>
      </c>
      <c r="R413" t="s">
        <v>35</v>
      </c>
      <c r="S413">
        <v>0</v>
      </c>
      <c r="T413">
        <v>0</v>
      </c>
      <c r="U413">
        <v>1</v>
      </c>
      <c r="V413">
        <v>0</v>
      </c>
      <c r="W413">
        <v>0</v>
      </c>
      <c r="X413">
        <v>1</v>
      </c>
      <c r="Y413">
        <v>1</v>
      </c>
      <c r="Z413">
        <v>0</v>
      </c>
      <c r="AA413">
        <v>0</v>
      </c>
      <c r="AB413">
        <v>1</v>
      </c>
      <c r="AC413">
        <v>0</v>
      </c>
      <c r="AD413">
        <v>0</v>
      </c>
      <c r="AE413">
        <v>0</v>
      </c>
    </row>
    <row r="414" spans="1:31" x14ac:dyDescent="0.2">
      <c r="A414" t="s">
        <v>193</v>
      </c>
      <c r="B414" t="s">
        <v>102</v>
      </c>
      <c r="C414">
        <v>32</v>
      </c>
      <c r="D414" t="s">
        <v>33</v>
      </c>
      <c r="E414" t="s">
        <v>39</v>
      </c>
      <c r="F414" t="s">
        <v>63</v>
      </c>
      <c r="G414">
        <v>33144</v>
      </c>
      <c r="H414">
        <v>1</v>
      </c>
      <c r="I414">
        <v>0</v>
      </c>
      <c r="J414">
        <v>0</v>
      </c>
      <c r="K414">
        <v>0</v>
      </c>
      <c r="L414" t="s">
        <v>90</v>
      </c>
      <c r="M414" t="s">
        <v>66</v>
      </c>
      <c r="N414" t="s">
        <v>85</v>
      </c>
      <c r="O414" t="s">
        <v>44</v>
      </c>
      <c r="P414" t="s">
        <v>45</v>
      </c>
      <c r="Q414" t="s">
        <v>51</v>
      </c>
      <c r="R414">
        <v>0</v>
      </c>
      <c r="S414">
        <v>1</v>
      </c>
      <c r="T414">
        <v>0</v>
      </c>
      <c r="U414">
        <v>0</v>
      </c>
      <c r="V414">
        <v>1</v>
      </c>
      <c r="W414">
        <v>0</v>
      </c>
      <c r="X414">
        <v>1</v>
      </c>
      <c r="Y414">
        <v>0</v>
      </c>
      <c r="Z414">
        <v>1</v>
      </c>
      <c r="AA414">
        <v>0</v>
      </c>
      <c r="AB414">
        <v>0</v>
      </c>
      <c r="AC414">
        <v>0</v>
      </c>
      <c r="AD414">
        <v>0</v>
      </c>
      <c r="AE414">
        <v>0</v>
      </c>
    </row>
    <row r="415" spans="1:31" x14ac:dyDescent="0.2">
      <c r="A415" t="s">
        <v>193</v>
      </c>
      <c r="B415" t="s">
        <v>102</v>
      </c>
      <c r="C415">
        <v>32</v>
      </c>
      <c r="D415" t="s">
        <v>33</v>
      </c>
      <c r="E415" t="s">
        <v>39</v>
      </c>
      <c r="F415" t="s">
        <v>59</v>
      </c>
      <c r="G415">
        <v>21077</v>
      </c>
      <c r="H415">
        <v>0</v>
      </c>
      <c r="I415">
        <v>0</v>
      </c>
      <c r="J415">
        <v>1</v>
      </c>
      <c r="K415">
        <v>0</v>
      </c>
      <c r="L415" t="s">
        <v>83</v>
      </c>
      <c r="M415" t="s">
        <v>62</v>
      </c>
      <c r="N415" t="s">
        <v>60</v>
      </c>
      <c r="O415" t="s">
        <v>51</v>
      </c>
      <c r="P415" t="s">
        <v>45</v>
      </c>
      <c r="Q415" t="s">
        <v>44</v>
      </c>
      <c r="R415">
        <v>0</v>
      </c>
      <c r="S415">
        <v>1</v>
      </c>
      <c r="T415">
        <v>0</v>
      </c>
      <c r="U415">
        <v>0</v>
      </c>
      <c r="V415">
        <v>1</v>
      </c>
      <c r="W415">
        <v>0</v>
      </c>
      <c r="X415">
        <v>1</v>
      </c>
      <c r="Y415">
        <v>0</v>
      </c>
      <c r="Z415">
        <v>1</v>
      </c>
      <c r="AA415">
        <v>0</v>
      </c>
      <c r="AB415">
        <v>0</v>
      </c>
      <c r="AC415">
        <v>0</v>
      </c>
      <c r="AD415">
        <v>0</v>
      </c>
      <c r="AE415">
        <v>0</v>
      </c>
    </row>
    <row r="416" spans="1:31" x14ac:dyDescent="0.2">
      <c r="A416" t="s">
        <v>193</v>
      </c>
      <c r="B416" t="s">
        <v>102</v>
      </c>
      <c r="C416">
        <v>32</v>
      </c>
      <c r="D416" t="s">
        <v>33</v>
      </c>
      <c r="E416" t="s">
        <v>52</v>
      </c>
      <c r="F416" t="s">
        <v>53</v>
      </c>
      <c r="G416">
        <v>31388</v>
      </c>
      <c r="H416">
        <v>0</v>
      </c>
      <c r="I416">
        <v>0</v>
      </c>
      <c r="J416">
        <v>0</v>
      </c>
      <c r="K416">
        <v>1</v>
      </c>
      <c r="L416" t="s">
        <v>35</v>
      </c>
      <c r="M416" t="s">
        <v>35</v>
      </c>
      <c r="N416" t="s">
        <v>35</v>
      </c>
      <c r="O416" t="s">
        <v>35</v>
      </c>
      <c r="P416" t="s">
        <v>35</v>
      </c>
      <c r="Q416" t="s">
        <v>35</v>
      </c>
      <c r="R416" t="s">
        <v>35</v>
      </c>
      <c r="S416">
        <v>1</v>
      </c>
      <c r="T416">
        <v>0</v>
      </c>
      <c r="U416">
        <v>0</v>
      </c>
      <c r="V416">
        <v>1</v>
      </c>
      <c r="W416">
        <v>0</v>
      </c>
      <c r="X416">
        <v>1</v>
      </c>
      <c r="Y416">
        <v>0</v>
      </c>
      <c r="Z416">
        <v>1</v>
      </c>
      <c r="AA416">
        <v>0</v>
      </c>
      <c r="AB416">
        <v>0</v>
      </c>
      <c r="AC416">
        <v>0</v>
      </c>
      <c r="AD416">
        <v>0</v>
      </c>
      <c r="AE416">
        <v>0</v>
      </c>
    </row>
    <row r="417" spans="1:31" x14ac:dyDescent="0.2">
      <c r="A417" t="s">
        <v>193</v>
      </c>
      <c r="B417" t="s">
        <v>102</v>
      </c>
      <c r="C417">
        <v>32</v>
      </c>
      <c r="D417" t="s">
        <v>33</v>
      </c>
      <c r="E417" t="s">
        <v>39</v>
      </c>
      <c r="F417" t="s">
        <v>54</v>
      </c>
      <c r="G417">
        <v>20181</v>
      </c>
      <c r="H417">
        <v>1</v>
      </c>
      <c r="I417">
        <v>1</v>
      </c>
      <c r="J417">
        <v>0</v>
      </c>
      <c r="K417">
        <v>0</v>
      </c>
      <c r="L417" t="s">
        <v>55</v>
      </c>
      <c r="M417" t="s">
        <v>89</v>
      </c>
      <c r="N417" t="s">
        <v>56</v>
      </c>
      <c r="O417" t="s">
        <v>44</v>
      </c>
      <c r="P417" t="s">
        <v>67</v>
      </c>
      <c r="Q417" t="s">
        <v>45</v>
      </c>
      <c r="R417">
        <v>0</v>
      </c>
      <c r="S417">
        <v>1</v>
      </c>
      <c r="T417">
        <v>0</v>
      </c>
      <c r="U417">
        <v>1</v>
      </c>
      <c r="V417">
        <v>1</v>
      </c>
      <c r="W417">
        <v>0</v>
      </c>
      <c r="X417">
        <v>1</v>
      </c>
      <c r="Y417">
        <v>0</v>
      </c>
      <c r="Z417">
        <v>1</v>
      </c>
      <c r="AA417">
        <v>0</v>
      </c>
      <c r="AB417">
        <v>1</v>
      </c>
      <c r="AC417">
        <v>0</v>
      </c>
      <c r="AD417">
        <v>0</v>
      </c>
      <c r="AE417">
        <v>0</v>
      </c>
    </row>
    <row r="418" spans="1:31" x14ac:dyDescent="0.2">
      <c r="A418" t="s">
        <v>193</v>
      </c>
      <c r="B418" t="s">
        <v>102</v>
      </c>
      <c r="C418">
        <v>32</v>
      </c>
      <c r="D418" t="s">
        <v>33</v>
      </c>
      <c r="E418" t="s">
        <v>52</v>
      </c>
      <c r="F418" t="s">
        <v>69</v>
      </c>
      <c r="G418">
        <v>41000</v>
      </c>
      <c r="H418">
        <v>0</v>
      </c>
      <c r="I418">
        <v>1</v>
      </c>
      <c r="J418">
        <v>1</v>
      </c>
      <c r="K418">
        <v>0</v>
      </c>
      <c r="L418" t="s">
        <v>35</v>
      </c>
      <c r="M418" t="s">
        <v>35</v>
      </c>
      <c r="N418" t="s">
        <v>35</v>
      </c>
      <c r="O418" t="s">
        <v>35</v>
      </c>
      <c r="P418" t="s">
        <v>35</v>
      </c>
      <c r="Q418" t="s">
        <v>35</v>
      </c>
      <c r="R418" t="s">
        <v>35</v>
      </c>
      <c r="S418">
        <v>1</v>
      </c>
      <c r="T418">
        <v>0</v>
      </c>
      <c r="U418">
        <v>1</v>
      </c>
      <c r="V418">
        <v>1</v>
      </c>
      <c r="W418">
        <v>0</v>
      </c>
      <c r="X418">
        <v>1</v>
      </c>
      <c r="Y418">
        <v>0</v>
      </c>
      <c r="Z418">
        <v>1</v>
      </c>
      <c r="AA418">
        <v>0</v>
      </c>
      <c r="AB418">
        <v>1</v>
      </c>
      <c r="AC418">
        <v>0</v>
      </c>
      <c r="AD418">
        <v>0</v>
      </c>
      <c r="AE418">
        <v>0</v>
      </c>
    </row>
    <row r="419" spans="1:31" x14ac:dyDescent="0.2">
      <c r="A419" t="s">
        <v>193</v>
      </c>
      <c r="B419" t="s">
        <v>102</v>
      </c>
      <c r="C419">
        <v>32</v>
      </c>
      <c r="D419" t="s">
        <v>33</v>
      </c>
      <c r="E419" t="s">
        <v>39</v>
      </c>
      <c r="F419" t="s">
        <v>40</v>
      </c>
      <c r="G419">
        <v>23652</v>
      </c>
      <c r="H419">
        <v>1</v>
      </c>
      <c r="I419">
        <v>0</v>
      </c>
      <c r="J419">
        <v>1</v>
      </c>
      <c r="K419">
        <v>0</v>
      </c>
      <c r="L419" t="s">
        <v>82</v>
      </c>
      <c r="M419" t="s">
        <v>43</v>
      </c>
      <c r="N419" t="s">
        <v>41</v>
      </c>
      <c r="O419" t="s">
        <v>68</v>
      </c>
      <c r="P419" t="s">
        <v>46</v>
      </c>
      <c r="Q419" t="s">
        <v>44</v>
      </c>
      <c r="R419">
        <v>1</v>
      </c>
      <c r="S419">
        <v>1</v>
      </c>
      <c r="T419">
        <v>1</v>
      </c>
      <c r="U419">
        <v>0</v>
      </c>
      <c r="V419">
        <v>0</v>
      </c>
      <c r="W419">
        <v>0</v>
      </c>
      <c r="X419">
        <v>1</v>
      </c>
      <c r="Y419">
        <v>1</v>
      </c>
      <c r="Z419">
        <v>1</v>
      </c>
      <c r="AA419">
        <v>0</v>
      </c>
      <c r="AB419">
        <v>0</v>
      </c>
      <c r="AC419">
        <v>0</v>
      </c>
      <c r="AD419">
        <v>0</v>
      </c>
      <c r="AE419">
        <v>0</v>
      </c>
    </row>
    <row r="420" spans="1:31" x14ac:dyDescent="0.2">
      <c r="A420" t="s">
        <v>193</v>
      </c>
      <c r="B420" t="s">
        <v>102</v>
      </c>
      <c r="C420">
        <v>32</v>
      </c>
      <c r="D420" t="s">
        <v>33</v>
      </c>
      <c r="E420" t="s">
        <v>52</v>
      </c>
      <c r="F420" t="s">
        <v>74</v>
      </c>
      <c r="G420">
        <v>22279</v>
      </c>
      <c r="H420">
        <v>1</v>
      </c>
      <c r="I420">
        <v>0</v>
      </c>
      <c r="J420">
        <v>0</v>
      </c>
      <c r="K420">
        <v>0</v>
      </c>
      <c r="L420" t="s">
        <v>35</v>
      </c>
      <c r="M420" t="s">
        <v>35</v>
      </c>
      <c r="N420" t="s">
        <v>35</v>
      </c>
      <c r="O420" t="s">
        <v>35</v>
      </c>
      <c r="P420" t="s">
        <v>35</v>
      </c>
      <c r="Q420" t="s">
        <v>35</v>
      </c>
      <c r="R420" t="s">
        <v>35</v>
      </c>
      <c r="S420">
        <v>1</v>
      </c>
      <c r="T420">
        <v>1</v>
      </c>
      <c r="U420">
        <v>0</v>
      </c>
      <c r="V420">
        <v>0</v>
      </c>
      <c r="W420">
        <v>0</v>
      </c>
      <c r="X420">
        <v>1</v>
      </c>
      <c r="Y420">
        <v>1</v>
      </c>
      <c r="Z420">
        <v>1</v>
      </c>
      <c r="AA420">
        <v>0</v>
      </c>
      <c r="AB420">
        <v>0</v>
      </c>
      <c r="AC420">
        <v>0</v>
      </c>
      <c r="AD420">
        <v>0</v>
      </c>
      <c r="AE420">
        <v>0</v>
      </c>
    </row>
    <row r="421" spans="1:31" x14ac:dyDescent="0.2">
      <c r="A421" t="s">
        <v>193</v>
      </c>
      <c r="B421" t="s">
        <v>102</v>
      </c>
      <c r="C421">
        <v>32</v>
      </c>
      <c r="D421" t="s">
        <v>33</v>
      </c>
      <c r="E421" t="s">
        <v>75</v>
      </c>
      <c r="F421" t="s">
        <v>35</v>
      </c>
      <c r="G421">
        <v>106748</v>
      </c>
      <c r="H421" t="s">
        <v>194</v>
      </c>
      <c r="I421" t="s">
        <v>195</v>
      </c>
      <c r="J421" t="s">
        <v>181</v>
      </c>
      <c r="K421" t="s">
        <v>35</v>
      </c>
      <c r="L421" t="s">
        <v>35</v>
      </c>
      <c r="M421" t="s">
        <v>35</v>
      </c>
      <c r="N421" t="s">
        <v>35</v>
      </c>
      <c r="O421" t="s">
        <v>35</v>
      </c>
      <c r="P421" t="s">
        <v>35</v>
      </c>
      <c r="Q421" t="s">
        <v>35</v>
      </c>
      <c r="R421" t="s">
        <v>35</v>
      </c>
      <c r="S421" t="s">
        <v>35</v>
      </c>
      <c r="T421" t="s">
        <v>35</v>
      </c>
      <c r="U421" t="s">
        <v>35</v>
      </c>
      <c r="V421" t="s">
        <v>35</v>
      </c>
      <c r="W421" t="s">
        <v>35</v>
      </c>
      <c r="X421" t="s">
        <v>35</v>
      </c>
      <c r="Y421" t="s">
        <v>35</v>
      </c>
      <c r="Z421" t="s">
        <v>35</v>
      </c>
      <c r="AA421" t="s">
        <v>35</v>
      </c>
      <c r="AB421" t="s">
        <v>35</v>
      </c>
      <c r="AC421" t="s">
        <v>35</v>
      </c>
      <c r="AD421" t="s">
        <v>35</v>
      </c>
      <c r="AE421" t="s">
        <v>35</v>
      </c>
    </row>
    <row r="422" spans="1:31" x14ac:dyDescent="0.2">
      <c r="A422" t="s">
        <v>196</v>
      </c>
      <c r="B422" t="s">
        <v>102</v>
      </c>
      <c r="C422">
        <v>34</v>
      </c>
      <c r="D422" t="s">
        <v>33</v>
      </c>
      <c r="E422" t="s">
        <v>34</v>
      </c>
      <c r="F422" t="s">
        <v>35</v>
      </c>
      <c r="G422">
        <v>21175</v>
      </c>
      <c r="H422" t="s">
        <v>35</v>
      </c>
      <c r="I422" t="s">
        <v>35</v>
      </c>
      <c r="J422" t="s">
        <v>35</v>
      </c>
      <c r="K422" t="s">
        <v>35</v>
      </c>
      <c r="L422" t="s">
        <v>35</v>
      </c>
      <c r="M422" t="s">
        <v>35</v>
      </c>
      <c r="N422" t="s">
        <v>35</v>
      </c>
      <c r="O422" t="s">
        <v>35</v>
      </c>
      <c r="P422" t="s">
        <v>35</v>
      </c>
      <c r="Q422" t="s">
        <v>35</v>
      </c>
      <c r="R422" t="s">
        <v>35</v>
      </c>
      <c r="S422" t="s">
        <v>35</v>
      </c>
      <c r="T422" t="s">
        <v>35</v>
      </c>
      <c r="U422" t="s">
        <v>35</v>
      </c>
      <c r="V422" t="s">
        <v>35</v>
      </c>
      <c r="W422" t="s">
        <v>35</v>
      </c>
      <c r="X422" t="s">
        <v>35</v>
      </c>
      <c r="Y422" t="s">
        <v>35</v>
      </c>
      <c r="Z422" t="s">
        <v>35</v>
      </c>
      <c r="AA422" t="s">
        <v>35</v>
      </c>
      <c r="AB422" t="s">
        <v>35</v>
      </c>
      <c r="AC422" t="s">
        <v>35</v>
      </c>
      <c r="AD422" t="s">
        <v>35</v>
      </c>
      <c r="AE422" t="s">
        <v>35</v>
      </c>
    </row>
    <row r="423" spans="1:31" x14ac:dyDescent="0.2">
      <c r="A423" t="s">
        <v>196</v>
      </c>
      <c r="B423" t="s">
        <v>102</v>
      </c>
      <c r="C423">
        <v>34</v>
      </c>
      <c r="D423" t="s">
        <v>33</v>
      </c>
      <c r="E423" t="s">
        <v>36</v>
      </c>
      <c r="F423" t="s">
        <v>37</v>
      </c>
      <c r="G423">
        <v>52992</v>
      </c>
      <c r="H423">
        <v>0</v>
      </c>
      <c r="I423">
        <v>0</v>
      </c>
      <c r="J423">
        <v>1</v>
      </c>
      <c r="K423">
        <v>0</v>
      </c>
      <c r="L423" t="s">
        <v>35</v>
      </c>
      <c r="M423" t="s">
        <v>35</v>
      </c>
      <c r="N423" t="s">
        <v>35</v>
      </c>
      <c r="O423" t="s">
        <v>35</v>
      </c>
      <c r="P423" t="s">
        <v>35</v>
      </c>
      <c r="Q423" t="s">
        <v>35</v>
      </c>
      <c r="R423" t="s">
        <v>35</v>
      </c>
      <c r="S423" t="s">
        <v>35</v>
      </c>
      <c r="T423" t="s">
        <v>35</v>
      </c>
      <c r="U423" t="s">
        <v>35</v>
      </c>
      <c r="V423" t="s">
        <v>35</v>
      </c>
      <c r="W423" t="s">
        <v>35</v>
      </c>
      <c r="X423" t="s">
        <v>35</v>
      </c>
      <c r="Y423" t="s">
        <v>35</v>
      </c>
      <c r="Z423" t="s">
        <v>35</v>
      </c>
      <c r="AA423" t="s">
        <v>35</v>
      </c>
      <c r="AB423" t="s">
        <v>35</v>
      </c>
      <c r="AC423" t="s">
        <v>35</v>
      </c>
      <c r="AD423" t="s">
        <v>35</v>
      </c>
      <c r="AE423" t="s">
        <v>35</v>
      </c>
    </row>
    <row r="424" spans="1:31" x14ac:dyDescent="0.2">
      <c r="A424" t="s">
        <v>196</v>
      </c>
      <c r="B424" t="s">
        <v>102</v>
      </c>
      <c r="C424">
        <v>34</v>
      </c>
      <c r="D424" t="s">
        <v>33</v>
      </c>
      <c r="E424" t="s">
        <v>36</v>
      </c>
      <c r="F424" t="s">
        <v>38</v>
      </c>
      <c r="G424">
        <v>66176</v>
      </c>
      <c r="H424">
        <v>0</v>
      </c>
      <c r="I424">
        <v>0</v>
      </c>
      <c r="J424">
        <v>0</v>
      </c>
      <c r="K424">
        <v>1</v>
      </c>
      <c r="L424" t="s">
        <v>35</v>
      </c>
      <c r="M424" t="s">
        <v>35</v>
      </c>
      <c r="N424" t="s">
        <v>35</v>
      </c>
      <c r="O424" t="s">
        <v>35</v>
      </c>
      <c r="P424" t="s">
        <v>35</v>
      </c>
      <c r="Q424" t="s">
        <v>35</v>
      </c>
      <c r="R424" t="s">
        <v>35</v>
      </c>
      <c r="S424" t="s">
        <v>35</v>
      </c>
      <c r="T424" t="s">
        <v>35</v>
      </c>
      <c r="U424" t="s">
        <v>35</v>
      </c>
      <c r="V424" t="s">
        <v>35</v>
      </c>
      <c r="W424" t="s">
        <v>35</v>
      </c>
      <c r="X424" t="s">
        <v>35</v>
      </c>
      <c r="Y424" t="s">
        <v>35</v>
      </c>
      <c r="Z424" t="s">
        <v>35</v>
      </c>
      <c r="AA424" t="s">
        <v>35</v>
      </c>
      <c r="AB424" t="s">
        <v>35</v>
      </c>
      <c r="AC424" t="s">
        <v>35</v>
      </c>
      <c r="AD424" t="s">
        <v>35</v>
      </c>
      <c r="AE424" t="s">
        <v>35</v>
      </c>
    </row>
    <row r="425" spans="1:31" x14ac:dyDescent="0.2">
      <c r="A425" t="s">
        <v>196</v>
      </c>
      <c r="B425" t="s">
        <v>102</v>
      </c>
      <c r="C425">
        <v>34</v>
      </c>
      <c r="D425" t="s">
        <v>33</v>
      </c>
      <c r="E425" t="s">
        <v>39</v>
      </c>
      <c r="F425" t="s">
        <v>40</v>
      </c>
      <c r="G425">
        <v>82567</v>
      </c>
      <c r="H425">
        <v>1</v>
      </c>
      <c r="I425">
        <v>1</v>
      </c>
      <c r="J425">
        <v>1</v>
      </c>
      <c r="K425">
        <v>0</v>
      </c>
      <c r="L425" t="s">
        <v>43</v>
      </c>
      <c r="M425" t="s">
        <v>42</v>
      </c>
      <c r="N425" t="s">
        <v>81</v>
      </c>
      <c r="O425" t="s">
        <v>46</v>
      </c>
      <c r="P425" t="s">
        <v>45</v>
      </c>
      <c r="Q425" t="s">
        <v>67</v>
      </c>
      <c r="R425">
        <v>0</v>
      </c>
      <c r="S425">
        <v>0</v>
      </c>
      <c r="T425">
        <v>1</v>
      </c>
      <c r="U425">
        <v>1</v>
      </c>
      <c r="V425">
        <v>1</v>
      </c>
      <c r="W425">
        <v>0</v>
      </c>
      <c r="X425">
        <v>1</v>
      </c>
      <c r="Y425">
        <v>0</v>
      </c>
      <c r="Z425">
        <v>0</v>
      </c>
      <c r="AA425">
        <v>1</v>
      </c>
      <c r="AB425">
        <v>1</v>
      </c>
      <c r="AC425">
        <v>1</v>
      </c>
      <c r="AD425">
        <v>0</v>
      </c>
      <c r="AE425">
        <v>0</v>
      </c>
    </row>
    <row r="426" spans="1:31" x14ac:dyDescent="0.2">
      <c r="A426" t="s">
        <v>196</v>
      </c>
      <c r="B426" t="s">
        <v>102</v>
      </c>
      <c r="C426">
        <v>34</v>
      </c>
      <c r="D426" t="s">
        <v>33</v>
      </c>
      <c r="E426" t="s">
        <v>39</v>
      </c>
      <c r="F426" t="s">
        <v>63</v>
      </c>
      <c r="G426">
        <v>96553</v>
      </c>
      <c r="H426">
        <v>0</v>
      </c>
      <c r="I426">
        <v>0</v>
      </c>
      <c r="J426">
        <v>0</v>
      </c>
      <c r="K426">
        <v>1</v>
      </c>
      <c r="L426" t="s">
        <v>90</v>
      </c>
      <c r="M426" t="s">
        <v>84</v>
      </c>
      <c r="N426" t="s">
        <v>64</v>
      </c>
      <c r="O426" t="s">
        <v>44</v>
      </c>
      <c r="P426" t="s">
        <v>46</v>
      </c>
      <c r="Q426" t="s">
        <v>67</v>
      </c>
      <c r="R426">
        <v>0</v>
      </c>
      <c r="S426">
        <v>1</v>
      </c>
      <c r="T426">
        <v>1</v>
      </c>
      <c r="U426">
        <v>1</v>
      </c>
      <c r="V426">
        <v>0</v>
      </c>
      <c r="W426">
        <v>0</v>
      </c>
      <c r="X426">
        <v>1</v>
      </c>
      <c r="Y426">
        <v>0</v>
      </c>
      <c r="Z426">
        <v>0</v>
      </c>
      <c r="AA426">
        <v>0</v>
      </c>
      <c r="AB426">
        <v>0</v>
      </c>
      <c r="AC426">
        <v>0</v>
      </c>
      <c r="AD426">
        <v>0</v>
      </c>
      <c r="AE426">
        <v>1</v>
      </c>
    </row>
    <row r="427" spans="1:31" x14ac:dyDescent="0.2">
      <c r="A427" t="s">
        <v>196</v>
      </c>
      <c r="B427" t="s">
        <v>102</v>
      </c>
      <c r="C427">
        <v>34</v>
      </c>
      <c r="D427" t="s">
        <v>33</v>
      </c>
      <c r="E427" t="s">
        <v>52</v>
      </c>
      <c r="F427" t="s">
        <v>53</v>
      </c>
      <c r="G427">
        <v>54799</v>
      </c>
      <c r="H427">
        <v>0</v>
      </c>
      <c r="I427">
        <v>0</v>
      </c>
      <c r="J427">
        <v>0</v>
      </c>
      <c r="K427">
        <v>1</v>
      </c>
      <c r="L427" t="s">
        <v>35</v>
      </c>
      <c r="M427" t="s">
        <v>35</v>
      </c>
      <c r="N427" t="s">
        <v>35</v>
      </c>
      <c r="O427" t="s">
        <v>35</v>
      </c>
      <c r="P427" t="s">
        <v>35</v>
      </c>
      <c r="Q427" t="s">
        <v>35</v>
      </c>
      <c r="R427" t="s">
        <v>35</v>
      </c>
      <c r="S427">
        <v>1</v>
      </c>
      <c r="T427">
        <v>1</v>
      </c>
      <c r="U427">
        <v>1</v>
      </c>
      <c r="V427">
        <v>0</v>
      </c>
      <c r="W427">
        <v>0</v>
      </c>
      <c r="X427">
        <v>1</v>
      </c>
      <c r="Y427">
        <v>0</v>
      </c>
      <c r="Z427">
        <v>0</v>
      </c>
      <c r="AA427">
        <v>0</v>
      </c>
      <c r="AB427">
        <v>0</v>
      </c>
      <c r="AC427">
        <v>0</v>
      </c>
      <c r="AD427">
        <v>0</v>
      </c>
      <c r="AE427">
        <v>1</v>
      </c>
    </row>
    <row r="428" spans="1:31" x14ac:dyDescent="0.2">
      <c r="A428" t="s">
        <v>196</v>
      </c>
      <c r="B428" t="s">
        <v>102</v>
      </c>
      <c r="C428">
        <v>34</v>
      </c>
      <c r="D428" t="s">
        <v>33</v>
      </c>
      <c r="E428" t="s">
        <v>39</v>
      </c>
      <c r="F428" t="s">
        <v>70</v>
      </c>
      <c r="G428">
        <v>61842</v>
      </c>
      <c r="H428">
        <v>1</v>
      </c>
      <c r="I428">
        <v>1</v>
      </c>
      <c r="J428">
        <v>1</v>
      </c>
      <c r="K428">
        <v>0</v>
      </c>
      <c r="L428" t="s">
        <v>86</v>
      </c>
      <c r="M428" t="s">
        <v>72</v>
      </c>
      <c r="N428" t="s">
        <v>93</v>
      </c>
      <c r="O428" t="s">
        <v>46</v>
      </c>
      <c r="P428" t="s">
        <v>67</v>
      </c>
      <c r="Q428" t="s">
        <v>68</v>
      </c>
      <c r="R428">
        <v>1</v>
      </c>
      <c r="S428">
        <v>0</v>
      </c>
      <c r="T428">
        <v>1</v>
      </c>
      <c r="U428">
        <v>1</v>
      </c>
      <c r="V428">
        <v>0</v>
      </c>
      <c r="W428">
        <v>0</v>
      </c>
      <c r="X428">
        <v>1</v>
      </c>
      <c r="Y428">
        <v>1</v>
      </c>
      <c r="Z428">
        <v>0</v>
      </c>
      <c r="AA428">
        <v>1</v>
      </c>
      <c r="AB428">
        <v>1</v>
      </c>
      <c r="AC428">
        <v>0</v>
      </c>
      <c r="AD428">
        <v>0</v>
      </c>
      <c r="AE428">
        <v>0</v>
      </c>
    </row>
    <row r="429" spans="1:31" x14ac:dyDescent="0.2">
      <c r="A429" t="s">
        <v>196</v>
      </c>
      <c r="B429" t="s">
        <v>102</v>
      </c>
      <c r="C429">
        <v>34</v>
      </c>
      <c r="D429" t="s">
        <v>33</v>
      </c>
      <c r="E429" t="s">
        <v>52</v>
      </c>
      <c r="F429" t="s">
        <v>69</v>
      </c>
      <c r="G429">
        <v>86253</v>
      </c>
      <c r="H429">
        <v>1</v>
      </c>
      <c r="I429">
        <v>1</v>
      </c>
      <c r="J429">
        <v>1</v>
      </c>
      <c r="K429">
        <v>0</v>
      </c>
      <c r="L429" t="s">
        <v>35</v>
      </c>
      <c r="M429" t="s">
        <v>35</v>
      </c>
      <c r="N429" t="s">
        <v>35</v>
      </c>
      <c r="O429" t="s">
        <v>35</v>
      </c>
      <c r="P429" t="s">
        <v>35</v>
      </c>
      <c r="Q429" t="s">
        <v>35</v>
      </c>
      <c r="R429" t="s">
        <v>35</v>
      </c>
      <c r="S429">
        <v>0</v>
      </c>
      <c r="T429">
        <v>1</v>
      </c>
      <c r="U429">
        <v>1</v>
      </c>
      <c r="V429">
        <v>0</v>
      </c>
      <c r="W429">
        <v>0</v>
      </c>
      <c r="X429">
        <v>1</v>
      </c>
      <c r="Y429">
        <v>1</v>
      </c>
      <c r="Z429">
        <v>0</v>
      </c>
      <c r="AA429">
        <v>1</v>
      </c>
      <c r="AB429">
        <v>1</v>
      </c>
      <c r="AC429">
        <v>0</v>
      </c>
      <c r="AD429">
        <v>0</v>
      </c>
      <c r="AE429">
        <v>0</v>
      </c>
    </row>
    <row r="430" spans="1:31" x14ac:dyDescent="0.2">
      <c r="A430" t="s">
        <v>196</v>
      </c>
      <c r="B430" t="s">
        <v>102</v>
      </c>
      <c r="C430">
        <v>34</v>
      </c>
      <c r="D430" t="s">
        <v>33</v>
      </c>
      <c r="E430" t="s">
        <v>39</v>
      </c>
      <c r="F430" t="s">
        <v>47</v>
      </c>
      <c r="G430">
        <v>16290</v>
      </c>
      <c r="H430">
        <v>0</v>
      </c>
      <c r="I430">
        <v>0</v>
      </c>
      <c r="J430">
        <v>0</v>
      </c>
      <c r="K430">
        <v>1</v>
      </c>
      <c r="L430" t="s">
        <v>48</v>
      </c>
      <c r="M430" t="s">
        <v>49</v>
      </c>
      <c r="N430" t="s">
        <v>80</v>
      </c>
      <c r="O430" t="s">
        <v>46</v>
      </c>
      <c r="P430" t="s">
        <v>44</v>
      </c>
      <c r="Q430" t="s">
        <v>67</v>
      </c>
      <c r="R430">
        <v>0</v>
      </c>
      <c r="S430">
        <v>1</v>
      </c>
      <c r="T430">
        <v>1</v>
      </c>
      <c r="U430">
        <v>1</v>
      </c>
      <c r="V430">
        <v>0</v>
      </c>
      <c r="W430">
        <v>0</v>
      </c>
      <c r="X430">
        <v>1</v>
      </c>
      <c r="Y430">
        <v>0</v>
      </c>
      <c r="Z430">
        <v>0</v>
      </c>
      <c r="AA430">
        <v>0</v>
      </c>
      <c r="AB430">
        <v>0</v>
      </c>
      <c r="AC430">
        <v>0</v>
      </c>
      <c r="AD430">
        <v>0</v>
      </c>
      <c r="AE430">
        <v>1</v>
      </c>
    </row>
    <row r="431" spans="1:31" x14ac:dyDescent="0.2">
      <c r="A431" t="s">
        <v>196</v>
      </c>
      <c r="B431" t="s">
        <v>102</v>
      </c>
      <c r="C431">
        <v>34</v>
      </c>
      <c r="D431" t="s">
        <v>33</v>
      </c>
      <c r="E431" t="s">
        <v>39</v>
      </c>
      <c r="F431" t="s">
        <v>54</v>
      </c>
      <c r="G431">
        <v>13459</v>
      </c>
      <c r="H431">
        <v>1</v>
      </c>
      <c r="I431">
        <v>1</v>
      </c>
      <c r="J431">
        <v>1</v>
      </c>
      <c r="K431">
        <v>0</v>
      </c>
      <c r="L431" t="s">
        <v>57</v>
      </c>
      <c r="M431" t="s">
        <v>56</v>
      </c>
      <c r="N431" t="s">
        <v>55</v>
      </c>
      <c r="O431" t="s">
        <v>46</v>
      </c>
      <c r="P431" t="s">
        <v>45</v>
      </c>
      <c r="Q431" t="s">
        <v>44</v>
      </c>
      <c r="R431">
        <v>0</v>
      </c>
      <c r="S431">
        <v>1</v>
      </c>
      <c r="T431">
        <v>1</v>
      </c>
      <c r="U431">
        <v>0</v>
      </c>
      <c r="V431">
        <v>1</v>
      </c>
      <c r="W431">
        <v>0</v>
      </c>
      <c r="X431">
        <v>1</v>
      </c>
      <c r="Y431">
        <v>0</v>
      </c>
      <c r="Z431">
        <v>1</v>
      </c>
      <c r="AA431">
        <v>1</v>
      </c>
      <c r="AB431">
        <v>0</v>
      </c>
      <c r="AC431">
        <v>1</v>
      </c>
      <c r="AD431">
        <v>0</v>
      </c>
      <c r="AE431">
        <v>0</v>
      </c>
    </row>
    <row r="432" spans="1:31" x14ac:dyDescent="0.2">
      <c r="A432" t="s">
        <v>196</v>
      </c>
      <c r="B432" t="s">
        <v>102</v>
      </c>
      <c r="C432">
        <v>34</v>
      </c>
      <c r="D432" t="s">
        <v>33</v>
      </c>
      <c r="E432" t="s">
        <v>52</v>
      </c>
      <c r="F432" t="s">
        <v>74</v>
      </c>
      <c r="G432">
        <v>19302</v>
      </c>
      <c r="H432">
        <v>0</v>
      </c>
      <c r="I432">
        <v>1</v>
      </c>
      <c r="J432">
        <v>0</v>
      </c>
      <c r="K432">
        <v>0</v>
      </c>
      <c r="L432" t="s">
        <v>35</v>
      </c>
      <c r="M432" t="s">
        <v>35</v>
      </c>
      <c r="N432" t="s">
        <v>35</v>
      </c>
      <c r="O432" t="s">
        <v>35</v>
      </c>
      <c r="P432" t="s">
        <v>35</v>
      </c>
      <c r="Q432" t="s">
        <v>35</v>
      </c>
      <c r="R432" t="s">
        <v>35</v>
      </c>
      <c r="S432">
        <v>1</v>
      </c>
      <c r="T432">
        <v>1</v>
      </c>
      <c r="U432">
        <v>0</v>
      </c>
      <c r="V432">
        <v>1</v>
      </c>
      <c r="W432">
        <v>0</v>
      </c>
      <c r="X432">
        <v>1</v>
      </c>
      <c r="Y432">
        <v>0</v>
      </c>
      <c r="Z432">
        <v>1</v>
      </c>
      <c r="AA432">
        <v>1</v>
      </c>
      <c r="AB432">
        <v>0</v>
      </c>
      <c r="AC432">
        <v>1</v>
      </c>
      <c r="AD432">
        <v>0</v>
      </c>
      <c r="AE432">
        <v>0</v>
      </c>
    </row>
    <row r="433" spans="1:31" x14ac:dyDescent="0.2">
      <c r="A433" t="s">
        <v>196</v>
      </c>
      <c r="B433" t="s">
        <v>102</v>
      </c>
      <c r="C433">
        <v>34</v>
      </c>
      <c r="D433" t="s">
        <v>33</v>
      </c>
      <c r="E433" t="s">
        <v>39</v>
      </c>
      <c r="F433" t="s">
        <v>59</v>
      </c>
      <c r="G433">
        <v>11092</v>
      </c>
      <c r="H433">
        <v>0</v>
      </c>
      <c r="I433">
        <v>0</v>
      </c>
      <c r="J433">
        <v>0</v>
      </c>
      <c r="K433">
        <v>1</v>
      </c>
      <c r="L433" t="s">
        <v>62</v>
      </c>
      <c r="M433" t="s">
        <v>61</v>
      </c>
      <c r="N433" t="s">
        <v>99</v>
      </c>
      <c r="O433" t="s">
        <v>45</v>
      </c>
      <c r="P433" t="s">
        <v>46</v>
      </c>
      <c r="Q433" t="s">
        <v>67</v>
      </c>
      <c r="R433">
        <v>0</v>
      </c>
      <c r="S433">
        <v>0</v>
      </c>
      <c r="T433">
        <v>1</v>
      </c>
      <c r="U433">
        <v>1</v>
      </c>
      <c r="V433">
        <v>1</v>
      </c>
      <c r="W433">
        <v>0</v>
      </c>
      <c r="X433">
        <v>1</v>
      </c>
      <c r="Y433">
        <v>0</v>
      </c>
      <c r="Z433">
        <v>0</v>
      </c>
      <c r="AA433">
        <v>0</v>
      </c>
      <c r="AB433">
        <v>0</v>
      </c>
      <c r="AC433">
        <v>0</v>
      </c>
      <c r="AD433">
        <v>0</v>
      </c>
      <c r="AE433">
        <v>1</v>
      </c>
    </row>
    <row r="434" spans="1:31" x14ac:dyDescent="0.2">
      <c r="A434" t="s">
        <v>196</v>
      </c>
      <c r="B434" t="s">
        <v>102</v>
      </c>
      <c r="C434">
        <v>34</v>
      </c>
      <c r="D434" t="s">
        <v>33</v>
      </c>
      <c r="E434" t="s">
        <v>52</v>
      </c>
      <c r="F434" t="s">
        <v>58</v>
      </c>
      <c r="G434">
        <v>4209</v>
      </c>
      <c r="H434">
        <v>0</v>
      </c>
      <c r="I434">
        <v>0</v>
      </c>
      <c r="J434">
        <v>0</v>
      </c>
      <c r="K434">
        <v>1</v>
      </c>
      <c r="L434" t="s">
        <v>35</v>
      </c>
      <c r="M434" t="s">
        <v>35</v>
      </c>
      <c r="N434" t="s">
        <v>35</v>
      </c>
      <c r="O434" t="s">
        <v>35</v>
      </c>
      <c r="P434" t="s">
        <v>35</v>
      </c>
      <c r="Q434" t="s">
        <v>35</v>
      </c>
      <c r="R434" t="s">
        <v>35</v>
      </c>
      <c r="S434">
        <v>0</v>
      </c>
      <c r="T434">
        <v>1</v>
      </c>
      <c r="U434">
        <v>1</v>
      </c>
      <c r="V434">
        <v>1</v>
      </c>
      <c r="W434">
        <v>0</v>
      </c>
      <c r="X434">
        <v>1</v>
      </c>
      <c r="Y434">
        <v>0</v>
      </c>
      <c r="Z434">
        <v>0</v>
      </c>
      <c r="AA434">
        <v>0</v>
      </c>
      <c r="AB434">
        <v>0</v>
      </c>
      <c r="AC434">
        <v>0</v>
      </c>
      <c r="AD434">
        <v>0</v>
      </c>
      <c r="AE434">
        <v>1</v>
      </c>
    </row>
    <row r="435" spans="1:31" x14ac:dyDescent="0.2">
      <c r="A435" t="s">
        <v>196</v>
      </c>
      <c r="B435" t="s">
        <v>102</v>
      </c>
      <c r="C435">
        <v>34</v>
      </c>
      <c r="D435" t="s">
        <v>33</v>
      </c>
      <c r="E435" t="s">
        <v>75</v>
      </c>
      <c r="F435" t="s">
        <v>35</v>
      </c>
      <c r="G435">
        <v>87078</v>
      </c>
      <c r="H435" t="s">
        <v>197</v>
      </c>
      <c r="I435" t="s">
        <v>198</v>
      </c>
      <c r="J435" t="s">
        <v>199</v>
      </c>
      <c r="K435" t="s">
        <v>35</v>
      </c>
      <c r="L435" t="s">
        <v>35</v>
      </c>
      <c r="M435" t="s">
        <v>35</v>
      </c>
      <c r="N435" t="s">
        <v>35</v>
      </c>
      <c r="O435" t="s">
        <v>35</v>
      </c>
      <c r="P435" t="s">
        <v>35</v>
      </c>
      <c r="Q435" t="s">
        <v>35</v>
      </c>
      <c r="R435" t="s">
        <v>35</v>
      </c>
      <c r="S435" t="s">
        <v>35</v>
      </c>
      <c r="T435" t="s">
        <v>35</v>
      </c>
      <c r="U435" t="s">
        <v>35</v>
      </c>
      <c r="V435" t="s">
        <v>35</v>
      </c>
      <c r="W435" t="s">
        <v>35</v>
      </c>
      <c r="X435" t="s">
        <v>35</v>
      </c>
      <c r="Y435" t="s">
        <v>35</v>
      </c>
      <c r="Z435" t="s">
        <v>35</v>
      </c>
      <c r="AA435" t="s">
        <v>35</v>
      </c>
      <c r="AB435" t="s">
        <v>35</v>
      </c>
      <c r="AC435" t="s">
        <v>35</v>
      </c>
      <c r="AD435" t="s">
        <v>35</v>
      </c>
      <c r="AE435" t="s">
        <v>35</v>
      </c>
    </row>
    <row r="436" spans="1:31" x14ac:dyDescent="0.2">
      <c r="A436" t="s">
        <v>200</v>
      </c>
      <c r="B436" t="s">
        <v>32</v>
      </c>
      <c r="C436">
        <v>30</v>
      </c>
      <c r="D436" t="s">
        <v>33</v>
      </c>
      <c r="E436" t="s">
        <v>34</v>
      </c>
      <c r="F436" t="s">
        <v>35</v>
      </c>
      <c r="G436">
        <v>52388</v>
      </c>
      <c r="H436" t="s">
        <v>35</v>
      </c>
      <c r="I436" t="s">
        <v>35</v>
      </c>
      <c r="J436" t="s">
        <v>35</v>
      </c>
      <c r="K436" t="s">
        <v>35</v>
      </c>
      <c r="L436" t="s">
        <v>35</v>
      </c>
      <c r="M436" t="s">
        <v>35</v>
      </c>
      <c r="N436" t="s">
        <v>35</v>
      </c>
      <c r="O436" t="s">
        <v>35</v>
      </c>
      <c r="P436" t="s">
        <v>35</v>
      </c>
      <c r="Q436" t="s">
        <v>35</v>
      </c>
      <c r="R436" t="s">
        <v>35</v>
      </c>
      <c r="S436" t="s">
        <v>35</v>
      </c>
      <c r="T436" t="s">
        <v>35</v>
      </c>
      <c r="U436" t="s">
        <v>35</v>
      </c>
      <c r="V436" t="s">
        <v>35</v>
      </c>
      <c r="W436" t="s">
        <v>35</v>
      </c>
      <c r="X436" t="s">
        <v>35</v>
      </c>
      <c r="Y436" t="s">
        <v>35</v>
      </c>
      <c r="Z436" t="s">
        <v>35</v>
      </c>
      <c r="AA436" t="s">
        <v>35</v>
      </c>
      <c r="AB436" t="s">
        <v>35</v>
      </c>
      <c r="AC436" t="s">
        <v>35</v>
      </c>
      <c r="AD436" t="s">
        <v>35</v>
      </c>
      <c r="AE436" t="s">
        <v>35</v>
      </c>
    </row>
    <row r="437" spans="1:31" x14ac:dyDescent="0.2">
      <c r="A437" t="s">
        <v>200</v>
      </c>
      <c r="B437" t="s">
        <v>32</v>
      </c>
      <c r="C437">
        <v>30</v>
      </c>
      <c r="D437" t="s">
        <v>33</v>
      </c>
      <c r="E437" t="s">
        <v>36</v>
      </c>
      <c r="F437" t="s">
        <v>38</v>
      </c>
      <c r="G437">
        <v>35779</v>
      </c>
      <c r="H437">
        <v>0</v>
      </c>
      <c r="I437">
        <v>0</v>
      </c>
      <c r="J437">
        <v>0</v>
      </c>
      <c r="K437">
        <v>1</v>
      </c>
      <c r="L437" t="s">
        <v>35</v>
      </c>
      <c r="M437" t="s">
        <v>35</v>
      </c>
      <c r="N437" t="s">
        <v>35</v>
      </c>
      <c r="O437" t="s">
        <v>35</v>
      </c>
      <c r="P437" t="s">
        <v>35</v>
      </c>
      <c r="Q437" t="s">
        <v>35</v>
      </c>
      <c r="R437" t="s">
        <v>35</v>
      </c>
      <c r="S437" t="s">
        <v>35</v>
      </c>
      <c r="T437" t="s">
        <v>35</v>
      </c>
      <c r="U437" t="s">
        <v>35</v>
      </c>
      <c r="V437" t="s">
        <v>35</v>
      </c>
      <c r="W437" t="s">
        <v>35</v>
      </c>
      <c r="X437" t="s">
        <v>35</v>
      </c>
      <c r="Y437" t="s">
        <v>35</v>
      </c>
      <c r="Z437" t="s">
        <v>35</v>
      </c>
      <c r="AA437" t="s">
        <v>35</v>
      </c>
      <c r="AB437" t="s">
        <v>35</v>
      </c>
      <c r="AC437" t="s">
        <v>35</v>
      </c>
      <c r="AD437" t="s">
        <v>35</v>
      </c>
      <c r="AE437" t="s">
        <v>35</v>
      </c>
    </row>
    <row r="438" spans="1:31" x14ac:dyDescent="0.2">
      <c r="A438" t="s">
        <v>200</v>
      </c>
      <c r="B438" t="s">
        <v>32</v>
      </c>
      <c r="C438">
        <v>30</v>
      </c>
      <c r="D438" t="s">
        <v>33</v>
      </c>
      <c r="E438" t="s">
        <v>36</v>
      </c>
      <c r="F438" t="s">
        <v>37</v>
      </c>
      <c r="G438">
        <v>37927</v>
      </c>
      <c r="H438">
        <v>0</v>
      </c>
      <c r="I438">
        <v>0</v>
      </c>
      <c r="J438">
        <v>1</v>
      </c>
      <c r="K438">
        <v>0</v>
      </c>
      <c r="L438" t="s">
        <v>35</v>
      </c>
      <c r="M438" t="s">
        <v>35</v>
      </c>
      <c r="N438" t="s">
        <v>35</v>
      </c>
      <c r="O438" t="s">
        <v>35</v>
      </c>
      <c r="P438" t="s">
        <v>35</v>
      </c>
      <c r="Q438" t="s">
        <v>35</v>
      </c>
      <c r="R438" t="s">
        <v>35</v>
      </c>
      <c r="S438" t="s">
        <v>35</v>
      </c>
      <c r="T438" t="s">
        <v>35</v>
      </c>
      <c r="U438" t="s">
        <v>35</v>
      </c>
      <c r="V438" t="s">
        <v>35</v>
      </c>
      <c r="W438" t="s">
        <v>35</v>
      </c>
      <c r="X438" t="s">
        <v>35</v>
      </c>
      <c r="Y438" t="s">
        <v>35</v>
      </c>
      <c r="Z438" t="s">
        <v>35</v>
      </c>
      <c r="AA438" t="s">
        <v>35</v>
      </c>
      <c r="AB438" t="s">
        <v>35</v>
      </c>
      <c r="AC438" t="s">
        <v>35</v>
      </c>
      <c r="AD438" t="s">
        <v>35</v>
      </c>
      <c r="AE438" t="s">
        <v>35</v>
      </c>
    </row>
    <row r="439" spans="1:31" x14ac:dyDescent="0.2">
      <c r="A439" t="s">
        <v>200</v>
      </c>
      <c r="B439" t="s">
        <v>32</v>
      </c>
      <c r="C439">
        <v>30</v>
      </c>
      <c r="D439" t="s">
        <v>33</v>
      </c>
      <c r="E439" t="s">
        <v>39</v>
      </c>
      <c r="F439" t="s">
        <v>40</v>
      </c>
      <c r="G439">
        <v>76729</v>
      </c>
      <c r="H439">
        <v>0</v>
      </c>
      <c r="I439">
        <v>0</v>
      </c>
      <c r="J439">
        <v>0</v>
      </c>
      <c r="K439">
        <v>1</v>
      </c>
      <c r="L439" t="s">
        <v>43</v>
      </c>
      <c r="M439" t="s">
        <v>81</v>
      </c>
      <c r="N439" t="s">
        <v>41</v>
      </c>
      <c r="O439" t="s">
        <v>46</v>
      </c>
      <c r="P439" t="s">
        <v>67</v>
      </c>
      <c r="Q439" t="s">
        <v>44</v>
      </c>
      <c r="R439">
        <v>0</v>
      </c>
      <c r="S439">
        <v>1</v>
      </c>
      <c r="T439">
        <v>1</v>
      </c>
      <c r="U439">
        <v>1</v>
      </c>
      <c r="V439">
        <v>0</v>
      </c>
      <c r="W439">
        <v>0</v>
      </c>
      <c r="X439">
        <v>1</v>
      </c>
      <c r="Y439">
        <v>0</v>
      </c>
      <c r="Z439">
        <v>0</v>
      </c>
      <c r="AA439">
        <v>0</v>
      </c>
      <c r="AB439">
        <v>0</v>
      </c>
      <c r="AC439">
        <v>0</v>
      </c>
      <c r="AD439">
        <v>0</v>
      </c>
      <c r="AE439">
        <v>1</v>
      </c>
    </row>
    <row r="440" spans="1:31" x14ac:dyDescent="0.2">
      <c r="A440" t="s">
        <v>200</v>
      </c>
      <c r="B440" t="s">
        <v>32</v>
      </c>
      <c r="C440">
        <v>30</v>
      </c>
      <c r="D440" t="s">
        <v>33</v>
      </c>
      <c r="E440" t="s">
        <v>52</v>
      </c>
      <c r="F440" t="s">
        <v>53</v>
      </c>
      <c r="G440">
        <v>51004</v>
      </c>
      <c r="H440">
        <v>1</v>
      </c>
      <c r="I440">
        <v>1</v>
      </c>
      <c r="J440">
        <v>0</v>
      </c>
      <c r="K440">
        <v>0</v>
      </c>
      <c r="L440" t="s">
        <v>35</v>
      </c>
      <c r="M440" t="s">
        <v>35</v>
      </c>
      <c r="N440" t="s">
        <v>35</v>
      </c>
      <c r="O440" t="s">
        <v>35</v>
      </c>
      <c r="P440" t="s">
        <v>35</v>
      </c>
      <c r="Q440" t="s">
        <v>35</v>
      </c>
      <c r="R440" t="s">
        <v>35</v>
      </c>
      <c r="S440">
        <v>1</v>
      </c>
      <c r="T440">
        <v>1</v>
      </c>
      <c r="U440">
        <v>1</v>
      </c>
      <c r="V440">
        <v>0</v>
      </c>
      <c r="W440">
        <v>0</v>
      </c>
      <c r="X440">
        <v>1</v>
      </c>
      <c r="Y440">
        <v>0</v>
      </c>
      <c r="Z440">
        <v>0</v>
      </c>
      <c r="AA440">
        <v>0</v>
      </c>
      <c r="AB440">
        <v>0</v>
      </c>
      <c r="AC440">
        <v>0</v>
      </c>
      <c r="AD440">
        <v>0</v>
      </c>
      <c r="AE440">
        <v>1</v>
      </c>
    </row>
    <row r="441" spans="1:31" x14ac:dyDescent="0.2">
      <c r="A441" t="s">
        <v>200</v>
      </c>
      <c r="B441" t="s">
        <v>32</v>
      </c>
      <c r="C441">
        <v>30</v>
      </c>
      <c r="D441" t="s">
        <v>33</v>
      </c>
      <c r="E441" t="s">
        <v>39</v>
      </c>
      <c r="F441" t="s">
        <v>70</v>
      </c>
      <c r="G441">
        <v>36024</v>
      </c>
      <c r="H441">
        <v>0</v>
      </c>
      <c r="I441">
        <v>0</v>
      </c>
      <c r="J441">
        <v>1</v>
      </c>
      <c r="K441">
        <v>0</v>
      </c>
      <c r="L441" t="s">
        <v>86</v>
      </c>
      <c r="M441" t="s">
        <v>92</v>
      </c>
      <c r="N441" t="s">
        <v>73</v>
      </c>
      <c r="O441" t="s">
        <v>46</v>
      </c>
      <c r="P441" t="s">
        <v>51</v>
      </c>
      <c r="Q441" t="s">
        <v>44</v>
      </c>
      <c r="R441">
        <v>0</v>
      </c>
      <c r="S441">
        <v>1</v>
      </c>
      <c r="T441">
        <v>1</v>
      </c>
      <c r="U441">
        <v>0</v>
      </c>
      <c r="V441">
        <v>0</v>
      </c>
      <c r="W441">
        <v>0</v>
      </c>
      <c r="X441">
        <v>1</v>
      </c>
      <c r="Y441">
        <v>0</v>
      </c>
      <c r="Z441">
        <v>1</v>
      </c>
      <c r="AA441">
        <v>0</v>
      </c>
      <c r="AB441">
        <v>0</v>
      </c>
      <c r="AC441">
        <v>0</v>
      </c>
      <c r="AD441">
        <v>0</v>
      </c>
      <c r="AE441">
        <v>0</v>
      </c>
    </row>
    <row r="442" spans="1:31" x14ac:dyDescent="0.2">
      <c r="A442" t="s">
        <v>200</v>
      </c>
      <c r="B442" t="s">
        <v>32</v>
      </c>
      <c r="C442">
        <v>30</v>
      </c>
      <c r="D442" t="s">
        <v>33</v>
      </c>
      <c r="E442" t="s">
        <v>39</v>
      </c>
      <c r="F442" t="s">
        <v>47</v>
      </c>
      <c r="G442">
        <v>31351</v>
      </c>
      <c r="H442">
        <v>0</v>
      </c>
      <c r="I442">
        <v>1</v>
      </c>
      <c r="J442">
        <v>1</v>
      </c>
      <c r="K442">
        <v>0</v>
      </c>
      <c r="L442" t="s">
        <v>48</v>
      </c>
      <c r="M442" t="s">
        <v>80</v>
      </c>
      <c r="N442" t="s">
        <v>49</v>
      </c>
      <c r="O442" t="s">
        <v>46</v>
      </c>
      <c r="P442" t="s">
        <v>67</v>
      </c>
      <c r="Q442" t="s">
        <v>44</v>
      </c>
      <c r="R442">
        <v>0</v>
      </c>
      <c r="S442">
        <v>1</v>
      </c>
      <c r="T442">
        <v>1</v>
      </c>
      <c r="U442">
        <v>1</v>
      </c>
      <c r="V442">
        <v>0</v>
      </c>
      <c r="W442">
        <v>0</v>
      </c>
      <c r="X442">
        <v>1</v>
      </c>
      <c r="Y442">
        <v>0</v>
      </c>
      <c r="Z442">
        <v>1</v>
      </c>
      <c r="AA442">
        <v>0</v>
      </c>
      <c r="AB442">
        <v>1</v>
      </c>
      <c r="AC442">
        <v>0</v>
      </c>
      <c r="AD442">
        <v>0</v>
      </c>
      <c r="AE442">
        <v>0</v>
      </c>
    </row>
    <row r="443" spans="1:31" x14ac:dyDescent="0.2">
      <c r="A443" t="s">
        <v>200</v>
      </c>
      <c r="B443" t="s">
        <v>32</v>
      </c>
      <c r="C443">
        <v>30</v>
      </c>
      <c r="D443" t="s">
        <v>33</v>
      </c>
      <c r="E443" t="s">
        <v>52</v>
      </c>
      <c r="F443" t="s">
        <v>69</v>
      </c>
      <c r="G443">
        <v>48689</v>
      </c>
      <c r="H443">
        <v>0</v>
      </c>
      <c r="I443">
        <v>0</v>
      </c>
      <c r="J443">
        <v>1</v>
      </c>
      <c r="K443">
        <v>0</v>
      </c>
      <c r="L443" t="s">
        <v>35</v>
      </c>
      <c r="M443" t="s">
        <v>35</v>
      </c>
      <c r="N443" t="s">
        <v>35</v>
      </c>
      <c r="O443" t="s">
        <v>35</v>
      </c>
      <c r="P443" t="s">
        <v>35</v>
      </c>
      <c r="Q443" t="s">
        <v>35</v>
      </c>
      <c r="R443" t="s">
        <v>35</v>
      </c>
      <c r="S443">
        <v>1</v>
      </c>
      <c r="T443">
        <v>1</v>
      </c>
      <c r="U443">
        <v>1</v>
      </c>
      <c r="V443">
        <v>0</v>
      </c>
      <c r="W443">
        <v>0</v>
      </c>
      <c r="X443">
        <v>1</v>
      </c>
      <c r="Y443">
        <v>0</v>
      </c>
      <c r="Z443">
        <v>1</v>
      </c>
      <c r="AA443">
        <v>0</v>
      </c>
      <c r="AB443">
        <v>1</v>
      </c>
      <c r="AC443">
        <v>0</v>
      </c>
      <c r="AD443">
        <v>0</v>
      </c>
      <c r="AE443">
        <v>0</v>
      </c>
    </row>
    <row r="444" spans="1:31" x14ac:dyDescent="0.2">
      <c r="A444" t="s">
        <v>200</v>
      </c>
      <c r="B444" t="s">
        <v>32</v>
      </c>
      <c r="C444">
        <v>30</v>
      </c>
      <c r="D444" t="s">
        <v>33</v>
      </c>
      <c r="E444" t="s">
        <v>39</v>
      </c>
      <c r="F444" t="s">
        <v>63</v>
      </c>
      <c r="G444">
        <v>19486</v>
      </c>
      <c r="H444">
        <v>0</v>
      </c>
      <c r="I444">
        <v>0</v>
      </c>
      <c r="J444">
        <v>0</v>
      </c>
      <c r="K444">
        <v>1</v>
      </c>
      <c r="L444" t="s">
        <v>85</v>
      </c>
      <c r="M444" t="s">
        <v>66</v>
      </c>
      <c r="N444" t="s">
        <v>90</v>
      </c>
      <c r="O444" t="s">
        <v>51</v>
      </c>
      <c r="P444" t="s">
        <v>45</v>
      </c>
      <c r="Q444" t="s">
        <v>44</v>
      </c>
      <c r="R444">
        <v>0</v>
      </c>
      <c r="S444">
        <v>1</v>
      </c>
      <c r="T444">
        <v>0</v>
      </c>
      <c r="U444">
        <v>0</v>
      </c>
      <c r="V444">
        <v>1</v>
      </c>
      <c r="W444">
        <v>0</v>
      </c>
      <c r="X444">
        <v>1</v>
      </c>
      <c r="Y444">
        <v>0</v>
      </c>
      <c r="Z444">
        <v>0</v>
      </c>
      <c r="AA444">
        <v>0</v>
      </c>
      <c r="AB444">
        <v>0</v>
      </c>
      <c r="AC444">
        <v>0</v>
      </c>
      <c r="AD444">
        <v>0</v>
      </c>
      <c r="AE444">
        <v>1</v>
      </c>
    </row>
    <row r="445" spans="1:31" x14ac:dyDescent="0.2">
      <c r="A445" t="s">
        <v>200</v>
      </c>
      <c r="B445" t="s">
        <v>32</v>
      </c>
      <c r="C445">
        <v>30</v>
      </c>
      <c r="D445" t="s">
        <v>33</v>
      </c>
      <c r="E445" t="s">
        <v>52</v>
      </c>
      <c r="F445" t="s">
        <v>74</v>
      </c>
      <c r="G445">
        <v>31836</v>
      </c>
      <c r="H445">
        <v>1</v>
      </c>
      <c r="I445">
        <v>0</v>
      </c>
      <c r="J445">
        <v>0</v>
      </c>
      <c r="K445">
        <v>0</v>
      </c>
      <c r="L445" t="s">
        <v>35</v>
      </c>
      <c r="M445" t="s">
        <v>35</v>
      </c>
      <c r="N445" t="s">
        <v>35</v>
      </c>
      <c r="O445" t="s">
        <v>35</v>
      </c>
      <c r="P445" t="s">
        <v>35</v>
      </c>
      <c r="Q445" t="s">
        <v>35</v>
      </c>
      <c r="R445" t="s">
        <v>35</v>
      </c>
      <c r="S445">
        <v>1</v>
      </c>
      <c r="T445">
        <v>0</v>
      </c>
      <c r="U445">
        <v>0</v>
      </c>
      <c r="V445">
        <v>1</v>
      </c>
      <c r="W445">
        <v>0</v>
      </c>
      <c r="X445">
        <v>1</v>
      </c>
      <c r="Y445">
        <v>0</v>
      </c>
      <c r="Z445">
        <v>0</v>
      </c>
      <c r="AA445">
        <v>0</v>
      </c>
      <c r="AB445">
        <v>0</v>
      </c>
      <c r="AC445">
        <v>0</v>
      </c>
      <c r="AD445">
        <v>0</v>
      </c>
      <c r="AE445">
        <v>1</v>
      </c>
    </row>
    <row r="446" spans="1:31" x14ac:dyDescent="0.2">
      <c r="A446" t="s">
        <v>200</v>
      </c>
      <c r="B446" t="s">
        <v>32</v>
      </c>
      <c r="C446">
        <v>30</v>
      </c>
      <c r="D446" t="s">
        <v>33</v>
      </c>
      <c r="E446" t="s">
        <v>39</v>
      </c>
      <c r="F446" t="s">
        <v>54</v>
      </c>
      <c r="G446">
        <v>56689</v>
      </c>
      <c r="H446">
        <v>0</v>
      </c>
      <c r="I446">
        <v>0</v>
      </c>
      <c r="J446">
        <v>1</v>
      </c>
      <c r="K446">
        <v>0</v>
      </c>
      <c r="L446" t="s">
        <v>122</v>
      </c>
      <c r="M446" t="s">
        <v>57</v>
      </c>
      <c r="N446" t="s">
        <v>89</v>
      </c>
      <c r="O446" t="s">
        <v>68</v>
      </c>
      <c r="P446" t="s">
        <v>46</v>
      </c>
      <c r="Q446" t="s">
        <v>67</v>
      </c>
      <c r="R446">
        <v>1</v>
      </c>
      <c r="S446">
        <v>0</v>
      </c>
      <c r="T446">
        <v>1</v>
      </c>
      <c r="U446">
        <v>1</v>
      </c>
      <c r="V446">
        <v>0</v>
      </c>
      <c r="W446">
        <v>0</v>
      </c>
      <c r="X446">
        <v>1</v>
      </c>
      <c r="Y446">
        <v>0</v>
      </c>
      <c r="Z446">
        <v>0</v>
      </c>
      <c r="AA446">
        <v>0</v>
      </c>
      <c r="AB446">
        <v>1</v>
      </c>
      <c r="AC446">
        <v>0</v>
      </c>
      <c r="AD446">
        <v>0</v>
      </c>
      <c r="AE446">
        <v>0</v>
      </c>
    </row>
    <row r="447" spans="1:31" x14ac:dyDescent="0.2">
      <c r="A447" t="s">
        <v>200</v>
      </c>
      <c r="B447" t="s">
        <v>32</v>
      </c>
      <c r="C447">
        <v>30</v>
      </c>
      <c r="D447" t="s">
        <v>33</v>
      </c>
      <c r="E447" t="s">
        <v>39</v>
      </c>
      <c r="F447" t="s">
        <v>59</v>
      </c>
      <c r="G447">
        <v>16992</v>
      </c>
      <c r="H447">
        <v>0</v>
      </c>
      <c r="I447">
        <v>0</v>
      </c>
      <c r="J447">
        <v>1</v>
      </c>
      <c r="K447">
        <v>0</v>
      </c>
      <c r="L447" t="s">
        <v>62</v>
      </c>
      <c r="M447" t="s">
        <v>83</v>
      </c>
      <c r="N447" t="s">
        <v>94</v>
      </c>
      <c r="O447" t="s">
        <v>45</v>
      </c>
      <c r="P447" t="s">
        <v>51</v>
      </c>
      <c r="Q447" t="s">
        <v>68</v>
      </c>
      <c r="R447">
        <v>1</v>
      </c>
      <c r="S447">
        <v>0</v>
      </c>
      <c r="T447">
        <v>0</v>
      </c>
      <c r="U447">
        <v>0</v>
      </c>
      <c r="V447">
        <v>1</v>
      </c>
      <c r="W447">
        <v>0</v>
      </c>
      <c r="X447">
        <v>1</v>
      </c>
      <c r="Y447">
        <v>1</v>
      </c>
      <c r="Z447">
        <v>0</v>
      </c>
      <c r="AA447">
        <v>0</v>
      </c>
      <c r="AB447">
        <v>0</v>
      </c>
      <c r="AC447">
        <v>0</v>
      </c>
      <c r="AD447">
        <v>0</v>
      </c>
      <c r="AE447">
        <v>0</v>
      </c>
    </row>
    <row r="448" spans="1:31" x14ac:dyDescent="0.2">
      <c r="A448" t="s">
        <v>200</v>
      </c>
      <c r="B448" t="s">
        <v>32</v>
      </c>
      <c r="C448">
        <v>30</v>
      </c>
      <c r="D448" t="s">
        <v>33</v>
      </c>
      <c r="E448" t="s">
        <v>52</v>
      </c>
      <c r="F448" t="s">
        <v>58</v>
      </c>
      <c r="G448">
        <v>26983</v>
      </c>
      <c r="H448">
        <v>1</v>
      </c>
      <c r="I448">
        <v>1</v>
      </c>
      <c r="J448">
        <v>0</v>
      </c>
      <c r="K448">
        <v>0</v>
      </c>
      <c r="L448" t="s">
        <v>35</v>
      </c>
      <c r="M448" t="s">
        <v>35</v>
      </c>
      <c r="N448" t="s">
        <v>35</v>
      </c>
      <c r="O448" t="s">
        <v>35</v>
      </c>
      <c r="P448" t="s">
        <v>35</v>
      </c>
      <c r="Q448" t="s">
        <v>35</v>
      </c>
      <c r="R448" t="s">
        <v>35</v>
      </c>
      <c r="S448">
        <v>0</v>
      </c>
      <c r="T448">
        <v>0</v>
      </c>
      <c r="U448">
        <v>0</v>
      </c>
      <c r="V448">
        <v>1</v>
      </c>
      <c r="W448">
        <v>0</v>
      </c>
      <c r="X448">
        <v>1</v>
      </c>
      <c r="Y448">
        <v>1</v>
      </c>
      <c r="Z448">
        <v>0</v>
      </c>
      <c r="AA448">
        <v>0</v>
      </c>
      <c r="AB448">
        <v>0</v>
      </c>
      <c r="AC448">
        <v>0</v>
      </c>
      <c r="AD448">
        <v>0</v>
      </c>
      <c r="AE448">
        <v>0</v>
      </c>
    </row>
    <row r="449" spans="1:31" x14ac:dyDescent="0.2">
      <c r="A449" t="s">
        <v>200</v>
      </c>
      <c r="B449" t="s">
        <v>32</v>
      </c>
      <c r="C449">
        <v>30</v>
      </c>
      <c r="D449" t="s">
        <v>33</v>
      </c>
      <c r="E449" t="s">
        <v>75</v>
      </c>
      <c r="F449" t="s">
        <v>35</v>
      </c>
      <c r="G449">
        <v>63497</v>
      </c>
      <c r="H449" t="s">
        <v>201</v>
      </c>
      <c r="I449" t="s">
        <v>202</v>
      </c>
      <c r="J449" t="s">
        <v>100</v>
      </c>
      <c r="K449" t="s">
        <v>35</v>
      </c>
      <c r="L449" t="s">
        <v>35</v>
      </c>
      <c r="M449" t="s">
        <v>35</v>
      </c>
      <c r="N449" t="s">
        <v>35</v>
      </c>
      <c r="O449" t="s">
        <v>35</v>
      </c>
      <c r="P449" t="s">
        <v>35</v>
      </c>
      <c r="Q449" t="s">
        <v>35</v>
      </c>
      <c r="R449" t="s">
        <v>35</v>
      </c>
      <c r="S449" t="s">
        <v>35</v>
      </c>
      <c r="T449" t="s">
        <v>35</v>
      </c>
      <c r="U449" t="s">
        <v>35</v>
      </c>
      <c r="V449" t="s">
        <v>35</v>
      </c>
      <c r="W449" t="s">
        <v>35</v>
      </c>
      <c r="X449" t="s">
        <v>35</v>
      </c>
      <c r="Y449" t="s">
        <v>35</v>
      </c>
      <c r="Z449" t="s">
        <v>35</v>
      </c>
      <c r="AA449" t="s">
        <v>35</v>
      </c>
      <c r="AB449" t="s">
        <v>35</v>
      </c>
      <c r="AC449" t="s">
        <v>35</v>
      </c>
      <c r="AD449" t="s">
        <v>35</v>
      </c>
      <c r="AE449" t="s">
        <v>35</v>
      </c>
    </row>
    <row r="450" spans="1:31" x14ac:dyDescent="0.2">
      <c r="A450" t="s">
        <v>203</v>
      </c>
      <c r="B450" t="s">
        <v>102</v>
      </c>
      <c r="C450">
        <v>50</v>
      </c>
      <c r="D450" t="s">
        <v>33</v>
      </c>
      <c r="E450" t="s">
        <v>34</v>
      </c>
      <c r="F450" t="s">
        <v>35</v>
      </c>
      <c r="G450">
        <v>39041</v>
      </c>
      <c r="H450" t="s">
        <v>35</v>
      </c>
      <c r="I450" t="s">
        <v>35</v>
      </c>
      <c r="J450" t="s">
        <v>35</v>
      </c>
      <c r="K450" t="s">
        <v>35</v>
      </c>
      <c r="L450" t="s">
        <v>35</v>
      </c>
      <c r="M450" t="s">
        <v>35</v>
      </c>
      <c r="N450" t="s">
        <v>35</v>
      </c>
      <c r="O450" t="s">
        <v>35</v>
      </c>
      <c r="P450" t="s">
        <v>35</v>
      </c>
      <c r="Q450" t="s">
        <v>35</v>
      </c>
      <c r="R450" t="s">
        <v>35</v>
      </c>
      <c r="S450" t="s">
        <v>35</v>
      </c>
      <c r="T450" t="s">
        <v>35</v>
      </c>
      <c r="U450" t="s">
        <v>35</v>
      </c>
      <c r="V450" t="s">
        <v>35</v>
      </c>
      <c r="W450" t="s">
        <v>35</v>
      </c>
      <c r="X450" t="s">
        <v>35</v>
      </c>
      <c r="Y450" t="s">
        <v>35</v>
      </c>
      <c r="Z450" t="s">
        <v>35</v>
      </c>
      <c r="AA450" t="s">
        <v>35</v>
      </c>
      <c r="AB450" t="s">
        <v>35</v>
      </c>
      <c r="AC450" t="s">
        <v>35</v>
      </c>
      <c r="AD450" t="s">
        <v>35</v>
      </c>
      <c r="AE450" t="s">
        <v>35</v>
      </c>
    </row>
    <row r="451" spans="1:31" x14ac:dyDescent="0.2">
      <c r="A451" t="s">
        <v>203</v>
      </c>
      <c r="B451" t="s">
        <v>102</v>
      </c>
      <c r="C451">
        <v>50</v>
      </c>
      <c r="D451" t="s">
        <v>33</v>
      </c>
      <c r="E451" t="s">
        <v>36</v>
      </c>
      <c r="F451" t="s">
        <v>37</v>
      </c>
      <c r="G451">
        <v>7386</v>
      </c>
      <c r="H451">
        <v>1</v>
      </c>
      <c r="I451">
        <v>0</v>
      </c>
      <c r="J451">
        <v>0</v>
      </c>
      <c r="K451">
        <v>0</v>
      </c>
      <c r="L451" t="s">
        <v>35</v>
      </c>
      <c r="M451" t="s">
        <v>35</v>
      </c>
      <c r="N451" t="s">
        <v>35</v>
      </c>
      <c r="O451" t="s">
        <v>35</v>
      </c>
      <c r="P451" t="s">
        <v>35</v>
      </c>
      <c r="Q451" t="s">
        <v>35</v>
      </c>
      <c r="R451" t="s">
        <v>35</v>
      </c>
      <c r="S451" t="s">
        <v>35</v>
      </c>
      <c r="T451" t="s">
        <v>35</v>
      </c>
      <c r="U451" t="s">
        <v>35</v>
      </c>
      <c r="V451" t="s">
        <v>35</v>
      </c>
      <c r="W451" t="s">
        <v>35</v>
      </c>
      <c r="X451" t="s">
        <v>35</v>
      </c>
      <c r="Y451" t="s">
        <v>35</v>
      </c>
      <c r="Z451" t="s">
        <v>35</v>
      </c>
      <c r="AA451" t="s">
        <v>35</v>
      </c>
      <c r="AB451" t="s">
        <v>35</v>
      </c>
      <c r="AC451" t="s">
        <v>35</v>
      </c>
      <c r="AD451" t="s">
        <v>35</v>
      </c>
      <c r="AE451" t="s">
        <v>35</v>
      </c>
    </row>
    <row r="452" spans="1:31" x14ac:dyDescent="0.2">
      <c r="A452" t="s">
        <v>203</v>
      </c>
      <c r="B452" t="s">
        <v>102</v>
      </c>
      <c r="C452">
        <v>50</v>
      </c>
      <c r="D452" t="s">
        <v>33</v>
      </c>
      <c r="E452" t="s">
        <v>36</v>
      </c>
      <c r="F452" t="s">
        <v>38</v>
      </c>
      <c r="G452">
        <v>8287</v>
      </c>
      <c r="H452">
        <v>1</v>
      </c>
      <c r="I452">
        <v>0</v>
      </c>
      <c r="J452">
        <v>0</v>
      </c>
      <c r="K452">
        <v>0</v>
      </c>
      <c r="L452" t="s">
        <v>35</v>
      </c>
      <c r="M452" t="s">
        <v>35</v>
      </c>
      <c r="N452" t="s">
        <v>35</v>
      </c>
      <c r="O452" t="s">
        <v>35</v>
      </c>
      <c r="P452" t="s">
        <v>35</v>
      </c>
      <c r="Q452" t="s">
        <v>35</v>
      </c>
      <c r="R452" t="s">
        <v>35</v>
      </c>
      <c r="S452" t="s">
        <v>35</v>
      </c>
      <c r="T452" t="s">
        <v>35</v>
      </c>
      <c r="U452" t="s">
        <v>35</v>
      </c>
      <c r="V452" t="s">
        <v>35</v>
      </c>
      <c r="W452" t="s">
        <v>35</v>
      </c>
      <c r="X452" t="s">
        <v>35</v>
      </c>
      <c r="Y452" t="s">
        <v>35</v>
      </c>
      <c r="Z452" t="s">
        <v>35</v>
      </c>
      <c r="AA452" t="s">
        <v>35</v>
      </c>
      <c r="AB452" t="s">
        <v>35</v>
      </c>
      <c r="AC452" t="s">
        <v>35</v>
      </c>
      <c r="AD452" t="s">
        <v>35</v>
      </c>
      <c r="AE452" t="s">
        <v>35</v>
      </c>
    </row>
    <row r="453" spans="1:31" x14ac:dyDescent="0.2">
      <c r="A453" t="s">
        <v>203</v>
      </c>
      <c r="B453" t="s">
        <v>102</v>
      </c>
      <c r="C453">
        <v>50</v>
      </c>
      <c r="D453" t="s">
        <v>33</v>
      </c>
      <c r="E453" t="s">
        <v>39</v>
      </c>
      <c r="F453" t="s">
        <v>40</v>
      </c>
      <c r="G453">
        <v>12015</v>
      </c>
      <c r="H453">
        <v>1</v>
      </c>
      <c r="I453">
        <v>1</v>
      </c>
      <c r="J453">
        <v>1</v>
      </c>
      <c r="K453">
        <v>0</v>
      </c>
      <c r="L453" t="s">
        <v>41</v>
      </c>
      <c r="M453" t="s">
        <v>91</v>
      </c>
      <c r="N453" t="s">
        <v>43</v>
      </c>
      <c r="O453" t="s">
        <v>44</v>
      </c>
      <c r="P453" t="s">
        <v>51</v>
      </c>
      <c r="Q453" t="s">
        <v>46</v>
      </c>
      <c r="R453">
        <v>0</v>
      </c>
      <c r="S453">
        <v>1</v>
      </c>
      <c r="T453">
        <v>1</v>
      </c>
      <c r="U453">
        <v>0</v>
      </c>
      <c r="V453">
        <v>0</v>
      </c>
      <c r="W453">
        <v>0</v>
      </c>
      <c r="X453">
        <v>1</v>
      </c>
      <c r="Y453">
        <v>0</v>
      </c>
      <c r="Z453">
        <v>1</v>
      </c>
      <c r="AA453">
        <v>1</v>
      </c>
      <c r="AB453">
        <v>0</v>
      </c>
      <c r="AC453">
        <v>0</v>
      </c>
      <c r="AD453">
        <v>0</v>
      </c>
      <c r="AE453">
        <v>0</v>
      </c>
    </row>
    <row r="454" spans="1:31" x14ac:dyDescent="0.2">
      <c r="A454" t="s">
        <v>203</v>
      </c>
      <c r="B454" t="s">
        <v>102</v>
      </c>
      <c r="C454">
        <v>50</v>
      </c>
      <c r="D454" t="s">
        <v>33</v>
      </c>
      <c r="E454" t="s">
        <v>52</v>
      </c>
      <c r="F454" t="s">
        <v>58</v>
      </c>
      <c r="G454">
        <v>8798</v>
      </c>
      <c r="H454">
        <v>1</v>
      </c>
      <c r="I454">
        <v>1</v>
      </c>
      <c r="J454">
        <v>1</v>
      </c>
      <c r="K454">
        <v>0</v>
      </c>
      <c r="L454" t="s">
        <v>35</v>
      </c>
      <c r="M454" t="s">
        <v>35</v>
      </c>
      <c r="N454" t="s">
        <v>35</v>
      </c>
      <c r="O454" t="s">
        <v>35</v>
      </c>
      <c r="P454" t="s">
        <v>35</v>
      </c>
      <c r="Q454" t="s">
        <v>35</v>
      </c>
      <c r="R454" t="s">
        <v>35</v>
      </c>
      <c r="S454">
        <v>1</v>
      </c>
      <c r="T454">
        <v>1</v>
      </c>
      <c r="U454">
        <v>0</v>
      </c>
      <c r="V454">
        <v>0</v>
      </c>
      <c r="W454">
        <v>0</v>
      </c>
      <c r="X454">
        <v>1</v>
      </c>
      <c r="Y454">
        <v>0</v>
      </c>
      <c r="Z454">
        <v>1</v>
      </c>
      <c r="AA454">
        <v>1</v>
      </c>
      <c r="AB454">
        <v>0</v>
      </c>
      <c r="AC454">
        <v>0</v>
      </c>
      <c r="AD454">
        <v>0</v>
      </c>
      <c r="AE454">
        <v>0</v>
      </c>
    </row>
    <row r="455" spans="1:31" x14ac:dyDescent="0.2">
      <c r="A455" t="s">
        <v>203</v>
      </c>
      <c r="B455" t="s">
        <v>102</v>
      </c>
      <c r="C455">
        <v>50</v>
      </c>
      <c r="D455" t="s">
        <v>33</v>
      </c>
      <c r="E455" t="s">
        <v>39</v>
      </c>
      <c r="F455" t="s">
        <v>54</v>
      </c>
      <c r="G455">
        <v>13969</v>
      </c>
      <c r="H455">
        <v>1</v>
      </c>
      <c r="I455">
        <v>1</v>
      </c>
      <c r="J455">
        <v>1</v>
      </c>
      <c r="K455">
        <v>0</v>
      </c>
      <c r="L455" t="s">
        <v>57</v>
      </c>
      <c r="M455" t="s">
        <v>56</v>
      </c>
      <c r="N455" t="s">
        <v>55</v>
      </c>
      <c r="O455" t="s">
        <v>46</v>
      </c>
      <c r="P455" t="s">
        <v>45</v>
      </c>
      <c r="Q455" t="s">
        <v>44</v>
      </c>
      <c r="R455">
        <v>0</v>
      </c>
      <c r="S455">
        <v>1</v>
      </c>
      <c r="T455">
        <v>1</v>
      </c>
      <c r="U455">
        <v>0</v>
      </c>
      <c r="V455">
        <v>1</v>
      </c>
      <c r="W455">
        <v>0</v>
      </c>
      <c r="X455">
        <v>1</v>
      </c>
      <c r="Y455">
        <v>0</v>
      </c>
      <c r="Z455">
        <v>1</v>
      </c>
      <c r="AA455">
        <v>1</v>
      </c>
      <c r="AB455">
        <v>0</v>
      </c>
      <c r="AC455">
        <v>1</v>
      </c>
      <c r="AD455">
        <v>0</v>
      </c>
      <c r="AE455">
        <v>0</v>
      </c>
    </row>
    <row r="456" spans="1:31" x14ac:dyDescent="0.2">
      <c r="A456" t="s">
        <v>203</v>
      </c>
      <c r="B456" t="s">
        <v>102</v>
      </c>
      <c r="C456">
        <v>50</v>
      </c>
      <c r="D456" t="s">
        <v>33</v>
      </c>
      <c r="E456" t="s">
        <v>39</v>
      </c>
      <c r="F456" t="s">
        <v>59</v>
      </c>
      <c r="G456">
        <v>11167</v>
      </c>
      <c r="H456">
        <v>1</v>
      </c>
      <c r="I456">
        <v>1</v>
      </c>
      <c r="J456">
        <v>1</v>
      </c>
      <c r="K456">
        <v>0</v>
      </c>
      <c r="L456" t="s">
        <v>94</v>
      </c>
      <c r="M456" t="s">
        <v>60</v>
      </c>
      <c r="N456" t="s">
        <v>99</v>
      </c>
      <c r="O456" t="s">
        <v>68</v>
      </c>
      <c r="P456" t="s">
        <v>44</v>
      </c>
      <c r="Q456" t="s">
        <v>67</v>
      </c>
      <c r="R456">
        <v>1</v>
      </c>
      <c r="S456">
        <v>1</v>
      </c>
      <c r="T456">
        <v>0</v>
      </c>
      <c r="U456">
        <v>1</v>
      </c>
      <c r="V456">
        <v>0</v>
      </c>
      <c r="W456">
        <v>0</v>
      </c>
      <c r="X456">
        <v>1</v>
      </c>
      <c r="Y456">
        <v>1</v>
      </c>
      <c r="Z456">
        <v>1</v>
      </c>
      <c r="AA456">
        <v>0</v>
      </c>
      <c r="AB456">
        <v>1</v>
      </c>
      <c r="AC456">
        <v>0</v>
      </c>
      <c r="AD456">
        <v>0</v>
      </c>
      <c r="AE456">
        <v>0</v>
      </c>
    </row>
    <row r="457" spans="1:31" x14ac:dyDescent="0.2">
      <c r="A457" t="s">
        <v>203</v>
      </c>
      <c r="B457" t="s">
        <v>102</v>
      </c>
      <c r="C457">
        <v>50</v>
      </c>
      <c r="D457" t="s">
        <v>33</v>
      </c>
      <c r="E457" t="s">
        <v>52</v>
      </c>
      <c r="F457" t="s">
        <v>74</v>
      </c>
      <c r="G457">
        <v>10458</v>
      </c>
      <c r="H457">
        <v>1</v>
      </c>
      <c r="I457">
        <v>1</v>
      </c>
      <c r="J457">
        <v>1</v>
      </c>
      <c r="K457">
        <v>0</v>
      </c>
      <c r="L457" t="s">
        <v>35</v>
      </c>
      <c r="M457" t="s">
        <v>35</v>
      </c>
      <c r="N457" t="s">
        <v>35</v>
      </c>
      <c r="O457" t="s">
        <v>35</v>
      </c>
      <c r="P457" t="s">
        <v>35</v>
      </c>
      <c r="Q457" t="s">
        <v>35</v>
      </c>
      <c r="R457" t="s">
        <v>35</v>
      </c>
      <c r="S457">
        <v>1</v>
      </c>
      <c r="T457">
        <v>0</v>
      </c>
      <c r="U457">
        <v>1</v>
      </c>
      <c r="V457">
        <v>0</v>
      </c>
      <c r="W457">
        <v>0</v>
      </c>
      <c r="X457">
        <v>1</v>
      </c>
      <c r="Y457">
        <v>1</v>
      </c>
      <c r="Z457">
        <v>1</v>
      </c>
      <c r="AA457">
        <v>0</v>
      </c>
      <c r="AB457">
        <v>1</v>
      </c>
      <c r="AC457">
        <v>0</v>
      </c>
      <c r="AD457">
        <v>0</v>
      </c>
      <c r="AE457">
        <v>0</v>
      </c>
    </row>
    <row r="458" spans="1:31" x14ac:dyDescent="0.2">
      <c r="A458" t="s">
        <v>203</v>
      </c>
      <c r="B458" t="s">
        <v>102</v>
      </c>
      <c r="C458">
        <v>50</v>
      </c>
      <c r="D458" t="s">
        <v>33</v>
      </c>
      <c r="E458" t="s">
        <v>39</v>
      </c>
      <c r="F458" t="s">
        <v>47</v>
      </c>
      <c r="G458">
        <v>11049</v>
      </c>
      <c r="H458">
        <v>0</v>
      </c>
      <c r="I458">
        <v>0</v>
      </c>
      <c r="J458">
        <v>1</v>
      </c>
      <c r="K458">
        <v>0</v>
      </c>
      <c r="L458" t="s">
        <v>79</v>
      </c>
      <c r="M458" t="s">
        <v>80</v>
      </c>
      <c r="N458" t="s">
        <v>50</v>
      </c>
      <c r="O458" t="s">
        <v>45</v>
      </c>
      <c r="P458" t="s">
        <v>67</v>
      </c>
      <c r="Q458" t="s">
        <v>51</v>
      </c>
      <c r="R458">
        <v>0</v>
      </c>
      <c r="S458">
        <v>0</v>
      </c>
      <c r="T458">
        <v>0</v>
      </c>
      <c r="U458">
        <v>1</v>
      </c>
      <c r="V458">
        <v>1</v>
      </c>
      <c r="W458">
        <v>0</v>
      </c>
      <c r="X458">
        <v>1</v>
      </c>
      <c r="Y458">
        <v>0</v>
      </c>
      <c r="Z458">
        <v>0</v>
      </c>
      <c r="AA458">
        <v>0</v>
      </c>
      <c r="AB458">
        <v>0</v>
      </c>
      <c r="AC458">
        <v>0</v>
      </c>
      <c r="AD458">
        <v>0</v>
      </c>
      <c r="AE458">
        <v>0</v>
      </c>
    </row>
    <row r="459" spans="1:31" x14ac:dyDescent="0.2">
      <c r="A459" t="s">
        <v>203</v>
      </c>
      <c r="B459" t="s">
        <v>102</v>
      </c>
      <c r="C459">
        <v>50</v>
      </c>
      <c r="D459" t="s">
        <v>33</v>
      </c>
      <c r="E459" t="s">
        <v>52</v>
      </c>
      <c r="F459" t="s">
        <v>69</v>
      </c>
      <c r="G459">
        <v>7236</v>
      </c>
      <c r="H459">
        <v>0</v>
      </c>
      <c r="I459">
        <v>1</v>
      </c>
      <c r="J459">
        <v>0</v>
      </c>
      <c r="K459">
        <v>0</v>
      </c>
      <c r="L459" t="s">
        <v>35</v>
      </c>
      <c r="M459" t="s">
        <v>35</v>
      </c>
      <c r="N459" t="s">
        <v>35</v>
      </c>
      <c r="O459" t="s">
        <v>35</v>
      </c>
      <c r="P459" t="s">
        <v>35</v>
      </c>
      <c r="Q459" t="s">
        <v>35</v>
      </c>
      <c r="R459" t="s">
        <v>35</v>
      </c>
      <c r="S459">
        <v>0</v>
      </c>
      <c r="T459">
        <v>0</v>
      </c>
      <c r="U459">
        <v>1</v>
      </c>
      <c r="V459">
        <v>1</v>
      </c>
      <c r="W459">
        <v>0</v>
      </c>
      <c r="X459">
        <v>1</v>
      </c>
      <c r="Y459">
        <v>0</v>
      </c>
      <c r="Z459">
        <v>0</v>
      </c>
      <c r="AA459">
        <v>0</v>
      </c>
      <c r="AB459">
        <v>0</v>
      </c>
      <c r="AC459">
        <v>0</v>
      </c>
      <c r="AD459">
        <v>0</v>
      </c>
      <c r="AE459">
        <v>0</v>
      </c>
    </row>
    <row r="460" spans="1:31" x14ac:dyDescent="0.2">
      <c r="A460" t="s">
        <v>203</v>
      </c>
      <c r="B460" t="s">
        <v>102</v>
      </c>
      <c r="C460">
        <v>50</v>
      </c>
      <c r="D460" t="s">
        <v>33</v>
      </c>
      <c r="E460" t="s">
        <v>39</v>
      </c>
      <c r="F460" t="s">
        <v>70</v>
      </c>
      <c r="G460">
        <v>11499</v>
      </c>
      <c r="H460">
        <v>0</v>
      </c>
      <c r="I460">
        <v>1</v>
      </c>
      <c r="J460">
        <v>1</v>
      </c>
      <c r="K460">
        <v>0</v>
      </c>
      <c r="L460" t="s">
        <v>72</v>
      </c>
      <c r="M460" t="s">
        <v>71</v>
      </c>
      <c r="N460" t="s">
        <v>86</v>
      </c>
      <c r="O460" t="s">
        <v>67</v>
      </c>
      <c r="P460" t="s">
        <v>45</v>
      </c>
      <c r="Q460" t="s">
        <v>46</v>
      </c>
      <c r="R460">
        <v>0</v>
      </c>
      <c r="S460">
        <v>0</v>
      </c>
      <c r="T460">
        <v>1</v>
      </c>
      <c r="U460">
        <v>1</v>
      </c>
      <c r="V460">
        <v>1</v>
      </c>
      <c r="W460">
        <v>0</v>
      </c>
      <c r="X460">
        <v>1</v>
      </c>
      <c r="Y460">
        <v>0</v>
      </c>
      <c r="Z460">
        <v>0</v>
      </c>
      <c r="AA460">
        <v>1</v>
      </c>
      <c r="AB460">
        <v>0</v>
      </c>
      <c r="AC460">
        <v>1</v>
      </c>
      <c r="AD460">
        <v>0</v>
      </c>
      <c r="AE460">
        <v>0</v>
      </c>
    </row>
    <row r="461" spans="1:31" x14ac:dyDescent="0.2">
      <c r="A461" t="s">
        <v>203</v>
      </c>
      <c r="B461" t="s">
        <v>102</v>
      </c>
      <c r="C461">
        <v>50</v>
      </c>
      <c r="D461" t="s">
        <v>33</v>
      </c>
      <c r="E461" t="s">
        <v>39</v>
      </c>
      <c r="F461" t="s">
        <v>63</v>
      </c>
      <c r="G461">
        <v>8246</v>
      </c>
      <c r="H461">
        <v>0</v>
      </c>
      <c r="I461">
        <v>1</v>
      </c>
      <c r="J461">
        <v>0</v>
      </c>
      <c r="K461">
        <v>0</v>
      </c>
      <c r="L461" t="s">
        <v>66</v>
      </c>
      <c r="M461" t="s">
        <v>65</v>
      </c>
      <c r="N461" t="s">
        <v>84</v>
      </c>
      <c r="O461" t="s">
        <v>45</v>
      </c>
      <c r="P461" t="s">
        <v>68</v>
      </c>
      <c r="Q461" t="s">
        <v>46</v>
      </c>
      <c r="R461">
        <v>1</v>
      </c>
      <c r="S461">
        <v>0</v>
      </c>
      <c r="T461">
        <v>1</v>
      </c>
      <c r="U461">
        <v>0</v>
      </c>
      <c r="V461">
        <v>1</v>
      </c>
      <c r="W461">
        <v>0</v>
      </c>
      <c r="X461">
        <v>1</v>
      </c>
      <c r="Y461">
        <v>1</v>
      </c>
      <c r="Z461">
        <v>0</v>
      </c>
      <c r="AA461">
        <v>0</v>
      </c>
      <c r="AB461">
        <v>0</v>
      </c>
      <c r="AC461">
        <v>0</v>
      </c>
      <c r="AD461">
        <v>0</v>
      </c>
      <c r="AE461">
        <v>0</v>
      </c>
    </row>
    <row r="462" spans="1:31" x14ac:dyDescent="0.2">
      <c r="A462" t="s">
        <v>203</v>
      </c>
      <c r="B462" t="s">
        <v>102</v>
      </c>
      <c r="C462">
        <v>50</v>
      </c>
      <c r="D462" t="s">
        <v>33</v>
      </c>
      <c r="E462" t="s">
        <v>52</v>
      </c>
      <c r="F462" t="s">
        <v>53</v>
      </c>
      <c r="G462">
        <v>5747</v>
      </c>
      <c r="H462">
        <v>0</v>
      </c>
      <c r="I462">
        <v>0</v>
      </c>
      <c r="J462">
        <v>1</v>
      </c>
      <c r="K462">
        <v>0</v>
      </c>
      <c r="L462" t="s">
        <v>35</v>
      </c>
      <c r="M462" t="s">
        <v>35</v>
      </c>
      <c r="N462" t="s">
        <v>35</v>
      </c>
      <c r="O462" t="s">
        <v>35</v>
      </c>
      <c r="P462" t="s">
        <v>35</v>
      </c>
      <c r="Q462" t="s">
        <v>35</v>
      </c>
      <c r="R462" t="s">
        <v>35</v>
      </c>
      <c r="S462">
        <v>0</v>
      </c>
      <c r="T462">
        <v>1</v>
      </c>
      <c r="U462">
        <v>0</v>
      </c>
      <c r="V462">
        <v>1</v>
      </c>
      <c r="W462">
        <v>0</v>
      </c>
      <c r="X462">
        <v>1</v>
      </c>
      <c r="Y462">
        <v>1</v>
      </c>
      <c r="Z462">
        <v>0</v>
      </c>
      <c r="AA462">
        <v>0</v>
      </c>
      <c r="AB462">
        <v>0</v>
      </c>
      <c r="AC462">
        <v>0</v>
      </c>
      <c r="AD462">
        <v>0</v>
      </c>
      <c r="AE462">
        <v>0</v>
      </c>
    </row>
    <row r="463" spans="1:31" x14ac:dyDescent="0.2">
      <c r="A463" t="s">
        <v>203</v>
      </c>
      <c r="B463" t="s">
        <v>102</v>
      </c>
      <c r="C463">
        <v>50</v>
      </c>
      <c r="D463" t="s">
        <v>33</v>
      </c>
      <c r="E463" t="s">
        <v>75</v>
      </c>
      <c r="F463" t="s">
        <v>35</v>
      </c>
      <c r="G463">
        <v>105161</v>
      </c>
      <c r="H463" t="s">
        <v>204</v>
      </c>
      <c r="I463" t="s">
        <v>205</v>
      </c>
      <c r="J463" t="s">
        <v>76</v>
      </c>
      <c r="K463" t="s">
        <v>35</v>
      </c>
      <c r="L463" t="s">
        <v>35</v>
      </c>
      <c r="M463" t="s">
        <v>35</v>
      </c>
      <c r="N463" t="s">
        <v>35</v>
      </c>
      <c r="O463" t="s">
        <v>35</v>
      </c>
      <c r="P463" t="s">
        <v>35</v>
      </c>
      <c r="Q463" t="s">
        <v>35</v>
      </c>
      <c r="R463" t="s">
        <v>35</v>
      </c>
      <c r="S463" t="s">
        <v>35</v>
      </c>
      <c r="T463" t="s">
        <v>35</v>
      </c>
      <c r="U463" t="s">
        <v>35</v>
      </c>
      <c r="V463" t="s">
        <v>35</v>
      </c>
      <c r="W463" t="s">
        <v>35</v>
      </c>
      <c r="X463" t="s">
        <v>35</v>
      </c>
      <c r="Y463" t="s">
        <v>35</v>
      </c>
      <c r="Z463" t="s">
        <v>35</v>
      </c>
      <c r="AA463" t="s">
        <v>35</v>
      </c>
      <c r="AB463" t="s">
        <v>35</v>
      </c>
      <c r="AC463" t="s">
        <v>35</v>
      </c>
      <c r="AD463" t="s">
        <v>35</v>
      </c>
      <c r="AE463" t="s">
        <v>35</v>
      </c>
    </row>
    <row r="464" spans="1:31" x14ac:dyDescent="0.2">
      <c r="A464" t="s">
        <v>206</v>
      </c>
      <c r="B464" t="s">
        <v>207</v>
      </c>
      <c r="C464">
        <v>30</v>
      </c>
      <c r="D464" t="s">
        <v>208</v>
      </c>
      <c r="E464" t="s">
        <v>34</v>
      </c>
      <c r="F464" t="s">
        <v>35</v>
      </c>
      <c r="G464">
        <v>30903</v>
      </c>
      <c r="H464" t="s">
        <v>35</v>
      </c>
      <c r="I464" t="s">
        <v>35</v>
      </c>
      <c r="J464" t="s">
        <v>35</v>
      </c>
      <c r="K464" t="s">
        <v>35</v>
      </c>
      <c r="L464" t="s">
        <v>35</v>
      </c>
      <c r="M464" t="s">
        <v>35</v>
      </c>
      <c r="N464" t="s">
        <v>35</v>
      </c>
      <c r="O464" t="s">
        <v>35</v>
      </c>
      <c r="P464" t="s">
        <v>35</v>
      </c>
      <c r="Q464" t="s">
        <v>35</v>
      </c>
      <c r="R464" t="s">
        <v>35</v>
      </c>
      <c r="S464" t="s">
        <v>35</v>
      </c>
      <c r="T464" t="s">
        <v>35</v>
      </c>
      <c r="U464" t="s">
        <v>35</v>
      </c>
      <c r="V464" t="s">
        <v>35</v>
      </c>
      <c r="W464" t="s">
        <v>35</v>
      </c>
      <c r="X464" t="s">
        <v>35</v>
      </c>
      <c r="Y464" t="s">
        <v>35</v>
      </c>
      <c r="Z464" t="s">
        <v>35</v>
      </c>
      <c r="AA464" t="s">
        <v>35</v>
      </c>
      <c r="AB464" t="s">
        <v>35</v>
      </c>
      <c r="AC464" t="s">
        <v>35</v>
      </c>
      <c r="AD464" t="s">
        <v>35</v>
      </c>
      <c r="AE464" t="s">
        <v>35</v>
      </c>
    </row>
    <row r="465" spans="1:31" x14ac:dyDescent="0.2">
      <c r="A465" t="s">
        <v>206</v>
      </c>
      <c r="B465" t="s">
        <v>207</v>
      </c>
      <c r="C465">
        <v>30</v>
      </c>
      <c r="D465" t="s">
        <v>208</v>
      </c>
      <c r="E465" t="s">
        <v>36</v>
      </c>
      <c r="F465" t="s">
        <v>37</v>
      </c>
      <c r="G465">
        <v>69876</v>
      </c>
      <c r="H465">
        <v>0</v>
      </c>
      <c r="I465">
        <v>1</v>
      </c>
      <c r="J465">
        <v>1</v>
      </c>
      <c r="K465">
        <v>0</v>
      </c>
      <c r="L465" t="s">
        <v>35</v>
      </c>
      <c r="M465" t="s">
        <v>35</v>
      </c>
      <c r="N465" t="s">
        <v>35</v>
      </c>
      <c r="O465" t="s">
        <v>35</v>
      </c>
      <c r="P465" t="s">
        <v>35</v>
      </c>
      <c r="Q465" t="s">
        <v>35</v>
      </c>
      <c r="R465" t="s">
        <v>35</v>
      </c>
      <c r="S465" t="s">
        <v>35</v>
      </c>
      <c r="T465" t="s">
        <v>35</v>
      </c>
      <c r="U465" t="s">
        <v>35</v>
      </c>
      <c r="V465" t="s">
        <v>35</v>
      </c>
      <c r="W465" t="s">
        <v>35</v>
      </c>
      <c r="X465" t="s">
        <v>35</v>
      </c>
      <c r="Y465" t="s">
        <v>35</v>
      </c>
      <c r="Z465" t="s">
        <v>35</v>
      </c>
      <c r="AA465" t="s">
        <v>35</v>
      </c>
      <c r="AB465" t="s">
        <v>35</v>
      </c>
      <c r="AC465" t="s">
        <v>35</v>
      </c>
      <c r="AD465" t="s">
        <v>35</v>
      </c>
      <c r="AE465" t="s">
        <v>35</v>
      </c>
    </row>
    <row r="466" spans="1:31" x14ac:dyDescent="0.2">
      <c r="A466" t="s">
        <v>206</v>
      </c>
      <c r="B466" t="s">
        <v>207</v>
      </c>
      <c r="C466">
        <v>30</v>
      </c>
      <c r="D466" t="s">
        <v>208</v>
      </c>
      <c r="E466" t="s">
        <v>36</v>
      </c>
      <c r="F466" t="s">
        <v>38</v>
      </c>
      <c r="G466">
        <v>66814</v>
      </c>
      <c r="H466">
        <v>0</v>
      </c>
      <c r="I466">
        <v>0</v>
      </c>
      <c r="J466">
        <v>0</v>
      </c>
      <c r="K466">
        <v>1</v>
      </c>
      <c r="L466" t="s">
        <v>35</v>
      </c>
      <c r="M466" t="s">
        <v>35</v>
      </c>
      <c r="N466" t="s">
        <v>35</v>
      </c>
      <c r="O466" t="s">
        <v>35</v>
      </c>
      <c r="P466" t="s">
        <v>35</v>
      </c>
      <c r="Q466" t="s">
        <v>35</v>
      </c>
      <c r="R466" t="s">
        <v>35</v>
      </c>
      <c r="S466" t="s">
        <v>35</v>
      </c>
      <c r="T466" t="s">
        <v>35</v>
      </c>
      <c r="U466" t="s">
        <v>35</v>
      </c>
      <c r="V466" t="s">
        <v>35</v>
      </c>
      <c r="W466" t="s">
        <v>35</v>
      </c>
      <c r="X466" t="s">
        <v>35</v>
      </c>
      <c r="Y466" t="s">
        <v>35</v>
      </c>
      <c r="Z466" t="s">
        <v>35</v>
      </c>
      <c r="AA466" t="s">
        <v>35</v>
      </c>
      <c r="AB466" t="s">
        <v>35</v>
      </c>
      <c r="AC466" t="s">
        <v>35</v>
      </c>
      <c r="AD466" t="s">
        <v>35</v>
      </c>
      <c r="AE466" t="s">
        <v>35</v>
      </c>
    </row>
    <row r="467" spans="1:31" x14ac:dyDescent="0.2">
      <c r="A467" t="s">
        <v>206</v>
      </c>
      <c r="B467" t="s">
        <v>207</v>
      </c>
      <c r="C467">
        <v>30</v>
      </c>
      <c r="D467" t="s">
        <v>208</v>
      </c>
      <c r="E467" t="s">
        <v>39</v>
      </c>
      <c r="F467" t="s">
        <v>54</v>
      </c>
      <c r="G467">
        <v>30087</v>
      </c>
      <c r="H467">
        <v>0</v>
      </c>
      <c r="I467">
        <v>0</v>
      </c>
      <c r="J467">
        <v>0</v>
      </c>
      <c r="K467">
        <v>1</v>
      </c>
      <c r="L467" t="s">
        <v>55</v>
      </c>
      <c r="M467" t="s">
        <v>56</v>
      </c>
      <c r="N467" t="s">
        <v>89</v>
      </c>
      <c r="O467" t="s">
        <v>44</v>
      </c>
      <c r="P467" t="s">
        <v>45</v>
      </c>
      <c r="Q467" t="s">
        <v>67</v>
      </c>
      <c r="R467">
        <v>0</v>
      </c>
      <c r="S467">
        <v>1</v>
      </c>
      <c r="T467">
        <v>0</v>
      </c>
      <c r="U467">
        <v>1</v>
      </c>
      <c r="V467">
        <v>1</v>
      </c>
      <c r="W467">
        <v>0</v>
      </c>
      <c r="X467">
        <v>1</v>
      </c>
      <c r="Y467">
        <v>0</v>
      </c>
      <c r="Z467">
        <v>0</v>
      </c>
      <c r="AA467">
        <v>0</v>
      </c>
      <c r="AB467">
        <v>0</v>
      </c>
      <c r="AC467">
        <v>0</v>
      </c>
      <c r="AD467">
        <v>0</v>
      </c>
      <c r="AE467">
        <v>1</v>
      </c>
    </row>
    <row r="468" spans="1:31" x14ac:dyDescent="0.2">
      <c r="A468" t="s">
        <v>206</v>
      </c>
      <c r="B468" t="s">
        <v>207</v>
      </c>
      <c r="C468">
        <v>30</v>
      </c>
      <c r="D468" t="s">
        <v>208</v>
      </c>
      <c r="E468" t="s">
        <v>39</v>
      </c>
      <c r="F468" t="s">
        <v>59</v>
      </c>
      <c r="G468">
        <v>35700</v>
      </c>
      <c r="H468">
        <v>0</v>
      </c>
      <c r="I468">
        <v>0</v>
      </c>
      <c r="J468">
        <v>0</v>
      </c>
      <c r="K468">
        <v>1</v>
      </c>
      <c r="L468" t="s">
        <v>83</v>
      </c>
      <c r="M468" t="s">
        <v>99</v>
      </c>
      <c r="N468" t="s">
        <v>94</v>
      </c>
      <c r="O468" t="s">
        <v>51</v>
      </c>
      <c r="P468" t="s">
        <v>67</v>
      </c>
      <c r="Q468" t="s">
        <v>68</v>
      </c>
      <c r="R468">
        <v>1</v>
      </c>
      <c r="S468">
        <v>0</v>
      </c>
      <c r="T468">
        <v>0</v>
      </c>
      <c r="U468">
        <v>1</v>
      </c>
      <c r="V468">
        <v>0</v>
      </c>
      <c r="W468">
        <v>0</v>
      </c>
      <c r="X468">
        <v>1</v>
      </c>
      <c r="Y468">
        <v>0</v>
      </c>
      <c r="Z468">
        <v>0</v>
      </c>
      <c r="AA468">
        <v>0</v>
      </c>
      <c r="AB468">
        <v>0</v>
      </c>
      <c r="AC468">
        <v>0</v>
      </c>
      <c r="AD468">
        <v>0</v>
      </c>
      <c r="AE468">
        <v>1</v>
      </c>
    </row>
    <row r="469" spans="1:31" x14ac:dyDescent="0.2">
      <c r="A469" t="s">
        <v>206</v>
      </c>
      <c r="B469" t="s">
        <v>207</v>
      </c>
      <c r="C469">
        <v>30</v>
      </c>
      <c r="D469" t="s">
        <v>208</v>
      </c>
      <c r="E469" t="s">
        <v>52</v>
      </c>
      <c r="F469" t="s">
        <v>74</v>
      </c>
      <c r="G469">
        <v>28290</v>
      </c>
      <c r="H469">
        <v>1</v>
      </c>
      <c r="I469">
        <v>0</v>
      </c>
      <c r="J469">
        <v>0</v>
      </c>
      <c r="K469">
        <v>0</v>
      </c>
      <c r="L469" t="s">
        <v>35</v>
      </c>
      <c r="M469" t="s">
        <v>35</v>
      </c>
      <c r="N469" t="s">
        <v>35</v>
      </c>
      <c r="O469" t="s">
        <v>35</v>
      </c>
      <c r="P469" t="s">
        <v>35</v>
      </c>
      <c r="Q469" t="s">
        <v>35</v>
      </c>
      <c r="R469" t="s">
        <v>35</v>
      </c>
      <c r="S469">
        <v>0</v>
      </c>
      <c r="T469">
        <v>0</v>
      </c>
      <c r="U469">
        <v>1</v>
      </c>
      <c r="V469">
        <v>0</v>
      </c>
      <c r="W469">
        <v>0</v>
      </c>
      <c r="X469">
        <v>1</v>
      </c>
      <c r="Y469">
        <v>0</v>
      </c>
      <c r="Z469">
        <v>0</v>
      </c>
      <c r="AA469">
        <v>0</v>
      </c>
      <c r="AB469">
        <v>0</v>
      </c>
      <c r="AC469">
        <v>0</v>
      </c>
      <c r="AD469">
        <v>0</v>
      </c>
      <c r="AE469">
        <v>1</v>
      </c>
    </row>
    <row r="470" spans="1:31" x14ac:dyDescent="0.2">
      <c r="A470" t="s">
        <v>206</v>
      </c>
      <c r="B470" t="s">
        <v>207</v>
      </c>
      <c r="C470">
        <v>30</v>
      </c>
      <c r="D470" t="s">
        <v>208</v>
      </c>
      <c r="E470" t="s">
        <v>39</v>
      </c>
      <c r="F470" t="s">
        <v>47</v>
      </c>
      <c r="G470">
        <v>42658</v>
      </c>
      <c r="H470">
        <v>0</v>
      </c>
      <c r="I470">
        <v>0</v>
      </c>
      <c r="J470">
        <v>0</v>
      </c>
      <c r="K470">
        <v>1</v>
      </c>
      <c r="L470" t="s">
        <v>50</v>
      </c>
      <c r="M470" t="s">
        <v>80</v>
      </c>
      <c r="N470" t="s">
        <v>49</v>
      </c>
      <c r="O470" t="s">
        <v>51</v>
      </c>
      <c r="P470" t="s">
        <v>67</v>
      </c>
      <c r="Q470" t="s">
        <v>44</v>
      </c>
      <c r="R470">
        <v>0</v>
      </c>
      <c r="S470">
        <v>1</v>
      </c>
      <c r="T470">
        <v>0</v>
      </c>
      <c r="U470">
        <v>1</v>
      </c>
      <c r="V470">
        <v>0</v>
      </c>
      <c r="W470">
        <v>0</v>
      </c>
      <c r="X470">
        <v>1</v>
      </c>
      <c r="Y470">
        <v>0</v>
      </c>
      <c r="Z470">
        <v>0</v>
      </c>
      <c r="AA470">
        <v>0</v>
      </c>
      <c r="AB470">
        <v>0</v>
      </c>
      <c r="AC470">
        <v>0</v>
      </c>
      <c r="AD470">
        <v>0</v>
      </c>
      <c r="AE470">
        <v>1</v>
      </c>
    </row>
    <row r="471" spans="1:31" x14ac:dyDescent="0.2">
      <c r="A471" t="s">
        <v>206</v>
      </c>
      <c r="B471" t="s">
        <v>207</v>
      </c>
      <c r="C471">
        <v>30</v>
      </c>
      <c r="D471" t="s">
        <v>208</v>
      </c>
      <c r="E471" t="s">
        <v>52</v>
      </c>
      <c r="F471" t="s">
        <v>53</v>
      </c>
      <c r="G471">
        <v>45294</v>
      </c>
      <c r="H471">
        <v>0</v>
      </c>
      <c r="I471">
        <v>0</v>
      </c>
      <c r="J471">
        <v>0</v>
      </c>
      <c r="K471">
        <v>1</v>
      </c>
      <c r="L471" t="s">
        <v>35</v>
      </c>
      <c r="M471" t="s">
        <v>35</v>
      </c>
      <c r="N471" t="s">
        <v>35</v>
      </c>
      <c r="O471" t="s">
        <v>35</v>
      </c>
      <c r="P471" t="s">
        <v>35</v>
      </c>
      <c r="Q471" t="s">
        <v>35</v>
      </c>
      <c r="R471" t="s">
        <v>35</v>
      </c>
      <c r="S471">
        <v>1</v>
      </c>
      <c r="T471">
        <v>0</v>
      </c>
      <c r="U471">
        <v>1</v>
      </c>
      <c r="V471">
        <v>0</v>
      </c>
      <c r="W471">
        <v>0</v>
      </c>
      <c r="X471">
        <v>1</v>
      </c>
      <c r="Y471">
        <v>0</v>
      </c>
      <c r="Z471">
        <v>0</v>
      </c>
      <c r="AA471">
        <v>0</v>
      </c>
      <c r="AB471">
        <v>0</v>
      </c>
      <c r="AC471">
        <v>0</v>
      </c>
      <c r="AD471">
        <v>0</v>
      </c>
      <c r="AE471">
        <v>1</v>
      </c>
    </row>
    <row r="472" spans="1:31" x14ac:dyDescent="0.2">
      <c r="A472" t="s">
        <v>206</v>
      </c>
      <c r="B472" t="s">
        <v>207</v>
      </c>
      <c r="C472">
        <v>30</v>
      </c>
      <c r="D472" t="s">
        <v>208</v>
      </c>
      <c r="E472" t="s">
        <v>39</v>
      </c>
      <c r="F472" t="s">
        <v>70</v>
      </c>
      <c r="G472">
        <v>122021</v>
      </c>
      <c r="H472">
        <v>1</v>
      </c>
      <c r="I472">
        <v>1</v>
      </c>
      <c r="J472">
        <v>1</v>
      </c>
      <c r="K472">
        <v>0</v>
      </c>
      <c r="L472" t="s">
        <v>71</v>
      </c>
      <c r="M472" t="s">
        <v>73</v>
      </c>
      <c r="N472" t="s">
        <v>72</v>
      </c>
      <c r="O472" t="s">
        <v>45</v>
      </c>
      <c r="P472" t="s">
        <v>44</v>
      </c>
      <c r="Q472" t="s">
        <v>67</v>
      </c>
      <c r="R472">
        <v>0</v>
      </c>
      <c r="S472">
        <v>1</v>
      </c>
      <c r="T472">
        <v>0</v>
      </c>
      <c r="U472">
        <v>1</v>
      </c>
      <c r="V472">
        <v>1</v>
      </c>
      <c r="W472">
        <v>0</v>
      </c>
      <c r="X472">
        <v>1</v>
      </c>
      <c r="Y472">
        <v>0</v>
      </c>
      <c r="Z472">
        <v>1</v>
      </c>
      <c r="AA472">
        <v>0</v>
      </c>
      <c r="AB472">
        <v>1</v>
      </c>
      <c r="AC472">
        <v>1</v>
      </c>
      <c r="AD472">
        <v>0</v>
      </c>
      <c r="AE472">
        <v>0</v>
      </c>
    </row>
    <row r="473" spans="1:31" x14ac:dyDescent="0.2">
      <c r="A473" t="s">
        <v>206</v>
      </c>
      <c r="B473" t="s">
        <v>207</v>
      </c>
      <c r="C473">
        <v>30</v>
      </c>
      <c r="D473" t="s">
        <v>208</v>
      </c>
      <c r="E473" t="s">
        <v>39</v>
      </c>
      <c r="F473" t="s">
        <v>40</v>
      </c>
      <c r="G473">
        <v>33138</v>
      </c>
      <c r="H473">
        <v>1</v>
      </c>
      <c r="I473">
        <v>1</v>
      </c>
      <c r="J473">
        <v>1</v>
      </c>
      <c r="K473">
        <v>0</v>
      </c>
      <c r="L473" t="s">
        <v>82</v>
      </c>
      <c r="M473" t="s">
        <v>42</v>
      </c>
      <c r="N473" t="s">
        <v>91</v>
      </c>
      <c r="O473" t="s">
        <v>68</v>
      </c>
      <c r="P473" t="s">
        <v>45</v>
      </c>
      <c r="Q473" t="s">
        <v>51</v>
      </c>
      <c r="R473">
        <v>1</v>
      </c>
      <c r="S473">
        <v>0</v>
      </c>
      <c r="T473">
        <v>0</v>
      </c>
      <c r="U473">
        <v>0</v>
      </c>
      <c r="V473">
        <v>1</v>
      </c>
      <c r="W473">
        <v>0</v>
      </c>
      <c r="X473">
        <v>1</v>
      </c>
      <c r="Y473">
        <v>1</v>
      </c>
      <c r="Z473">
        <v>0</v>
      </c>
      <c r="AA473">
        <v>0</v>
      </c>
      <c r="AB473">
        <v>0</v>
      </c>
      <c r="AC473">
        <v>1</v>
      </c>
      <c r="AD473">
        <v>0</v>
      </c>
      <c r="AE473">
        <v>0</v>
      </c>
    </row>
    <row r="474" spans="1:31" x14ac:dyDescent="0.2">
      <c r="A474" t="s">
        <v>206</v>
      </c>
      <c r="B474" t="s">
        <v>207</v>
      </c>
      <c r="C474">
        <v>30</v>
      </c>
      <c r="D474" t="s">
        <v>208</v>
      </c>
      <c r="E474" t="s">
        <v>52</v>
      </c>
      <c r="F474" t="s">
        <v>69</v>
      </c>
      <c r="G474">
        <v>43560</v>
      </c>
      <c r="H474">
        <v>1</v>
      </c>
      <c r="I474">
        <v>1</v>
      </c>
      <c r="J474">
        <v>1</v>
      </c>
      <c r="K474">
        <v>0</v>
      </c>
      <c r="L474" t="s">
        <v>35</v>
      </c>
      <c r="M474" t="s">
        <v>35</v>
      </c>
      <c r="N474" t="s">
        <v>35</v>
      </c>
      <c r="O474" t="s">
        <v>35</v>
      </c>
      <c r="P474" t="s">
        <v>35</v>
      </c>
      <c r="Q474" t="s">
        <v>35</v>
      </c>
      <c r="R474" t="s">
        <v>35</v>
      </c>
      <c r="S474">
        <v>0</v>
      </c>
      <c r="T474">
        <v>0</v>
      </c>
      <c r="U474">
        <v>0</v>
      </c>
      <c r="V474">
        <v>1</v>
      </c>
      <c r="W474">
        <v>0</v>
      </c>
      <c r="X474">
        <v>1</v>
      </c>
      <c r="Y474">
        <v>1</v>
      </c>
      <c r="Z474">
        <v>0</v>
      </c>
      <c r="AA474">
        <v>0</v>
      </c>
      <c r="AB474">
        <v>0</v>
      </c>
      <c r="AC474">
        <v>1</v>
      </c>
      <c r="AD474">
        <v>0</v>
      </c>
      <c r="AE474">
        <v>0</v>
      </c>
    </row>
    <row r="475" spans="1:31" x14ac:dyDescent="0.2">
      <c r="A475" t="s">
        <v>206</v>
      </c>
      <c r="B475" t="s">
        <v>207</v>
      </c>
      <c r="C475">
        <v>30</v>
      </c>
      <c r="D475" t="s">
        <v>208</v>
      </c>
      <c r="E475" t="s">
        <v>39</v>
      </c>
      <c r="F475" t="s">
        <v>63</v>
      </c>
      <c r="G475">
        <v>26338</v>
      </c>
      <c r="H475">
        <v>0</v>
      </c>
      <c r="I475">
        <v>0</v>
      </c>
      <c r="J475">
        <v>0</v>
      </c>
      <c r="K475">
        <v>1</v>
      </c>
      <c r="L475" t="s">
        <v>66</v>
      </c>
      <c r="M475" t="s">
        <v>65</v>
      </c>
      <c r="N475" t="s">
        <v>64</v>
      </c>
      <c r="O475" t="s">
        <v>45</v>
      </c>
      <c r="P475" t="s">
        <v>68</v>
      </c>
      <c r="Q475" t="s">
        <v>67</v>
      </c>
      <c r="R475">
        <v>1</v>
      </c>
      <c r="S475">
        <v>0</v>
      </c>
      <c r="T475">
        <v>0</v>
      </c>
      <c r="U475">
        <v>1</v>
      </c>
      <c r="V475">
        <v>1</v>
      </c>
      <c r="W475">
        <v>0</v>
      </c>
      <c r="X475">
        <v>1</v>
      </c>
      <c r="Y475">
        <v>0</v>
      </c>
      <c r="Z475">
        <v>0</v>
      </c>
      <c r="AA475">
        <v>0</v>
      </c>
      <c r="AB475">
        <v>0</v>
      </c>
      <c r="AC475">
        <v>0</v>
      </c>
      <c r="AD475">
        <v>0</v>
      </c>
      <c r="AE475">
        <v>1</v>
      </c>
    </row>
    <row r="476" spans="1:31" x14ac:dyDescent="0.2">
      <c r="A476" t="s">
        <v>206</v>
      </c>
      <c r="B476" t="s">
        <v>207</v>
      </c>
      <c r="C476">
        <v>30</v>
      </c>
      <c r="D476" t="s">
        <v>208</v>
      </c>
      <c r="E476" t="s">
        <v>52</v>
      </c>
      <c r="F476" t="s">
        <v>58</v>
      </c>
      <c r="G476">
        <v>26824</v>
      </c>
      <c r="H476">
        <v>0</v>
      </c>
      <c r="I476">
        <v>0</v>
      </c>
      <c r="J476">
        <v>1</v>
      </c>
      <c r="K476">
        <v>0</v>
      </c>
      <c r="L476" t="s">
        <v>35</v>
      </c>
      <c r="M476" t="s">
        <v>35</v>
      </c>
      <c r="N476" t="s">
        <v>35</v>
      </c>
      <c r="O476" t="s">
        <v>35</v>
      </c>
      <c r="P476" t="s">
        <v>35</v>
      </c>
      <c r="Q476" t="s">
        <v>35</v>
      </c>
      <c r="R476" t="s">
        <v>35</v>
      </c>
      <c r="S476">
        <v>0</v>
      </c>
      <c r="T476">
        <v>0</v>
      </c>
      <c r="U476">
        <v>1</v>
      </c>
      <c r="V476">
        <v>1</v>
      </c>
      <c r="W476">
        <v>0</v>
      </c>
      <c r="X476">
        <v>1</v>
      </c>
      <c r="Y476">
        <v>0</v>
      </c>
      <c r="Z476">
        <v>0</v>
      </c>
      <c r="AA476">
        <v>0</v>
      </c>
      <c r="AB476">
        <v>0</v>
      </c>
      <c r="AC476">
        <v>0</v>
      </c>
      <c r="AD476">
        <v>0</v>
      </c>
      <c r="AE476">
        <v>1</v>
      </c>
    </row>
    <row r="477" spans="1:31" x14ac:dyDescent="0.2">
      <c r="A477" t="s">
        <v>206</v>
      </c>
      <c r="B477" t="s">
        <v>207</v>
      </c>
      <c r="C477">
        <v>30</v>
      </c>
      <c r="D477" t="s">
        <v>208</v>
      </c>
      <c r="E477" t="s">
        <v>75</v>
      </c>
      <c r="F477" t="s">
        <v>35</v>
      </c>
      <c r="G477">
        <v>97523</v>
      </c>
      <c r="H477" t="s">
        <v>209</v>
      </c>
      <c r="I477" t="s">
        <v>210</v>
      </c>
      <c r="J477" t="s">
        <v>181</v>
      </c>
      <c r="K477" t="s">
        <v>35</v>
      </c>
      <c r="L477" t="s">
        <v>35</v>
      </c>
      <c r="M477" t="s">
        <v>35</v>
      </c>
      <c r="N477" t="s">
        <v>35</v>
      </c>
      <c r="O477" t="s">
        <v>35</v>
      </c>
      <c r="P477" t="s">
        <v>35</v>
      </c>
      <c r="Q477" t="s">
        <v>35</v>
      </c>
      <c r="R477" t="s">
        <v>35</v>
      </c>
      <c r="S477" t="s">
        <v>35</v>
      </c>
      <c r="T477" t="s">
        <v>35</v>
      </c>
      <c r="U477" t="s">
        <v>35</v>
      </c>
      <c r="V477" t="s">
        <v>35</v>
      </c>
      <c r="W477" t="s">
        <v>35</v>
      </c>
      <c r="X477" t="s">
        <v>35</v>
      </c>
      <c r="Y477" t="s">
        <v>35</v>
      </c>
      <c r="Z477" t="s">
        <v>35</v>
      </c>
      <c r="AA477" t="s">
        <v>35</v>
      </c>
      <c r="AB477" t="s">
        <v>35</v>
      </c>
      <c r="AC477" t="s">
        <v>35</v>
      </c>
      <c r="AD477" t="s">
        <v>35</v>
      </c>
      <c r="AE477" t="s">
        <v>35</v>
      </c>
    </row>
    <row r="478" spans="1:31" x14ac:dyDescent="0.2">
      <c r="A478" t="s">
        <v>211</v>
      </c>
      <c r="B478" t="s">
        <v>212</v>
      </c>
      <c r="C478">
        <v>26</v>
      </c>
      <c r="D478" t="s">
        <v>78</v>
      </c>
      <c r="E478" t="s">
        <v>34</v>
      </c>
      <c r="F478" t="s">
        <v>35</v>
      </c>
      <c r="G478">
        <v>27483</v>
      </c>
      <c r="H478" t="s">
        <v>35</v>
      </c>
      <c r="I478" t="s">
        <v>35</v>
      </c>
      <c r="J478" t="s">
        <v>35</v>
      </c>
      <c r="K478" t="s">
        <v>35</v>
      </c>
      <c r="L478" t="s">
        <v>35</v>
      </c>
      <c r="M478" t="s">
        <v>35</v>
      </c>
      <c r="N478" t="s">
        <v>35</v>
      </c>
      <c r="O478" t="s">
        <v>35</v>
      </c>
      <c r="P478" t="s">
        <v>35</v>
      </c>
      <c r="Q478" t="s">
        <v>35</v>
      </c>
      <c r="R478" t="s">
        <v>35</v>
      </c>
      <c r="S478" t="s">
        <v>35</v>
      </c>
      <c r="T478" t="s">
        <v>35</v>
      </c>
      <c r="U478" t="s">
        <v>35</v>
      </c>
      <c r="V478" t="s">
        <v>35</v>
      </c>
      <c r="W478" t="s">
        <v>35</v>
      </c>
      <c r="X478" t="s">
        <v>35</v>
      </c>
      <c r="Y478" t="s">
        <v>35</v>
      </c>
      <c r="Z478" t="s">
        <v>35</v>
      </c>
      <c r="AA478" t="s">
        <v>35</v>
      </c>
      <c r="AB478" t="s">
        <v>35</v>
      </c>
      <c r="AC478" t="s">
        <v>35</v>
      </c>
      <c r="AD478" t="s">
        <v>35</v>
      </c>
      <c r="AE478" t="s">
        <v>35</v>
      </c>
    </row>
    <row r="479" spans="1:31" x14ac:dyDescent="0.2">
      <c r="A479" t="s">
        <v>211</v>
      </c>
      <c r="B479" t="s">
        <v>212</v>
      </c>
      <c r="C479">
        <v>26</v>
      </c>
      <c r="D479" t="s">
        <v>78</v>
      </c>
      <c r="E479" t="s">
        <v>36</v>
      </c>
      <c r="F479" t="s">
        <v>37</v>
      </c>
      <c r="G479">
        <v>52501</v>
      </c>
      <c r="H479">
        <v>0</v>
      </c>
      <c r="I479">
        <v>0</v>
      </c>
      <c r="J479">
        <v>1</v>
      </c>
      <c r="K479">
        <v>0</v>
      </c>
      <c r="L479" t="s">
        <v>35</v>
      </c>
      <c r="M479" t="s">
        <v>35</v>
      </c>
      <c r="N479" t="s">
        <v>35</v>
      </c>
      <c r="O479" t="s">
        <v>35</v>
      </c>
      <c r="P479" t="s">
        <v>35</v>
      </c>
      <c r="Q479" t="s">
        <v>35</v>
      </c>
      <c r="R479" t="s">
        <v>35</v>
      </c>
      <c r="S479" t="s">
        <v>35</v>
      </c>
      <c r="T479" t="s">
        <v>35</v>
      </c>
      <c r="U479" t="s">
        <v>35</v>
      </c>
      <c r="V479" t="s">
        <v>35</v>
      </c>
      <c r="W479" t="s">
        <v>35</v>
      </c>
      <c r="X479" t="s">
        <v>35</v>
      </c>
      <c r="Y479" t="s">
        <v>35</v>
      </c>
      <c r="Z479" t="s">
        <v>35</v>
      </c>
      <c r="AA479" t="s">
        <v>35</v>
      </c>
      <c r="AB479" t="s">
        <v>35</v>
      </c>
      <c r="AC479" t="s">
        <v>35</v>
      </c>
      <c r="AD479" t="s">
        <v>35</v>
      </c>
      <c r="AE479" t="s">
        <v>35</v>
      </c>
    </row>
    <row r="480" spans="1:31" x14ac:dyDescent="0.2">
      <c r="A480" t="s">
        <v>211</v>
      </c>
      <c r="B480" t="s">
        <v>212</v>
      </c>
      <c r="C480">
        <v>26</v>
      </c>
      <c r="D480" t="s">
        <v>78</v>
      </c>
      <c r="E480" t="s">
        <v>36</v>
      </c>
      <c r="F480" t="s">
        <v>38</v>
      </c>
      <c r="G480">
        <v>45398</v>
      </c>
      <c r="H480">
        <v>0</v>
      </c>
      <c r="I480">
        <v>1</v>
      </c>
      <c r="J480">
        <v>1</v>
      </c>
      <c r="K480">
        <v>0</v>
      </c>
      <c r="L480" t="s">
        <v>35</v>
      </c>
      <c r="M480" t="s">
        <v>35</v>
      </c>
      <c r="N480" t="s">
        <v>35</v>
      </c>
      <c r="O480" t="s">
        <v>35</v>
      </c>
      <c r="P480" t="s">
        <v>35</v>
      </c>
      <c r="Q480" t="s">
        <v>35</v>
      </c>
      <c r="R480" t="s">
        <v>35</v>
      </c>
      <c r="S480" t="s">
        <v>35</v>
      </c>
      <c r="T480" t="s">
        <v>35</v>
      </c>
      <c r="U480" t="s">
        <v>35</v>
      </c>
      <c r="V480" t="s">
        <v>35</v>
      </c>
      <c r="W480" t="s">
        <v>35</v>
      </c>
      <c r="X480" t="s">
        <v>35</v>
      </c>
      <c r="Y480" t="s">
        <v>35</v>
      </c>
      <c r="Z480" t="s">
        <v>35</v>
      </c>
      <c r="AA480" t="s">
        <v>35</v>
      </c>
      <c r="AB480" t="s">
        <v>35</v>
      </c>
      <c r="AC480" t="s">
        <v>35</v>
      </c>
      <c r="AD480" t="s">
        <v>35</v>
      </c>
      <c r="AE480" t="s">
        <v>35</v>
      </c>
    </row>
    <row r="481" spans="1:31" x14ac:dyDescent="0.2">
      <c r="A481" t="s">
        <v>211</v>
      </c>
      <c r="B481" t="s">
        <v>212</v>
      </c>
      <c r="C481">
        <v>26</v>
      </c>
      <c r="D481" t="s">
        <v>78</v>
      </c>
      <c r="E481" t="s">
        <v>39</v>
      </c>
      <c r="F481" t="s">
        <v>47</v>
      </c>
      <c r="G481">
        <v>95146</v>
      </c>
      <c r="H481">
        <v>0</v>
      </c>
      <c r="I481">
        <v>0</v>
      </c>
      <c r="J481">
        <v>0</v>
      </c>
      <c r="K481">
        <v>1</v>
      </c>
      <c r="L481" t="s">
        <v>79</v>
      </c>
      <c r="M481" t="s">
        <v>49</v>
      </c>
      <c r="N481" t="s">
        <v>80</v>
      </c>
      <c r="O481" t="s">
        <v>45</v>
      </c>
      <c r="P481" t="s">
        <v>44</v>
      </c>
      <c r="Q481" t="s">
        <v>67</v>
      </c>
      <c r="R481">
        <v>0</v>
      </c>
      <c r="S481">
        <v>1</v>
      </c>
      <c r="T481">
        <v>0</v>
      </c>
      <c r="U481">
        <v>1</v>
      </c>
      <c r="V481">
        <v>1</v>
      </c>
      <c r="W481">
        <v>0</v>
      </c>
      <c r="X481">
        <v>1</v>
      </c>
      <c r="Y481">
        <v>0</v>
      </c>
      <c r="Z481">
        <v>0</v>
      </c>
      <c r="AA481">
        <v>0</v>
      </c>
      <c r="AB481">
        <v>0</v>
      </c>
      <c r="AC481">
        <v>0</v>
      </c>
      <c r="AD481">
        <v>0</v>
      </c>
      <c r="AE481">
        <v>1</v>
      </c>
    </row>
    <row r="482" spans="1:31" x14ac:dyDescent="0.2">
      <c r="A482" t="s">
        <v>211</v>
      </c>
      <c r="B482" t="s">
        <v>212</v>
      </c>
      <c r="C482">
        <v>26</v>
      </c>
      <c r="D482" t="s">
        <v>78</v>
      </c>
      <c r="E482" t="s">
        <v>39</v>
      </c>
      <c r="F482" t="s">
        <v>70</v>
      </c>
      <c r="G482">
        <v>32282</v>
      </c>
      <c r="H482">
        <v>0</v>
      </c>
      <c r="I482">
        <v>1</v>
      </c>
      <c r="J482">
        <v>0</v>
      </c>
      <c r="K482">
        <v>0</v>
      </c>
      <c r="L482" t="s">
        <v>73</v>
      </c>
      <c r="M482" t="s">
        <v>71</v>
      </c>
      <c r="N482" t="s">
        <v>86</v>
      </c>
      <c r="O482" t="s">
        <v>44</v>
      </c>
      <c r="P482" t="s">
        <v>45</v>
      </c>
      <c r="Q482" t="s">
        <v>46</v>
      </c>
      <c r="R482">
        <v>0</v>
      </c>
      <c r="S482">
        <v>1</v>
      </c>
      <c r="T482">
        <v>1</v>
      </c>
      <c r="U482">
        <v>0</v>
      </c>
      <c r="V482">
        <v>1</v>
      </c>
      <c r="W482">
        <v>0</v>
      </c>
      <c r="X482">
        <v>1</v>
      </c>
      <c r="Y482">
        <v>0</v>
      </c>
      <c r="Z482">
        <v>0</v>
      </c>
      <c r="AA482">
        <v>0</v>
      </c>
      <c r="AB482">
        <v>0</v>
      </c>
      <c r="AC482">
        <v>1</v>
      </c>
      <c r="AD482">
        <v>0</v>
      </c>
      <c r="AE482">
        <v>0</v>
      </c>
    </row>
    <row r="483" spans="1:31" x14ac:dyDescent="0.2">
      <c r="A483" t="s">
        <v>211</v>
      </c>
      <c r="B483" t="s">
        <v>212</v>
      </c>
      <c r="C483">
        <v>26</v>
      </c>
      <c r="D483" t="s">
        <v>78</v>
      </c>
      <c r="E483" t="s">
        <v>52</v>
      </c>
      <c r="F483" t="s">
        <v>58</v>
      </c>
      <c r="G483">
        <v>18530</v>
      </c>
      <c r="H483">
        <v>0</v>
      </c>
      <c r="I483">
        <v>1</v>
      </c>
      <c r="J483">
        <v>0</v>
      </c>
      <c r="K483">
        <v>0</v>
      </c>
      <c r="L483" t="s">
        <v>35</v>
      </c>
      <c r="M483" t="s">
        <v>35</v>
      </c>
      <c r="N483" t="s">
        <v>35</v>
      </c>
      <c r="O483" t="s">
        <v>35</v>
      </c>
      <c r="P483" t="s">
        <v>35</v>
      </c>
      <c r="Q483" t="s">
        <v>35</v>
      </c>
      <c r="R483" t="s">
        <v>35</v>
      </c>
      <c r="S483">
        <v>1</v>
      </c>
      <c r="T483">
        <v>1</v>
      </c>
      <c r="U483">
        <v>0</v>
      </c>
      <c r="V483">
        <v>1</v>
      </c>
      <c r="W483">
        <v>0</v>
      </c>
      <c r="X483">
        <v>1</v>
      </c>
      <c r="Y483">
        <v>0</v>
      </c>
      <c r="Z483">
        <v>0</v>
      </c>
      <c r="AA483">
        <v>0</v>
      </c>
      <c r="AB483">
        <v>0</v>
      </c>
      <c r="AC483">
        <v>1</v>
      </c>
      <c r="AD483">
        <v>0</v>
      </c>
      <c r="AE483">
        <v>0</v>
      </c>
    </row>
    <row r="484" spans="1:31" x14ac:dyDescent="0.2">
      <c r="A484" t="s">
        <v>211</v>
      </c>
      <c r="B484" t="s">
        <v>212</v>
      </c>
      <c r="C484">
        <v>26</v>
      </c>
      <c r="D484" t="s">
        <v>78</v>
      </c>
      <c r="E484" t="s">
        <v>39</v>
      </c>
      <c r="F484" t="s">
        <v>59</v>
      </c>
      <c r="G484">
        <v>22183</v>
      </c>
      <c r="H484">
        <v>0</v>
      </c>
      <c r="I484">
        <v>1</v>
      </c>
      <c r="J484">
        <v>0</v>
      </c>
      <c r="K484">
        <v>0</v>
      </c>
      <c r="L484" t="s">
        <v>61</v>
      </c>
      <c r="M484" t="s">
        <v>60</v>
      </c>
      <c r="N484" t="s">
        <v>83</v>
      </c>
      <c r="O484" t="s">
        <v>46</v>
      </c>
      <c r="P484" t="s">
        <v>44</v>
      </c>
      <c r="Q484" t="s">
        <v>51</v>
      </c>
      <c r="R484">
        <v>0</v>
      </c>
      <c r="S484">
        <v>1</v>
      </c>
      <c r="T484">
        <v>1</v>
      </c>
      <c r="U484">
        <v>0</v>
      </c>
      <c r="V484">
        <v>0</v>
      </c>
      <c r="W484">
        <v>0</v>
      </c>
      <c r="X484">
        <v>1</v>
      </c>
      <c r="Y484">
        <v>0</v>
      </c>
      <c r="Z484">
        <v>1</v>
      </c>
      <c r="AA484">
        <v>0</v>
      </c>
      <c r="AB484">
        <v>0</v>
      </c>
      <c r="AC484">
        <v>0</v>
      </c>
      <c r="AD484">
        <v>0</v>
      </c>
      <c r="AE484">
        <v>0</v>
      </c>
    </row>
    <row r="485" spans="1:31" x14ac:dyDescent="0.2">
      <c r="A485" t="s">
        <v>211</v>
      </c>
      <c r="B485" t="s">
        <v>212</v>
      </c>
      <c r="C485">
        <v>26</v>
      </c>
      <c r="D485" t="s">
        <v>78</v>
      </c>
      <c r="E485" t="s">
        <v>52</v>
      </c>
      <c r="F485" t="s">
        <v>74</v>
      </c>
      <c r="G485">
        <v>4518</v>
      </c>
      <c r="H485">
        <v>0</v>
      </c>
      <c r="I485">
        <v>1</v>
      </c>
      <c r="J485">
        <v>0</v>
      </c>
      <c r="K485">
        <v>0</v>
      </c>
      <c r="L485" t="s">
        <v>35</v>
      </c>
      <c r="M485" t="s">
        <v>35</v>
      </c>
      <c r="N485" t="s">
        <v>35</v>
      </c>
      <c r="O485" t="s">
        <v>35</v>
      </c>
      <c r="P485" t="s">
        <v>35</v>
      </c>
      <c r="Q485" t="s">
        <v>35</v>
      </c>
      <c r="R485" t="s">
        <v>35</v>
      </c>
      <c r="S485">
        <v>1</v>
      </c>
      <c r="T485">
        <v>1</v>
      </c>
      <c r="U485">
        <v>0</v>
      </c>
      <c r="V485">
        <v>0</v>
      </c>
      <c r="W485">
        <v>0</v>
      </c>
      <c r="X485">
        <v>1</v>
      </c>
      <c r="Y485">
        <v>0</v>
      </c>
      <c r="Z485">
        <v>1</v>
      </c>
      <c r="AA485">
        <v>0</v>
      </c>
      <c r="AB485">
        <v>0</v>
      </c>
      <c r="AC485">
        <v>0</v>
      </c>
      <c r="AD485">
        <v>0</v>
      </c>
      <c r="AE485">
        <v>0</v>
      </c>
    </row>
    <row r="486" spans="1:31" x14ac:dyDescent="0.2">
      <c r="A486" t="s">
        <v>211</v>
      </c>
      <c r="B486" t="s">
        <v>212</v>
      </c>
      <c r="C486">
        <v>26</v>
      </c>
      <c r="D486" t="s">
        <v>78</v>
      </c>
      <c r="E486" t="s">
        <v>39</v>
      </c>
      <c r="F486" t="s">
        <v>54</v>
      </c>
      <c r="G486">
        <v>43527</v>
      </c>
      <c r="H486">
        <v>1</v>
      </c>
      <c r="I486">
        <v>0</v>
      </c>
      <c r="J486">
        <v>0</v>
      </c>
      <c r="K486">
        <v>1</v>
      </c>
      <c r="L486" t="s">
        <v>55</v>
      </c>
      <c r="M486" t="s">
        <v>88</v>
      </c>
      <c r="N486" t="s">
        <v>56</v>
      </c>
      <c r="O486" t="s">
        <v>44</v>
      </c>
      <c r="P486" t="s">
        <v>51</v>
      </c>
      <c r="Q486" t="s">
        <v>45</v>
      </c>
      <c r="R486">
        <v>0</v>
      </c>
      <c r="S486">
        <v>1</v>
      </c>
      <c r="T486">
        <v>0</v>
      </c>
      <c r="U486">
        <v>0</v>
      </c>
      <c r="V486">
        <v>1</v>
      </c>
      <c r="W486">
        <v>0</v>
      </c>
      <c r="X486">
        <v>1</v>
      </c>
      <c r="Y486">
        <v>0</v>
      </c>
      <c r="Z486">
        <v>1</v>
      </c>
      <c r="AA486">
        <v>0</v>
      </c>
      <c r="AB486">
        <v>0</v>
      </c>
      <c r="AC486">
        <v>0</v>
      </c>
      <c r="AD486">
        <v>0</v>
      </c>
      <c r="AE486">
        <v>1</v>
      </c>
    </row>
    <row r="487" spans="1:31" x14ac:dyDescent="0.2">
      <c r="A487" t="s">
        <v>211</v>
      </c>
      <c r="B487" t="s">
        <v>212</v>
      </c>
      <c r="C487">
        <v>26</v>
      </c>
      <c r="D487" t="s">
        <v>78</v>
      </c>
      <c r="E487" t="s">
        <v>39</v>
      </c>
      <c r="F487" t="s">
        <v>40</v>
      </c>
      <c r="G487">
        <v>14249</v>
      </c>
      <c r="H487">
        <v>1</v>
      </c>
      <c r="I487">
        <v>0</v>
      </c>
      <c r="J487">
        <v>0</v>
      </c>
      <c r="K487">
        <v>1</v>
      </c>
      <c r="L487" t="s">
        <v>42</v>
      </c>
      <c r="M487" t="s">
        <v>43</v>
      </c>
      <c r="N487" t="s">
        <v>81</v>
      </c>
      <c r="O487" t="s">
        <v>45</v>
      </c>
      <c r="P487" t="s">
        <v>46</v>
      </c>
      <c r="Q487" t="s">
        <v>67</v>
      </c>
      <c r="R487">
        <v>0</v>
      </c>
      <c r="S487">
        <v>0</v>
      </c>
      <c r="T487">
        <v>1</v>
      </c>
      <c r="U487">
        <v>1</v>
      </c>
      <c r="V487">
        <v>1</v>
      </c>
      <c r="W487">
        <v>0</v>
      </c>
      <c r="X487">
        <v>1</v>
      </c>
      <c r="Y487">
        <v>0</v>
      </c>
      <c r="Z487">
        <v>0</v>
      </c>
      <c r="AA487">
        <v>0</v>
      </c>
      <c r="AB487">
        <v>0</v>
      </c>
      <c r="AC487">
        <v>1</v>
      </c>
      <c r="AD487">
        <v>0</v>
      </c>
      <c r="AE487">
        <v>1</v>
      </c>
    </row>
    <row r="488" spans="1:31" x14ac:dyDescent="0.2">
      <c r="A488" t="s">
        <v>211</v>
      </c>
      <c r="B488" t="s">
        <v>212</v>
      </c>
      <c r="C488">
        <v>26</v>
      </c>
      <c r="D488" t="s">
        <v>78</v>
      </c>
      <c r="E488" t="s">
        <v>52</v>
      </c>
      <c r="F488" t="s">
        <v>53</v>
      </c>
      <c r="G488">
        <v>3416</v>
      </c>
      <c r="H488">
        <v>0</v>
      </c>
      <c r="I488">
        <v>1</v>
      </c>
      <c r="J488">
        <v>0</v>
      </c>
      <c r="K488">
        <v>0</v>
      </c>
      <c r="L488" t="s">
        <v>35</v>
      </c>
      <c r="M488" t="s">
        <v>35</v>
      </c>
      <c r="N488" t="s">
        <v>35</v>
      </c>
      <c r="O488" t="s">
        <v>35</v>
      </c>
      <c r="P488" t="s">
        <v>35</v>
      </c>
      <c r="Q488" t="s">
        <v>35</v>
      </c>
      <c r="R488" t="s">
        <v>35</v>
      </c>
      <c r="S488">
        <v>0</v>
      </c>
      <c r="T488">
        <v>1</v>
      </c>
      <c r="U488">
        <v>1</v>
      </c>
      <c r="V488">
        <v>1</v>
      </c>
      <c r="W488">
        <v>0</v>
      </c>
      <c r="X488">
        <v>1</v>
      </c>
      <c r="Y488">
        <v>0</v>
      </c>
      <c r="Z488">
        <v>0</v>
      </c>
      <c r="AA488">
        <v>0</v>
      </c>
      <c r="AB488">
        <v>0</v>
      </c>
      <c r="AC488">
        <v>1</v>
      </c>
      <c r="AD488">
        <v>0</v>
      </c>
      <c r="AE488">
        <v>1</v>
      </c>
    </row>
    <row r="489" spans="1:31" x14ac:dyDescent="0.2">
      <c r="A489" t="s">
        <v>211</v>
      </c>
      <c r="B489" t="s">
        <v>212</v>
      </c>
      <c r="C489">
        <v>26</v>
      </c>
      <c r="D489" t="s">
        <v>78</v>
      </c>
      <c r="E489" t="s">
        <v>39</v>
      </c>
      <c r="F489" t="s">
        <v>63</v>
      </c>
      <c r="G489">
        <v>4834</v>
      </c>
      <c r="H489">
        <v>0</v>
      </c>
      <c r="I489">
        <v>0</v>
      </c>
      <c r="J489">
        <v>1</v>
      </c>
      <c r="K489">
        <v>0</v>
      </c>
      <c r="L489" t="s">
        <v>90</v>
      </c>
      <c r="M489" t="s">
        <v>66</v>
      </c>
      <c r="N489" t="s">
        <v>84</v>
      </c>
      <c r="O489" t="s">
        <v>44</v>
      </c>
      <c r="P489" t="s">
        <v>45</v>
      </c>
      <c r="Q489" t="s">
        <v>46</v>
      </c>
      <c r="R489">
        <v>0</v>
      </c>
      <c r="S489">
        <v>1</v>
      </c>
      <c r="T489">
        <v>1</v>
      </c>
      <c r="U489">
        <v>0</v>
      </c>
      <c r="V489">
        <v>1</v>
      </c>
      <c r="W489">
        <v>0</v>
      </c>
      <c r="X489">
        <v>1</v>
      </c>
      <c r="Y489">
        <v>0</v>
      </c>
      <c r="Z489">
        <v>0</v>
      </c>
      <c r="AA489">
        <v>1</v>
      </c>
      <c r="AB489">
        <v>0</v>
      </c>
      <c r="AC489">
        <v>0</v>
      </c>
      <c r="AD489">
        <v>0</v>
      </c>
      <c r="AE489">
        <v>0</v>
      </c>
    </row>
    <row r="490" spans="1:31" x14ac:dyDescent="0.2">
      <c r="A490" t="s">
        <v>211</v>
      </c>
      <c r="B490" t="s">
        <v>212</v>
      </c>
      <c r="C490">
        <v>26</v>
      </c>
      <c r="D490" t="s">
        <v>78</v>
      </c>
      <c r="E490" t="s">
        <v>52</v>
      </c>
      <c r="F490" t="s">
        <v>69</v>
      </c>
      <c r="G490">
        <v>4349</v>
      </c>
      <c r="H490">
        <v>0</v>
      </c>
      <c r="I490">
        <v>1</v>
      </c>
      <c r="J490">
        <v>0</v>
      </c>
      <c r="K490">
        <v>0</v>
      </c>
      <c r="L490" t="s">
        <v>35</v>
      </c>
      <c r="M490" t="s">
        <v>35</v>
      </c>
      <c r="N490" t="s">
        <v>35</v>
      </c>
      <c r="O490" t="s">
        <v>35</v>
      </c>
      <c r="P490" t="s">
        <v>35</v>
      </c>
      <c r="Q490" t="s">
        <v>35</v>
      </c>
      <c r="R490" t="s">
        <v>35</v>
      </c>
      <c r="S490">
        <v>1</v>
      </c>
      <c r="T490">
        <v>1</v>
      </c>
      <c r="U490">
        <v>0</v>
      </c>
      <c r="V490">
        <v>1</v>
      </c>
      <c r="W490">
        <v>0</v>
      </c>
      <c r="X490">
        <v>1</v>
      </c>
      <c r="Y490">
        <v>0</v>
      </c>
      <c r="Z490">
        <v>0</v>
      </c>
      <c r="AA490">
        <v>1</v>
      </c>
      <c r="AB490">
        <v>0</v>
      </c>
      <c r="AC490">
        <v>0</v>
      </c>
      <c r="AD490">
        <v>0</v>
      </c>
      <c r="AE490">
        <v>0</v>
      </c>
    </row>
    <row r="491" spans="1:31" x14ac:dyDescent="0.2">
      <c r="A491" t="s">
        <v>211</v>
      </c>
      <c r="B491" t="s">
        <v>212</v>
      </c>
      <c r="C491">
        <v>26</v>
      </c>
      <c r="D491" t="s">
        <v>78</v>
      </c>
      <c r="E491" t="s">
        <v>75</v>
      </c>
      <c r="F491" t="s">
        <v>35</v>
      </c>
      <c r="G491">
        <v>4868</v>
      </c>
      <c r="K491" t="s">
        <v>35</v>
      </c>
      <c r="L491" t="s">
        <v>35</v>
      </c>
      <c r="M491" t="s">
        <v>35</v>
      </c>
      <c r="N491" t="s">
        <v>35</v>
      </c>
      <c r="O491" t="s">
        <v>35</v>
      </c>
      <c r="P491" t="s">
        <v>35</v>
      </c>
      <c r="Q491" t="s">
        <v>35</v>
      </c>
      <c r="R491" t="s">
        <v>35</v>
      </c>
      <c r="S491" t="s">
        <v>35</v>
      </c>
      <c r="T491" t="s">
        <v>35</v>
      </c>
      <c r="U491" t="s">
        <v>35</v>
      </c>
      <c r="V491" t="s">
        <v>35</v>
      </c>
      <c r="W491" t="s">
        <v>35</v>
      </c>
      <c r="X491" t="s">
        <v>35</v>
      </c>
      <c r="Y491" t="s">
        <v>35</v>
      </c>
      <c r="Z491" t="s">
        <v>35</v>
      </c>
      <c r="AA491" t="s">
        <v>35</v>
      </c>
      <c r="AB491" t="s">
        <v>35</v>
      </c>
      <c r="AC491" t="s">
        <v>35</v>
      </c>
      <c r="AD491" t="s">
        <v>35</v>
      </c>
      <c r="AE491" t="s">
        <v>35</v>
      </c>
    </row>
    <row r="492" spans="1:31" x14ac:dyDescent="0.2">
      <c r="A492" t="s">
        <v>213</v>
      </c>
      <c r="B492" t="s">
        <v>102</v>
      </c>
      <c r="C492">
        <v>24</v>
      </c>
      <c r="D492" t="s">
        <v>33</v>
      </c>
      <c r="E492" t="s">
        <v>34</v>
      </c>
      <c r="F492" t="s">
        <v>35</v>
      </c>
      <c r="G492">
        <v>10745</v>
      </c>
      <c r="H492" t="s">
        <v>35</v>
      </c>
      <c r="I492" t="s">
        <v>35</v>
      </c>
      <c r="J492" t="s">
        <v>35</v>
      </c>
      <c r="K492" t="s">
        <v>35</v>
      </c>
      <c r="L492" t="s">
        <v>35</v>
      </c>
      <c r="M492" t="s">
        <v>35</v>
      </c>
      <c r="N492" t="s">
        <v>35</v>
      </c>
      <c r="O492" t="s">
        <v>35</v>
      </c>
      <c r="P492" t="s">
        <v>35</v>
      </c>
      <c r="Q492" t="s">
        <v>35</v>
      </c>
      <c r="R492" t="s">
        <v>35</v>
      </c>
      <c r="S492" t="s">
        <v>35</v>
      </c>
      <c r="T492" t="s">
        <v>35</v>
      </c>
      <c r="U492" t="s">
        <v>35</v>
      </c>
      <c r="V492" t="s">
        <v>35</v>
      </c>
      <c r="W492" t="s">
        <v>35</v>
      </c>
      <c r="X492" t="s">
        <v>35</v>
      </c>
      <c r="Y492" t="s">
        <v>35</v>
      </c>
      <c r="Z492" t="s">
        <v>35</v>
      </c>
      <c r="AA492" t="s">
        <v>35</v>
      </c>
      <c r="AB492" t="s">
        <v>35</v>
      </c>
      <c r="AC492" t="s">
        <v>35</v>
      </c>
      <c r="AD492" t="s">
        <v>35</v>
      </c>
      <c r="AE492" t="s">
        <v>35</v>
      </c>
    </row>
    <row r="493" spans="1:31" x14ac:dyDescent="0.2">
      <c r="A493" t="s">
        <v>213</v>
      </c>
      <c r="B493" t="s">
        <v>102</v>
      </c>
      <c r="C493">
        <v>24</v>
      </c>
      <c r="D493" t="s">
        <v>33</v>
      </c>
      <c r="E493" t="s">
        <v>36</v>
      </c>
      <c r="F493" t="s">
        <v>38</v>
      </c>
      <c r="G493">
        <v>21711</v>
      </c>
      <c r="H493">
        <v>0</v>
      </c>
      <c r="I493">
        <v>0</v>
      </c>
      <c r="J493">
        <v>0</v>
      </c>
      <c r="K493">
        <v>1</v>
      </c>
      <c r="L493" t="s">
        <v>35</v>
      </c>
      <c r="M493" t="s">
        <v>35</v>
      </c>
      <c r="N493" t="s">
        <v>35</v>
      </c>
      <c r="O493" t="s">
        <v>35</v>
      </c>
      <c r="P493" t="s">
        <v>35</v>
      </c>
      <c r="Q493" t="s">
        <v>35</v>
      </c>
      <c r="R493" t="s">
        <v>35</v>
      </c>
      <c r="S493" t="s">
        <v>35</v>
      </c>
      <c r="T493" t="s">
        <v>35</v>
      </c>
      <c r="U493" t="s">
        <v>35</v>
      </c>
      <c r="V493" t="s">
        <v>35</v>
      </c>
      <c r="W493" t="s">
        <v>35</v>
      </c>
      <c r="X493" t="s">
        <v>35</v>
      </c>
      <c r="Y493" t="s">
        <v>35</v>
      </c>
      <c r="Z493" t="s">
        <v>35</v>
      </c>
      <c r="AA493" t="s">
        <v>35</v>
      </c>
      <c r="AB493" t="s">
        <v>35</v>
      </c>
      <c r="AC493" t="s">
        <v>35</v>
      </c>
      <c r="AD493" t="s">
        <v>35</v>
      </c>
      <c r="AE493" t="s">
        <v>35</v>
      </c>
    </row>
    <row r="494" spans="1:31" x14ac:dyDescent="0.2">
      <c r="A494" t="s">
        <v>213</v>
      </c>
      <c r="B494" t="s">
        <v>102</v>
      </c>
      <c r="C494">
        <v>24</v>
      </c>
      <c r="D494" t="s">
        <v>33</v>
      </c>
      <c r="E494" t="s">
        <v>36</v>
      </c>
      <c r="F494" t="s">
        <v>37</v>
      </c>
      <c r="G494">
        <v>15797</v>
      </c>
      <c r="H494">
        <v>0</v>
      </c>
      <c r="I494">
        <v>0</v>
      </c>
      <c r="J494">
        <v>1</v>
      </c>
      <c r="K494">
        <v>0</v>
      </c>
      <c r="L494" t="s">
        <v>35</v>
      </c>
      <c r="M494" t="s">
        <v>35</v>
      </c>
      <c r="N494" t="s">
        <v>35</v>
      </c>
      <c r="O494" t="s">
        <v>35</v>
      </c>
      <c r="P494" t="s">
        <v>35</v>
      </c>
      <c r="Q494" t="s">
        <v>35</v>
      </c>
      <c r="R494" t="s">
        <v>35</v>
      </c>
      <c r="S494" t="s">
        <v>35</v>
      </c>
      <c r="T494" t="s">
        <v>35</v>
      </c>
      <c r="U494" t="s">
        <v>35</v>
      </c>
      <c r="V494" t="s">
        <v>35</v>
      </c>
      <c r="W494" t="s">
        <v>35</v>
      </c>
      <c r="X494" t="s">
        <v>35</v>
      </c>
      <c r="Y494" t="s">
        <v>35</v>
      </c>
      <c r="Z494" t="s">
        <v>35</v>
      </c>
      <c r="AA494" t="s">
        <v>35</v>
      </c>
      <c r="AB494" t="s">
        <v>35</v>
      </c>
      <c r="AC494" t="s">
        <v>35</v>
      </c>
      <c r="AD494" t="s">
        <v>35</v>
      </c>
      <c r="AE494" t="s">
        <v>35</v>
      </c>
    </row>
    <row r="495" spans="1:31" x14ac:dyDescent="0.2">
      <c r="A495" t="s">
        <v>213</v>
      </c>
      <c r="B495" t="s">
        <v>102</v>
      </c>
      <c r="C495">
        <v>24</v>
      </c>
      <c r="D495" t="s">
        <v>33</v>
      </c>
      <c r="E495" t="s">
        <v>39</v>
      </c>
      <c r="F495" t="s">
        <v>59</v>
      </c>
      <c r="G495">
        <v>57391</v>
      </c>
      <c r="H495">
        <v>1</v>
      </c>
      <c r="I495">
        <v>0</v>
      </c>
      <c r="J495">
        <v>0</v>
      </c>
      <c r="K495">
        <v>0</v>
      </c>
      <c r="L495" t="s">
        <v>99</v>
      </c>
      <c r="M495" t="s">
        <v>61</v>
      </c>
      <c r="N495" t="s">
        <v>60</v>
      </c>
      <c r="O495" t="s">
        <v>67</v>
      </c>
      <c r="P495" t="s">
        <v>46</v>
      </c>
      <c r="Q495" t="s">
        <v>44</v>
      </c>
      <c r="R495">
        <v>0</v>
      </c>
      <c r="S495">
        <v>1</v>
      </c>
      <c r="T495">
        <v>1</v>
      </c>
      <c r="U495">
        <v>1</v>
      </c>
      <c r="V495">
        <v>0</v>
      </c>
      <c r="W495">
        <v>0</v>
      </c>
      <c r="X495">
        <v>1</v>
      </c>
      <c r="Y495">
        <v>0</v>
      </c>
      <c r="Z495">
        <v>0</v>
      </c>
      <c r="AA495">
        <v>0</v>
      </c>
      <c r="AB495">
        <v>1</v>
      </c>
      <c r="AC495">
        <v>0</v>
      </c>
      <c r="AD495">
        <v>0</v>
      </c>
      <c r="AE495">
        <v>0</v>
      </c>
    </row>
    <row r="496" spans="1:31" x14ac:dyDescent="0.2">
      <c r="A496" t="s">
        <v>213</v>
      </c>
      <c r="B496" t="s">
        <v>102</v>
      </c>
      <c r="C496">
        <v>24</v>
      </c>
      <c r="D496" t="s">
        <v>33</v>
      </c>
      <c r="E496" t="s">
        <v>39</v>
      </c>
      <c r="F496" t="s">
        <v>70</v>
      </c>
      <c r="G496">
        <v>26572</v>
      </c>
      <c r="H496">
        <v>0</v>
      </c>
      <c r="I496">
        <v>1</v>
      </c>
      <c r="J496">
        <v>0</v>
      </c>
      <c r="K496">
        <v>0</v>
      </c>
      <c r="L496" t="s">
        <v>71</v>
      </c>
      <c r="M496" t="s">
        <v>93</v>
      </c>
      <c r="N496" t="s">
        <v>86</v>
      </c>
      <c r="O496" t="s">
        <v>45</v>
      </c>
      <c r="P496" t="s">
        <v>68</v>
      </c>
      <c r="Q496" t="s">
        <v>46</v>
      </c>
      <c r="R496">
        <v>1</v>
      </c>
      <c r="S496">
        <v>0</v>
      </c>
      <c r="T496">
        <v>1</v>
      </c>
      <c r="U496">
        <v>0</v>
      </c>
      <c r="V496">
        <v>1</v>
      </c>
      <c r="W496">
        <v>0</v>
      </c>
      <c r="X496">
        <v>1</v>
      </c>
      <c r="Y496">
        <v>1</v>
      </c>
      <c r="Z496">
        <v>0</v>
      </c>
      <c r="AA496">
        <v>0</v>
      </c>
      <c r="AB496">
        <v>0</v>
      </c>
      <c r="AC496">
        <v>0</v>
      </c>
      <c r="AD496">
        <v>0</v>
      </c>
      <c r="AE496">
        <v>0</v>
      </c>
    </row>
    <row r="497" spans="1:31" x14ac:dyDescent="0.2">
      <c r="A497" t="s">
        <v>213</v>
      </c>
      <c r="B497" t="s">
        <v>102</v>
      </c>
      <c r="C497">
        <v>24</v>
      </c>
      <c r="D497" t="s">
        <v>33</v>
      </c>
      <c r="E497" t="s">
        <v>52</v>
      </c>
      <c r="F497" t="s">
        <v>69</v>
      </c>
      <c r="G497">
        <v>26443</v>
      </c>
      <c r="H497">
        <v>0</v>
      </c>
      <c r="I497">
        <v>0</v>
      </c>
      <c r="J497">
        <v>1</v>
      </c>
      <c r="K497">
        <v>0</v>
      </c>
      <c r="L497" t="s">
        <v>35</v>
      </c>
      <c r="M497" t="s">
        <v>35</v>
      </c>
      <c r="N497" t="s">
        <v>35</v>
      </c>
      <c r="O497" t="s">
        <v>35</v>
      </c>
      <c r="P497" t="s">
        <v>35</v>
      </c>
      <c r="Q497" t="s">
        <v>35</v>
      </c>
      <c r="R497" t="s">
        <v>35</v>
      </c>
      <c r="S497">
        <v>0</v>
      </c>
      <c r="T497">
        <v>1</v>
      </c>
      <c r="U497">
        <v>0</v>
      </c>
      <c r="V497">
        <v>1</v>
      </c>
      <c r="W497">
        <v>0</v>
      </c>
      <c r="X497">
        <v>1</v>
      </c>
      <c r="Y497">
        <v>1</v>
      </c>
      <c r="Z497">
        <v>0</v>
      </c>
      <c r="AA497">
        <v>0</v>
      </c>
      <c r="AB497">
        <v>0</v>
      </c>
      <c r="AC497">
        <v>0</v>
      </c>
      <c r="AD497">
        <v>0</v>
      </c>
      <c r="AE497">
        <v>0</v>
      </c>
    </row>
    <row r="498" spans="1:31" x14ac:dyDescent="0.2">
      <c r="A498" t="s">
        <v>213</v>
      </c>
      <c r="B498" t="s">
        <v>102</v>
      </c>
      <c r="C498">
        <v>24</v>
      </c>
      <c r="D498" t="s">
        <v>33</v>
      </c>
      <c r="E498" t="s">
        <v>39</v>
      </c>
      <c r="F498" t="s">
        <v>40</v>
      </c>
      <c r="G498">
        <v>32748</v>
      </c>
      <c r="H498">
        <v>1</v>
      </c>
      <c r="I498">
        <v>1</v>
      </c>
      <c r="J498">
        <v>1</v>
      </c>
      <c r="K498">
        <v>0</v>
      </c>
      <c r="L498" t="s">
        <v>82</v>
      </c>
      <c r="M498" t="s">
        <v>81</v>
      </c>
      <c r="N498" t="s">
        <v>43</v>
      </c>
      <c r="O498" t="s">
        <v>68</v>
      </c>
      <c r="P498" t="s">
        <v>67</v>
      </c>
      <c r="Q498" t="s">
        <v>46</v>
      </c>
      <c r="R498">
        <v>1</v>
      </c>
      <c r="S498">
        <v>0</v>
      </c>
      <c r="T498">
        <v>1</v>
      </c>
      <c r="U498">
        <v>1</v>
      </c>
      <c r="V498">
        <v>0</v>
      </c>
      <c r="W498">
        <v>0</v>
      </c>
      <c r="X498">
        <v>1</v>
      </c>
      <c r="Y498">
        <v>1</v>
      </c>
      <c r="Z498">
        <v>0</v>
      </c>
      <c r="AA498">
        <v>1</v>
      </c>
      <c r="AB498">
        <v>1</v>
      </c>
      <c r="AC498">
        <v>0</v>
      </c>
      <c r="AD498">
        <v>0</v>
      </c>
      <c r="AE498">
        <v>0</v>
      </c>
    </row>
    <row r="499" spans="1:31" x14ac:dyDescent="0.2">
      <c r="A499" t="s">
        <v>213</v>
      </c>
      <c r="B499" t="s">
        <v>102</v>
      </c>
      <c r="C499">
        <v>24</v>
      </c>
      <c r="D499" t="s">
        <v>33</v>
      </c>
      <c r="E499" t="s">
        <v>52</v>
      </c>
      <c r="F499" t="s">
        <v>53</v>
      </c>
      <c r="G499">
        <v>29890</v>
      </c>
      <c r="H499">
        <v>1</v>
      </c>
      <c r="I499">
        <v>1</v>
      </c>
      <c r="J499">
        <v>1</v>
      </c>
      <c r="K499">
        <v>0</v>
      </c>
      <c r="L499" t="s">
        <v>35</v>
      </c>
      <c r="M499" t="s">
        <v>35</v>
      </c>
      <c r="N499" t="s">
        <v>35</v>
      </c>
      <c r="O499" t="s">
        <v>35</v>
      </c>
      <c r="P499" t="s">
        <v>35</v>
      </c>
      <c r="Q499" t="s">
        <v>35</v>
      </c>
      <c r="R499" t="s">
        <v>35</v>
      </c>
      <c r="S499">
        <v>0</v>
      </c>
      <c r="T499">
        <v>1</v>
      </c>
      <c r="U499">
        <v>1</v>
      </c>
      <c r="V499">
        <v>0</v>
      </c>
      <c r="W499">
        <v>0</v>
      </c>
      <c r="X499">
        <v>1</v>
      </c>
      <c r="Y499">
        <v>1</v>
      </c>
      <c r="Z499">
        <v>0</v>
      </c>
      <c r="AA499">
        <v>1</v>
      </c>
      <c r="AB499">
        <v>1</v>
      </c>
      <c r="AC499">
        <v>0</v>
      </c>
      <c r="AD499">
        <v>0</v>
      </c>
      <c r="AE499">
        <v>0</v>
      </c>
    </row>
    <row r="500" spans="1:31" x14ac:dyDescent="0.2">
      <c r="A500" t="s">
        <v>213</v>
      </c>
      <c r="B500" t="s">
        <v>102</v>
      </c>
      <c r="C500">
        <v>24</v>
      </c>
      <c r="D500" t="s">
        <v>33</v>
      </c>
      <c r="E500" t="s">
        <v>39</v>
      </c>
      <c r="F500" t="s">
        <v>54</v>
      </c>
      <c r="G500">
        <v>43901</v>
      </c>
      <c r="H500">
        <v>0</v>
      </c>
      <c r="I500">
        <v>1</v>
      </c>
      <c r="J500">
        <v>0</v>
      </c>
      <c r="K500">
        <v>0</v>
      </c>
      <c r="L500" t="s">
        <v>57</v>
      </c>
      <c r="M500" t="s">
        <v>89</v>
      </c>
      <c r="N500" t="s">
        <v>56</v>
      </c>
      <c r="O500" t="s">
        <v>46</v>
      </c>
      <c r="P500" t="s">
        <v>67</v>
      </c>
      <c r="Q500" t="s">
        <v>45</v>
      </c>
      <c r="R500">
        <v>0</v>
      </c>
      <c r="S500">
        <v>0</v>
      </c>
      <c r="T500">
        <v>1</v>
      </c>
      <c r="U500">
        <v>1</v>
      </c>
      <c r="V500">
        <v>1</v>
      </c>
      <c r="W500">
        <v>0</v>
      </c>
      <c r="X500">
        <v>1</v>
      </c>
      <c r="Y500">
        <v>0</v>
      </c>
      <c r="Z500">
        <v>0</v>
      </c>
      <c r="AA500">
        <v>0</v>
      </c>
      <c r="AB500">
        <v>1</v>
      </c>
      <c r="AC500">
        <v>0</v>
      </c>
      <c r="AD500">
        <v>0</v>
      </c>
      <c r="AE500">
        <v>0</v>
      </c>
    </row>
    <row r="501" spans="1:31" x14ac:dyDescent="0.2">
      <c r="A501" t="s">
        <v>213</v>
      </c>
      <c r="B501" t="s">
        <v>102</v>
      </c>
      <c r="C501">
        <v>24</v>
      </c>
      <c r="D501" t="s">
        <v>33</v>
      </c>
      <c r="E501" t="s">
        <v>39</v>
      </c>
      <c r="F501" t="s">
        <v>63</v>
      </c>
      <c r="G501">
        <v>19279</v>
      </c>
      <c r="H501">
        <v>1</v>
      </c>
      <c r="I501">
        <v>1</v>
      </c>
      <c r="J501">
        <v>0</v>
      </c>
      <c r="K501">
        <v>0</v>
      </c>
      <c r="L501" t="s">
        <v>90</v>
      </c>
      <c r="M501" t="s">
        <v>64</v>
      </c>
      <c r="N501" t="s">
        <v>66</v>
      </c>
      <c r="O501" t="s">
        <v>44</v>
      </c>
      <c r="P501" t="s">
        <v>67</v>
      </c>
      <c r="Q501" t="s">
        <v>45</v>
      </c>
      <c r="R501">
        <v>0</v>
      </c>
      <c r="S501">
        <v>1</v>
      </c>
      <c r="T501">
        <v>0</v>
      </c>
      <c r="U501">
        <v>1</v>
      </c>
      <c r="V501">
        <v>1</v>
      </c>
      <c r="W501">
        <v>0</v>
      </c>
      <c r="X501">
        <v>1</v>
      </c>
      <c r="Y501">
        <v>0</v>
      </c>
      <c r="Z501">
        <v>1</v>
      </c>
      <c r="AA501">
        <v>0</v>
      </c>
      <c r="AB501">
        <v>1</v>
      </c>
      <c r="AC501">
        <v>0</v>
      </c>
      <c r="AD501">
        <v>0</v>
      </c>
      <c r="AE501">
        <v>0</v>
      </c>
    </row>
    <row r="502" spans="1:31" x14ac:dyDescent="0.2">
      <c r="A502" t="s">
        <v>213</v>
      </c>
      <c r="B502" t="s">
        <v>102</v>
      </c>
      <c r="C502">
        <v>24</v>
      </c>
      <c r="D502" t="s">
        <v>33</v>
      </c>
      <c r="E502" t="s">
        <v>52</v>
      </c>
      <c r="F502" t="s">
        <v>58</v>
      </c>
      <c r="G502">
        <v>37451</v>
      </c>
      <c r="H502">
        <v>1</v>
      </c>
      <c r="I502">
        <v>1</v>
      </c>
      <c r="J502">
        <v>0</v>
      </c>
      <c r="K502">
        <v>0</v>
      </c>
      <c r="L502" t="s">
        <v>35</v>
      </c>
      <c r="M502" t="s">
        <v>35</v>
      </c>
      <c r="N502" t="s">
        <v>35</v>
      </c>
      <c r="O502" t="s">
        <v>35</v>
      </c>
      <c r="P502" t="s">
        <v>35</v>
      </c>
      <c r="Q502" t="s">
        <v>35</v>
      </c>
      <c r="R502" t="s">
        <v>35</v>
      </c>
      <c r="S502">
        <v>1</v>
      </c>
      <c r="T502">
        <v>0</v>
      </c>
      <c r="U502">
        <v>1</v>
      </c>
      <c r="V502">
        <v>1</v>
      </c>
      <c r="W502">
        <v>0</v>
      </c>
      <c r="X502">
        <v>1</v>
      </c>
      <c r="Y502">
        <v>0</v>
      </c>
      <c r="Z502">
        <v>1</v>
      </c>
      <c r="AA502">
        <v>0</v>
      </c>
      <c r="AB502">
        <v>1</v>
      </c>
      <c r="AC502">
        <v>0</v>
      </c>
      <c r="AD502">
        <v>0</v>
      </c>
      <c r="AE502">
        <v>0</v>
      </c>
    </row>
    <row r="503" spans="1:31" x14ac:dyDescent="0.2">
      <c r="A503" t="s">
        <v>213</v>
      </c>
      <c r="B503" t="s">
        <v>102</v>
      </c>
      <c r="C503">
        <v>24</v>
      </c>
      <c r="D503" t="s">
        <v>33</v>
      </c>
      <c r="E503" t="s">
        <v>39</v>
      </c>
      <c r="F503" t="s">
        <v>47</v>
      </c>
      <c r="G503">
        <v>28542</v>
      </c>
      <c r="H503">
        <v>0</v>
      </c>
      <c r="I503">
        <v>0</v>
      </c>
      <c r="J503">
        <v>0</v>
      </c>
      <c r="K503">
        <v>1</v>
      </c>
      <c r="L503" t="s">
        <v>48</v>
      </c>
      <c r="M503" t="s">
        <v>50</v>
      </c>
      <c r="N503" t="s">
        <v>79</v>
      </c>
      <c r="O503" t="s">
        <v>46</v>
      </c>
      <c r="P503" t="s">
        <v>51</v>
      </c>
      <c r="Q503" t="s">
        <v>45</v>
      </c>
      <c r="R503">
        <v>0</v>
      </c>
      <c r="S503">
        <v>0</v>
      </c>
      <c r="T503">
        <v>1</v>
      </c>
      <c r="U503">
        <v>0</v>
      </c>
      <c r="V503">
        <v>1</v>
      </c>
      <c r="W503">
        <v>0</v>
      </c>
      <c r="X503">
        <v>1</v>
      </c>
      <c r="Y503">
        <v>0</v>
      </c>
      <c r="Z503">
        <v>0</v>
      </c>
      <c r="AA503">
        <v>0</v>
      </c>
      <c r="AB503">
        <v>0</v>
      </c>
      <c r="AC503">
        <v>0</v>
      </c>
      <c r="AD503">
        <v>0</v>
      </c>
      <c r="AE503">
        <v>1</v>
      </c>
    </row>
    <row r="504" spans="1:31" x14ac:dyDescent="0.2">
      <c r="A504" t="s">
        <v>213</v>
      </c>
      <c r="B504" t="s">
        <v>102</v>
      </c>
      <c r="C504">
        <v>24</v>
      </c>
      <c r="D504" t="s">
        <v>33</v>
      </c>
      <c r="E504" t="s">
        <v>52</v>
      </c>
      <c r="F504" t="s">
        <v>74</v>
      </c>
      <c r="G504">
        <v>36323</v>
      </c>
      <c r="H504">
        <v>1</v>
      </c>
      <c r="I504">
        <v>0</v>
      </c>
      <c r="J504">
        <v>0</v>
      </c>
      <c r="K504">
        <v>0</v>
      </c>
      <c r="L504" t="s">
        <v>35</v>
      </c>
      <c r="M504" t="s">
        <v>35</v>
      </c>
      <c r="N504" t="s">
        <v>35</v>
      </c>
      <c r="O504" t="s">
        <v>35</v>
      </c>
      <c r="P504" t="s">
        <v>35</v>
      </c>
      <c r="Q504" t="s">
        <v>35</v>
      </c>
      <c r="R504" t="s">
        <v>35</v>
      </c>
      <c r="S504">
        <v>0</v>
      </c>
      <c r="T504">
        <v>1</v>
      </c>
      <c r="U504">
        <v>0</v>
      </c>
      <c r="V504">
        <v>1</v>
      </c>
      <c r="W504">
        <v>0</v>
      </c>
      <c r="X504">
        <v>1</v>
      </c>
      <c r="Y504">
        <v>0</v>
      </c>
      <c r="Z504">
        <v>0</v>
      </c>
      <c r="AA504">
        <v>0</v>
      </c>
      <c r="AB504">
        <v>0</v>
      </c>
      <c r="AC504">
        <v>0</v>
      </c>
      <c r="AD504">
        <v>0</v>
      </c>
      <c r="AE504">
        <v>1</v>
      </c>
    </row>
    <row r="505" spans="1:31" x14ac:dyDescent="0.2">
      <c r="A505" t="s">
        <v>213</v>
      </c>
      <c r="B505" t="s">
        <v>102</v>
      </c>
      <c r="C505">
        <v>24</v>
      </c>
      <c r="D505" t="s">
        <v>33</v>
      </c>
      <c r="E505" t="s">
        <v>75</v>
      </c>
      <c r="F505" t="s">
        <v>35</v>
      </c>
      <c r="G505">
        <v>74983</v>
      </c>
      <c r="H505" t="s">
        <v>214</v>
      </c>
      <c r="I505" t="s">
        <v>215</v>
      </c>
      <c r="J505" t="s">
        <v>216</v>
      </c>
      <c r="K505" t="s">
        <v>35</v>
      </c>
      <c r="L505" t="s">
        <v>35</v>
      </c>
      <c r="M505" t="s">
        <v>35</v>
      </c>
      <c r="N505" t="s">
        <v>35</v>
      </c>
      <c r="O505" t="s">
        <v>35</v>
      </c>
      <c r="P505" t="s">
        <v>35</v>
      </c>
      <c r="Q505" t="s">
        <v>35</v>
      </c>
      <c r="R505" t="s">
        <v>35</v>
      </c>
      <c r="S505" t="s">
        <v>35</v>
      </c>
      <c r="T505" t="s">
        <v>35</v>
      </c>
      <c r="U505" t="s">
        <v>35</v>
      </c>
      <c r="V505" t="s">
        <v>35</v>
      </c>
      <c r="W505" t="s">
        <v>35</v>
      </c>
      <c r="X505" t="s">
        <v>35</v>
      </c>
      <c r="Y505" t="s">
        <v>35</v>
      </c>
      <c r="Z505" t="s">
        <v>35</v>
      </c>
      <c r="AA505" t="s">
        <v>35</v>
      </c>
      <c r="AB505" t="s">
        <v>35</v>
      </c>
      <c r="AC505" t="s">
        <v>35</v>
      </c>
      <c r="AD505" t="s">
        <v>35</v>
      </c>
      <c r="AE505" t="s">
        <v>35</v>
      </c>
    </row>
    <row r="506" spans="1:31" x14ac:dyDescent="0.2">
      <c r="A506" t="s">
        <v>217</v>
      </c>
      <c r="B506" t="s">
        <v>102</v>
      </c>
      <c r="C506">
        <v>37</v>
      </c>
      <c r="D506" t="s">
        <v>33</v>
      </c>
      <c r="E506" t="s">
        <v>34</v>
      </c>
      <c r="F506" t="s">
        <v>35</v>
      </c>
      <c r="G506">
        <v>51842</v>
      </c>
      <c r="H506" t="s">
        <v>35</v>
      </c>
      <c r="I506" t="s">
        <v>35</v>
      </c>
      <c r="J506" t="s">
        <v>35</v>
      </c>
      <c r="K506" t="s">
        <v>35</v>
      </c>
      <c r="L506" t="s">
        <v>35</v>
      </c>
      <c r="M506" t="s">
        <v>35</v>
      </c>
      <c r="N506" t="s">
        <v>35</v>
      </c>
      <c r="O506" t="s">
        <v>35</v>
      </c>
      <c r="P506" t="s">
        <v>35</v>
      </c>
      <c r="Q506" t="s">
        <v>35</v>
      </c>
      <c r="R506" t="s">
        <v>35</v>
      </c>
      <c r="S506" t="s">
        <v>35</v>
      </c>
      <c r="T506" t="s">
        <v>35</v>
      </c>
      <c r="U506" t="s">
        <v>35</v>
      </c>
      <c r="V506" t="s">
        <v>35</v>
      </c>
      <c r="W506" t="s">
        <v>35</v>
      </c>
      <c r="X506" t="s">
        <v>35</v>
      </c>
      <c r="Y506" t="s">
        <v>35</v>
      </c>
      <c r="Z506" t="s">
        <v>35</v>
      </c>
      <c r="AA506" t="s">
        <v>35</v>
      </c>
      <c r="AB506" t="s">
        <v>35</v>
      </c>
      <c r="AC506" t="s">
        <v>35</v>
      </c>
      <c r="AD506" t="s">
        <v>35</v>
      </c>
      <c r="AE506" t="s">
        <v>35</v>
      </c>
    </row>
    <row r="507" spans="1:31" x14ac:dyDescent="0.2">
      <c r="A507" t="s">
        <v>217</v>
      </c>
      <c r="B507" t="s">
        <v>102</v>
      </c>
      <c r="C507">
        <v>37</v>
      </c>
      <c r="D507" t="s">
        <v>33</v>
      </c>
      <c r="E507" t="s">
        <v>36</v>
      </c>
      <c r="F507" t="s">
        <v>37</v>
      </c>
      <c r="G507">
        <v>36017</v>
      </c>
      <c r="H507">
        <v>0</v>
      </c>
      <c r="I507">
        <v>0</v>
      </c>
      <c r="J507">
        <v>1</v>
      </c>
      <c r="K507">
        <v>0</v>
      </c>
      <c r="L507" t="s">
        <v>35</v>
      </c>
      <c r="M507" t="s">
        <v>35</v>
      </c>
      <c r="N507" t="s">
        <v>35</v>
      </c>
      <c r="O507" t="s">
        <v>35</v>
      </c>
      <c r="P507" t="s">
        <v>35</v>
      </c>
      <c r="Q507" t="s">
        <v>35</v>
      </c>
      <c r="R507" t="s">
        <v>35</v>
      </c>
      <c r="S507" t="s">
        <v>35</v>
      </c>
      <c r="T507" t="s">
        <v>35</v>
      </c>
      <c r="U507" t="s">
        <v>35</v>
      </c>
      <c r="V507" t="s">
        <v>35</v>
      </c>
      <c r="W507" t="s">
        <v>35</v>
      </c>
      <c r="X507" t="s">
        <v>35</v>
      </c>
      <c r="Y507" t="s">
        <v>35</v>
      </c>
      <c r="Z507" t="s">
        <v>35</v>
      </c>
      <c r="AA507" t="s">
        <v>35</v>
      </c>
      <c r="AB507" t="s">
        <v>35</v>
      </c>
      <c r="AC507" t="s">
        <v>35</v>
      </c>
      <c r="AD507" t="s">
        <v>35</v>
      </c>
      <c r="AE507" t="s">
        <v>35</v>
      </c>
    </row>
    <row r="508" spans="1:31" x14ac:dyDescent="0.2">
      <c r="A508" t="s">
        <v>217</v>
      </c>
      <c r="B508" t="s">
        <v>102</v>
      </c>
      <c r="C508">
        <v>37</v>
      </c>
      <c r="D508" t="s">
        <v>33</v>
      </c>
      <c r="E508" t="s">
        <v>36</v>
      </c>
      <c r="F508" t="s">
        <v>38</v>
      </c>
      <c r="G508">
        <v>39746</v>
      </c>
      <c r="H508">
        <v>0</v>
      </c>
      <c r="I508">
        <v>0</v>
      </c>
      <c r="J508">
        <v>0</v>
      </c>
      <c r="K508">
        <v>1</v>
      </c>
      <c r="L508" t="s">
        <v>35</v>
      </c>
      <c r="M508" t="s">
        <v>35</v>
      </c>
      <c r="N508" t="s">
        <v>35</v>
      </c>
      <c r="O508" t="s">
        <v>35</v>
      </c>
      <c r="P508" t="s">
        <v>35</v>
      </c>
      <c r="Q508" t="s">
        <v>35</v>
      </c>
      <c r="R508" t="s">
        <v>35</v>
      </c>
      <c r="S508" t="s">
        <v>35</v>
      </c>
      <c r="T508" t="s">
        <v>35</v>
      </c>
      <c r="U508" t="s">
        <v>35</v>
      </c>
      <c r="V508" t="s">
        <v>35</v>
      </c>
      <c r="W508" t="s">
        <v>35</v>
      </c>
      <c r="X508" t="s">
        <v>35</v>
      </c>
      <c r="Y508" t="s">
        <v>35</v>
      </c>
      <c r="Z508" t="s">
        <v>35</v>
      </c>
      <c r="AA508" t="s">
        <v>35</v>
      </c>
      <c r="AB508" t="s">
        <v>35</v>
      </c>
      <c r="AC508" t="s">
        <v>35</v>
      </c>
      <c r="AD508" t="s">
        <v>35</v>
      </c>
      <c r="AE508" t="s">
        <v>35</v>
      </c>
    </row>
    <row r="509" spans="1:31" x14ac:dyDescent="0.2">
      <c r="A509" t="s">
        <v>217</v>
      </c>
      <c r="B509" t="s">
        <v>102</v>
      </c>
      <c r="C509">
        <v>37</v>
      </c>
      <c r="D509" t="s">
        <v>33</v>
      </c>
      <c r="E509" t="s">
        <v>39</v>
      </c>
      <c r="F509" t="s">
        <v>54</v>
      </c>
      <c r="G509">
        <v>40651</v>
      </c>
      <c r="H509">
        <v>0</v>
      </c>
      <c r="I509">
        <v>0</v>
      </c>
      <c r="J509">
        <v>1</v>
      </c>
      <c r="K509">
        <v>0</v>
      </c>
      <c r="L509" t="s">
        <v>56</v>
      </c>
      <c r="M509" t="s">
        <v>57</v>
      </c>
      <c r="N509" t="s">
        <v>89</v>
      </c>
      <c r="O509" t="s">
        <v>45</v>
      </c>
      <c r="P509" t="s">
        <v>46</v>
      </c>
      <c r="Q509" t="s">
        <v>67</v>
      </c>
      <c r="R509">
        <v>0</v>
      </c>
      <c r="S509">
        <v>0</v>
      </c>
      <c r="T509">
        <v>1</v>
      </c>
      <c r="U509">
        <v>1</v>
      </c>
      <c r="V509">
        <v>1</v>
      </c>
      <c r="W509">
        <v>0</v>
      </c>
      <c r="X509">
        <v>1</v>
      </c>
      <c r="Y509">
        <v>0</v>
      </c>
      <c r="Z509">
        <v>0</v>
      </c>
      <c r="AA509">
        <v>0</v>
      </c>
      <c r="AB509">
        <v>1</v>
      </c>
      <c r="AC509">
        <v>0</v>
      </c>
      <c r="AD509">
        <v>0</v>
      </c>
      <c r="AE509">
        <v>0</v>
      </c>
    </row>
    <row r="510" spans="1:31" x14ac:dyDescent="0.2">
      <c r="A510" t="s">
        <v>217</v>
      </c>
      <c r="B510" t="s">
        <v>102</v>
      </c>
      <c r="C510">
        <v>37</v>
      </c>
      <c r="D510" t="s">
        <v>33</v>
      </c>
      <c r="E510" t="s">
        <v>39</v>
      </c>
      <c r="F510" t="s">
        <v>70</v>
      </c>
      <c r="G510">
        <v>28801</v>
      </c>
      <c r="H510">
        <v>0</v>
      </c>
      <c r="I510">
        <v>1</v>
      </c>
      <c r="J510">
        <v>1</v>
      </c>
      <c r="K510">
        <v>0</v>
      </c>
      <c r="L510" t="s">
        <v>71</v>
      </c>
      <c r="M510" t="s">
        <v>73</v>
      </c>
      <c r="N510" t="s">
        <v>72</v>
      </c>
      <c r="O510" t="s">
        <v>45</v>
      </c>
      <c r="P510" t="s">
        <v>44</v>
      </c>
      <c r="Q510" t="s">
        <v>67</v>
      </c>
      <c r="R510">
        <v>0</v>
      </c>
      <c r="S510">
        <v>1</v>
      </c>
      <c r="T510">
        <v>0</v>
      </c>
      <c r="U510">
        <v>1</v>
      </c>
      <c r="V510">
        <v>1</v>
      </c>
      <c r="W510">
        <v>0</v>
      </c>
      <c r="X510">
        <v>1</v>
      </c>
      <c r="Y510">
        <v>0</v>
      </c>
      <c r="Z510">
        <v>1</v>
      </c>
      <c r="AA510">
        <v>0</v>
      </c>
      <c r="AB510">
        <v>1</v>
      </c>
      <c r="AC510">
        <v>0</v>
      </c>
      <c r="AD510">
        <v>0</v>
      </c>
      <c r="AE510">
        <v>0</v>
      </c>
    </row>
    <row r="511" spans="1:31" x14ac:dyDescent="0.2">
      <c r="A511" t="s">
        <v>217</v>
      </c>
      <c r="B511" t="s">
        <v>102</v>
      </c>
      <c r="C511">
        <v>37</v>
      </c>
      <c r="D511" t="s">
        <v>33</v>
      </c>
      <c r="E511" t="s">
        <v>52</v>
      </c>
      <c r="F511" t="s">
        <v>69</v>
      </c>
      <c r="G511">
        <v>65519</v>
      </c>
      <c r="H511">
        <v>0</v>
      </c>
      <c r="I511">
        <v>1</v>
      </c>
      <c r="J511">
        <v>1</v>
      </c>
      <c r="K511">
        <v>0</v>
      </c>
      <c r="L511" t="s">
        <v>35</v>
      </c>
      <c r="M511" t="s">
        <v>35</v>
      </c>
      <c r="N511" t="s">
        <v>35</v>
      </c>
      <c r="O511" t="s">
        <v>35</v>
      </c>
      <c r="P511" t="s">
        <v>35</v>
      </c>
      <c r="Q511" t="s">
        <v>35</v>
      </c>
      <c r="R511" t="s">
        <v>35</v>
      </c>
      <c r="S511">
        <v>1</v>
      </c>
      <c r="T511">
        <v>0</v>
      </c>
      <c r="U511">
        <v>1</v>
      </c>
      <c r="V511">
        <v>1</v>
      </c>
      <c r="W511">
        <v>0</v>
      </c>
      <c r="X511">
        <v>1</v>
      </c>
      <c r="Y511">
        <v>0</v>
      </c>
      <c r="Z511">
        <v>1</v>
      </c>
      <c r="AA511">
        <v>0</v>
      </c>
      <c r="AB511">
        <v>1</v>
      </c>
      <c r="AC511">
        <v>0</v>
      </c>
      <c r="AD511">
        <v>0</v>
      </c>
      <c r="AE511">
        <v>0</v>
      </c>
    </row>
    <row r="512" spans="1:31" x14ac:dyDescent="0.2">
      <c r="A512" t="s">
        <v>217</v>
      </c>
      <c r="B512" t="s">
        <v>102</v>
      </c>
      <c r="C512">
        <v>37</v>
      </c>
      <c r="D512" t="s">
        <v>33</v>
      </c>
      <c r="E512" t="s">
        <v>39</v>
      </c>
      <c r="F512" t="s">
        <v>47</v>
      </c>
      <c r="G512">
        <v>39418</v>
      </c>
      <c r="H512">
        <v>1</v>
      </c>
      <c r="I512">
        <v>1</v>
      </c>
      <c r="J512">
        <v>1</v>
      </c>
      <c r="K512">
        <v>0</v>
      </c>
      <c r="L512" t="s">
        <v>95</v>
      </c>
      <c r="M512" t="s">
        <v>50</v>
      </c>
      <c r="N512" t="s">
        <v>48</v>
      </c>
      <c r="O512" t="s">
        <v>68</v>
      </c>
      <c r="P512" t="s">
        <v>51</v>
      </c>
      <c r="Q512" t="s">
        <v>46</v>
      </c>
      <c r="R512">
        <v>1</v>
      </c>
      <c r="S512">
        <v>0</v>
      </c>
      <c r="T512">
        <v>1</v>
      </c>
      <c r="U512">
        <v>0</v>
      </c>
      <c r="V512">
        <v>0</v>
      </c>
      <c r="W512">
        <v>0</v>
      </c>
      <c r="X512">
        <v>1</v>
      </c>
      <c r="Y512">
        <v>1</v>
      </c>
      <c r="Z512">
        <v>0</v>
      </c>
      <c r="AA512">
        <v>1</v>
      </c>
      <c r="AB512">
        <v>0</v>
      </c>
      <c r="AC512">
        <v>0</v>
      </c>
      <c r="AD512">
        <v>0</v>
      </c>
      <c r="AE512">
        <v>0</v>
      </c>
    </row>
    <row r="513" spans="1:31" x14ac:dyDescent="0.2">
      <c r="A513" t="s">
        <v>217</v>
      </c>
      <c r="B513" t="s">
        <v>102</v>
      </c>
      <c r="C513">
        <v>37</v>
      </c>
      <c r="D513" t="s">
        <v>33</v>
      </c>
      <c r="E513" t="s">
        <v>52</v>
      </c>
      <c r="F513" t="s">
        <v>53</v>
      </c>
      <c r="G513">
        <v>58258</v>
      </c>
      <c r="H513">
        <v>1</v>
      </c>
      <c r="I513">
        <v>1</v>
      </c>
      <c r="J513">
        <v>0</v>
      </c>
      <c r="K513">
        <v>0</v>
      </c>
      <c r="L513" t="s">
        <v>35</v>
      </c>
      <c r="M513" t="s">
        <v>35</v>
      </c>
      <c r="N513" t="s">
        <v>35</v>
      </c>
      <c r="O513" t="s">
        <v>35</v>
      </c>
      <c r="P513" t="s">
        <v>35</v>
      </c>
      <c r="Q513" t="s">
        <v>35</v>
      </c>
      <c r="R513" t="s">
        <v>35</v>
      </c>
      <c r="S513">
        <v>0</v>
      </c>
      <c r="T513">
        <v>1</v>
      </c>
      <c r="U513">
        <v>0</v>
      </c>
      <c r="V513">
        <v>0</v>
      </c>
      <c r="W513">
        <v>0</v>
      </c>
      <c r="X513">
        <v>1</v>
      </c>
      <c r="Y513">
        <v>1</v>
      </c>
      <c r="Z513">
        <v>0</v>
      </c>
      <c r="AA513">
        <v>1</v>
      </c>
      <c r="AB513">
        <v>0</v>
      </c>
      <c r="AC513">
        <v>0</v>
      </c>
      <c r="AD513">
        <v>0</v>
      </c>
      <c r="AE513">
        <v>0</v>
      </c>
    </row>
    <row r="514" spans="1:31" x14ac:dyDescent="0.2">
      <c r="A514" t="s">
        <v>217</v>
      </c>
      <c r="B514" t="s">
        <v>102</v>
      </c>
      <c r="C514">
        <v>37</v>
      </c>
      <c r="D514" t="s">
        <v>33</v>
      </c>
      <c r="E514" t="s">
        <v>39</v>
      </c>
      <c r="F514" t="s">
        <v>63</v>
      </c>
      <c r="G514">
        <v>35364</v>
      </c>
      <c r="H514">
        <v>1</v>
      </c>
      <c r="I514">
        <v>0</v>
      </c>
      <c r="J514">
        <v>0</v>
      </c>
      <c r="K514">
        <v>0</v>
      </c>
      <c r="L514" t="s">
        <v>64</v>
      </c>
      <c r="M514" t="s">
        <v>84</v>
      </c>
      <c r="N514" t="s">
        <v>66</v>
      </c>
      <c r="O514" t="s">
        <v>67</v>
      </c>
      <c r="P514" t="s">
        <v>46</v>
      </c>
      <c r="Q514" t="s">
        <v>45</v>
      </c>
      <c r="R514">
        <v>0</v>
      </c>
      <c r="S514">
        <v>0</v>
      </c>
      <c r="T514">
        <v>1</v>
      </c>
      <c r="U514">
        <v>1</v>
      </c>
      <c r="V514">
        <v>1</v>
      </c>
      <c r="W514">
        <v>0</v>
      </c>
      <c r="X514">
        <v>1</v>
      </c>
      <c r="Y514">
        <v>0</v>
      </c>
      <c r="Z514">
        <v>0</v>
      </c>
      <c r="AA514">
        <v>0</v>
      </c>
      <c r="AB514">
        <v>1</v>
      </c>
      <c r="AC514">
        <v>0</v>
      </c>
      <c r="AD514">
        <v>0</v>
      </c>
      <c r="AE514">
        <v>0</v>
      </c>
    </row>
    <row r="515" spans="1:31" x14ac:dyDescent="0.2">
      <c r="A515" t="s">
        <v>217</v>
      </c>
      <c r="B515" t="s">
        <v>102</v>
      </c>
      <c r="C515">
        <v>37</v>
      </c>
      <c r="D515" t="s">
        <v>33</v>
      </c>
      <c r="E515" t="s">
        <v>39</v>
      </c>
      <c r="F515" t="s">
        <v>40</v>
      </c>
      <c r="G515">
        <v>21800</v>
      </c>
      <c r="H515">
        <v>0</v>
      </c>
      <c r="I515">
        <v>0</v>
      </c>
      <c r="J515">
        <v>1</v>
      </c>
      <c r="K515">
        <v>0</v>
      </c>
      <c r="L515" t="s">
        <v>42</v>
      </c>
      <c r="M515" t="s">
        <v>43</v>
      </c>
      <c r="N515" t="s">
        <v>41</v>
      </c>
      <c r="O515" t="s">
        <v>45</v>
      </c>
      <c r="P515" t="s">
        <v>46</v>
      </c>
      <c r="Q515" t="s">
        <v>44</v>
      </c>
      <c r="R515">
        <v>0</v>
      </c>
      <c r="S515">
        <v>1</v>
      </c>
      <c r="T515">
        <v>1</v>
      </c>
      <c r="U515">
        <v>0</v>
      </c>
      <c r="V515">
        <v>1</v>
      </c>
      <c r="W515">
        <v>0</v>
      </c>
      <c r="X515">
        <v>1</v>
      </c>
      <c r="Y515">
        <v>0</v>
      </c>
      <c r="Z515">
        <v>1</v>
      </c>
      <c r="AA515">
        <v>0</v>
      </c>
      <c r="AB515">
        <v>0</v>
      </c>
      <c r="AC515">
        <v>0</v>
      </c>
      <c r="AD515">
        <v>0</v>
      </c>
      <c r="AE515">
        <v>0</v>
      </c>
    </row>
    <row r="516" spans="1:31" x14ac:dyDescent="0.2">
      <c r="A516" t="s">
        <v>217</v>
      </c>
      <c r="B516" t="s">
        <v>102</v>
      </c>
      <c r="C516">
        <v>37</v>
      </c>
      <c r="D516" t="s">
        <v>33</v>
      </c>
      <c r="E516" t="s">
        <v>52</v>
      </c>
      <c r="F516" t="s">
        <v>58</v>
      </c>
      <c r="G516">
        <v>19341</v>
      </c>
      <c r="H516">
        <v>1</v>
      </c>
      <c r="I516">
        <v>1</v>
      </c>
      <c r="J516">
        <v>0</v>
      </c>
      <c r="K516">
        <v>0</v>
      </c>
      <c r="L516" t="s">
        <v>35</v>
      </c>
      <c r="M516" t="s">
        <v>35</v>
      </c>
      <c r="N516" t="s">
        <v>35</v>
      </c>
      <c r="O516" t="s">
        <v>35</v>
      </c>
      <c r="P516" t="s">
        <v>35</v>
      </c>
      <c r="Q516" t="s">
        <v>35</v>
      </c>
      <c r="R516" t="s">
        <v>35</v>
      </c>
      <c r="S516">
        <v>1</v>
      </c>
      <c r="T516">
        <v>1</v>
      </c>
      <c r="U516">
        <v>0</v>
      </c>
      <c r="V516">
        <v>1</v>
      </c>
      <c r="W516">
        <v>0</v>
      </c>
      <c r="X516">
        <v>1</v>
      </c>
      <c r="Y516">
        <v>0</v>
      </c>
      <c r="Z516">
        <v>1</v>
      </c>
      <c r="AA516">
        <v>0</v>
      </c>
      <c r="AB516">
        <v>0</v>
      </c>
      <c r="AC516">
        <v>0</v>
      </c>
      <c r="AD516">
        <v>0</v>
      </c>
      <c r="AE516">
        <v>0</v>
      </c>
    </row>
    <row r="517" spans="1:31" x14ac:dyDescent="0.2">
      <c r="A517" t="s">
        <v>217</v>
      </c>
      <c r="B517" t="s">
        <v>102</v>
      </c>
      <c r="C517">
        <v>37</v>
      </c>
      <c r="D517" t="s">
        <v>33</v>
      </c>
      <c r="E517" t="s">
        <v>39</v>
      </c>
      <c r="F517" t="s">
        <v>59</v>
      </c>
      <c r="G517">
        <v>22496</v>
      </c>
      <c r="H517">
        <v>0</v>
      </c>
      <c r="I517">
        <v>0</v>
      </c>
      <c r="J517">
        <v>1</v>
      </c>
      <c r="K517">
        <v>0</v>
      </c>
      <c r="L517" t="s">
        <v>83</v>
      </c>
      <c r="M517" t="s">
        <v>61</v>
      </c>
      <c r="N517" t="s">
        <v>94</v>
      </c>
      <c r="O517" t="s">
        <v>51</v>
      </c>
      <c r="P517" t="s">
        <v>46</v>
      </c>
      <c r="Q517" t="s">
        <v>68</v>
      </c>
      <c r="R517">
        <v>1</v>
      </c>
      <c r="S517">
        <v>0</v>
      </c>
      <c r="T517">
        <v>1</v>
      </c>
      <c r="U517">
        <v>0</v>
      </c>
      <c r="V517">
        <v>0</v>
      </c>
      <c r="W517">
        <v>0</v>
      </c>
      <c r="X517">
        <v>1</v>
      </c>
      <c r="Y517">
        <v>1</v>
      </c>
      <c r="Z517">
        <v>0</v>
      </c>
      <c r="AA517">
        <v>0</v>
      </c>
      <c r="AB517">
        <v>0</v>
      </c>
      <c r="AC517">
        <v>0</v>
      </c>
      <c r="AD517">
        <v>0</v>
      </c>
      <c r="AE517">
        <v>0</v>
      </c>
    </row>
    <row r="518" spans="1:31" x14ac:dyDescent="0.2">
      <c r="A518" t="s">
        <v>217</v>
      </c>
      <c r="B518" t="s">
        <v>102</v>
      </c>
      <c r="C518">
        <v>37</v>
      </c>
      <c r="D518" t="s">
        <v>33</v>
      </c>
      <c r="E518" t="s">
        <v>52</v>
      </c>
      <c r="F518" t="s">
        <v>74</v>
      </c>
      <c r="G518">
        <v>15179</v>
      </c>
      <c r="H518">
        <v>1</v>
      </c>
      <c r="I518">
        <v>0</v>
      </c>
      <c r="J518">
        <v>0</v>
      </c>
      <c r="K518">
        <v>0</v>
      </c>
      <c r="L518" t="s">
        <v>35</v>
      </c>
      <c r="M518" t="s">
        <v>35</v>
      </c>
      <c r="N518" t="s">
        <v>35</v>
      </c>
      <c r="O518" t="s">
        <v>35</v>
      </c>
      <c r="P518" t="s">
        <v>35</v>
      </c>
      <c r="Q518" t="s">
        <v>35</v>
      </c>
      <c r="R518" t="s">
        <v>35</v>
      </c>
      <c r="S518">
        <v>0</v>
      </c>
      <c r="T518">
        <v>1</v>
      </c>
      <c r="U518">
        <v>0</v>
      </c>
      <c r="V518">
        <v>0</v>
      </c>
      <c r="W518">
        <v>0</v>
      </c>
      <c r="X518">
        <v>1</v>
      </c>
      <c r="Y518">
        <v>1</v>
      </c>
      <c r="Z518">
        <v>0</v>
      </c>
      <c r="AA518">
        <v>0</v>
      </c>
      <c r="AB518">
        <v>0</v>
      </c>
      <c r="AC518">
        <v>0</v>
      </c>
      <c r="AD518">
        <v>0</v>
      </c>
      <c r="AE518">
        <v>0</v>
      </c>
    </row>
    <row r="519" spans="1:31" x14ac:dyDescent="0.2">
      <c r="A519" t="s">
        <v>217</v>
      </c>
      <c r="B519" t="s">
        <v>102</v>
      </c>
      <c r="C519">
        <v>37</v>
      </c>
      <c r="D519" t="s">
        <v>33</v>
      </c>
      <c r="E519" t="s">
        <v>75</v>
      </c>
      <c r="F519" t="s">
        <v>35</v>
      </c>
      <c r="G519">
        <v>161720</v>
      </c>
      <c r="H519" t="s">
        <v>218</v>
      </c>
      <c r="I519" t="s">
        <v>219</v>
      </c>
      <c r="J519" t="s">
        <v>220</v>
      </c>
      <c r="K519" t="s">
        <v>35</v>
      </c>
      <c r="L519" t="s">
        <v>35</v>
      </c>
      <c r="M519" t="s">
        <v>35</v>
      </c>
      <c r="N519" t="s">
        <v>35</v>
      </c>
      <c r="O519" t="s">
        <v>35</v>
      </c>
      <c r="P519" t="s">
        <v>35</v>
      </c>
      <c r="Q519" t="s">
        <v>35</v>
      </c>
      <c r="R519" t="s">
        <v>35</v>
      </c>
      <c r="S519" t="s">
        <v>35</v>
      </c>
      <c r="T519" t="s">
        <v>35</v>
      </c>
      <c r="U519" t="s">
        <v>35</v>
      </c>
      <c r="V519" t="s">
        <v>35</v>
      </c>
      <c r="W519" t="s">
        <v>35</v>
      </c>
      <c r="X519" t="s">
        <v>35</v>
      </c>
      <c r="Y519" t="s">
        <v>35</v>
      </c>
      <c r="Z519" t="s">
        <v>35</v>
      </c>
      <c r="AA519" t="s">
        <v>35</v>
      </c>
      <c r="AB519" t="s">
        <v>35</v>
      </c>
      <c r="AC519" t="s">
        <v>35</v>
      </c>
      <c r="AD519" t="s">
        <v>35</v>
      </c>
      <c r="AE519" t="s">
        <v>35</v>
      </c>
    </row>
    <row r="520" spans="1:31" x14ac:dyDescent="0.2">
      <c r="A520" t="s">
        <v>221</v>
      </c>
      <c r="B520" t="s">
        <v>102</v>
      </c>
      <c r="C520">
        <v>38</v>
      </c>
      <c r="D520" t="s">
        <v>33</v>
      </c>
      <c r="E520" t="s">
        <v>34</v>
      </c>
      <c r="F520" t="s">
        <v>35</v>
      </c>
      <c r="G520">
        <v>27416</v>
      </c>
      <c r="H520" t="s">
        <v>35</v>
      </c>
      <c r="I520" t="s">
        <v>35</v>
      </c>
      <c r="J520" t="s">
        <v>35</v>
      </c>
      <c r="K520" t="s">
        <v>35</v>
      </c>
      <c r="L520" t="s">
        <v>35</v>
      </c>
      <c r="M520" t="s">
        <v>35</v>
      </c>
      <c r="N520" t="s">
        <v>35</v>
      </c>
      <c r="O520" t="s">
        <v>35</v>
      </c>
      <c r="P520" t="s">
        <v>35</v>
      </c>
      <c r="Q520" t="s">
        <v>35</v>
      </c>
      <c r="R520" t="s">
        <v>35</v>
      </c>
      <c r="S520" t="s">
        <v>35</v>
      </c>
      <c r="T520" t="s">
        <v>35</v>
      </c>
      <c r="U520" t="s">
        <v>35</v>
      </c>
      <c r="V520" t="s">
        <v>35</v>
      </c>
      <c r="W520" t="s">
        <v>35</v>
      </c>
      <c r="X520" t="s">
        <v>35</v>
      </c>
      <c r="Y520" t="s">
        <v>35</v>
      </c>
      <c r="Z520" t="s">
        <v>35</v>
      </c>
      <c r="AA520" t="s">
        <v>35</v>
      </c>
      <c r="AB520" t="s">
        <v>35</v>
      </c>
      <c r="AC520" t="s">
        <v>35</v>
      </c>
      <c r="AD520" t="s">
        <v>35</v>
      </c>
      <c r="AE520" t="s">
        <v>35</v>
      </c>
    </row>
    <row r="521" spans="1:31" x14ac:dyDescent="0.2">
      <c r="A521" t="s">
        <v>221</v>
      </c>
      <c r="B521" t="s">
        <v>102</v>
      </c>
      <c r="C521">
        <v>38</v>
      </c>
      <c r="D521" t="s">
        <v>33</v>
      </c>
      <c r="E521" t="s">
        <v>36</v>
      </c>
      <c r="F521" t="s">
        <v>38</v>
      </c>
      <c r="G521">
        <v>56233</v>
      </c>
      <c r="H521">
        <v>0</v>
      </c>
      <c r="I521">
        <v>0</v>
      </c>
      <c r="J521">
        <v>0</v>
      </c>
      <c r="K521">
        <v>1</v>
      </c>
      <c r="L521" t="s">
        <v>35</v>
      </c>
      <c r="M521" t="s">
        <v>35</v>
      </c>
      <c r="N521" t="s">
        <v>35</v>
      </c>
      <c r="O521" t="s">
        <v>35</v>
      </c>
      <c r="P521" t="s">
        <v>35</v>
      </c>
      <c r="Q521" t="s">
        <v>35</v>
      </c>
      <c r="R521" t="s">
        <v>35</v>
      </c>
      <c r="S521" t="s">
        <v>35</v>
      </c>
      <c r="T521" t="s">
        <v>35</v>
      </c>
      <c r="U521" t="s">
        <v>35</v>
      </c>
      <c r="V521" t="s">
        <v>35</v>
      </c>
      <c r="W521" t="s">
        <v>35</v>
      </c>
      <c r="X521" t="s">
        <v>35</v>
      </c>
      <c r="Y521" t="s">
        <v>35</v>
      </c>
      <c r="Z521" t="s">
        <v>35</v>
      </c>
      <c r="AA521" t="s">
        <v>35</v>
      </c>
      <c r="AB521" t="s">
        <v>35</v>
      </c>
      <c r="AC521" t="s">
        <v>35</v>
      </c>
      <c r="AD521" t="s">
        <v>35</v>
      </c>
      <c r="AE521" t="s">
        <v>35</v>
      </c>
    </row>
    <row r="522" spans="1:31" x14ac:dyDescent="0.2">
      <c r="A522" t="s">
        <v>221</v>
      </c>
      <c r="B522" t="s">
        <v>102</v>
      </c>
      <c r="C522">
        <v>38</v>
      </c>
      <c r="D522" t="s">
        <v>33</v>
      </c>
      <c r="E522" t="s">
        <v>36</v>
      </c>
      <c r="F522" t="s">
        <v>37</v>
      </c>
      <c r="G522">
        <v>57853</v>
      </c>
      <c r="H522">
        <v>0</v>
      </c>
      <c r="I522">
        <v>0</v>
      </c>
      <c r="J522">
        <v>1</v>
      </c>
      <c r="K522">
        <v>0</v>
      </c>
      <c r="L522" t="s">
        <v>35</v>
      </c>
      <c r="M522" t="s">
        <v>35</v>
      </c>
      <c r="N522" t="s">
        <v>35</v>
      </c>
      <c r="O522" t="s">
        <v>35</v>
      </c>
      <c r="P522" t="s">
        <v>35</v>
      </c>
      <c r="Q522" t="s">
        <v>35</v>
      </c>
      <c r="R522" t="s">
        <v>35</v>
      </c>
      <c r="S522" t="s">
        <v>35</v>
      </c>
      <c r="T522" t="s">
        <v>35</v>
      </c>
      <c r="U522" t="s">
        <v>35</v>
      </c>
      <c r="V522" t="s">
        <v>35</v>
      </c>
      <c r="W522" t="s">
        <v>35</v>
      </c>
      <c r="X522" t="s">
        <v>35</v>
      </c>
      <c r="Y522" t="s">
        <v>35</v>
      </c>
      <c r="Z522" t="s">
        <v>35</v>
      </c>
      <c r="AA522" t="s">
        <v>35</v>
      </c>
      <c r="AB522" t="s">
        <v>35</v>
      </c>
      <c r="AC522" t="s">
        <v>35</v>
      </c>
      <c r="AD522" t="s">
        <v>35</v>
      </c>
      <c r="AE522" t="s">
        <v>35</v>
      </c>
    </row>
    <row r="523" spans="1:31" x14ac:dyDescent="0.2">
      <c r="A523" t="s">
        <v>221</v>
      </c>
      <c r="B523" t="s">
        <v>102</v>
      </c>
      <c r="C523">
        <v>38</v>
      </c>
      <c r="D523" t="s">
        <v>33</v>
      </c>
      <c r="E523" t="s">
        <v>39</v>
      </c>
      <c r="F523" t="s">
        <v>70</v>
      </c>
      <c r="G523">
        <v>82888</v>
      </c>
      <c r="H523">
        <v>1</v>
      </c>
      <c r="I523">
        <v>1</v>
      </c>
      <c r="J523">
        <v>1</v>
      </c>
      <c r="K523">
        <v>0</v>
      </c>
      <c r="L523" t="s">
        <v>72</v>
      </c>
      <c r="M523" t="s">
        <v>73</v>
      </c>
      <c r="N523" t="s">
        <v>71</v>
      </c>
      <c r="O523" t="s">
        <v>67</v>
      </c>
      <c r="P523" t="s">
        <v>44</v>
      </c>
      <c r="Q523" t="s">
        <v>45</v>
      </c>
      <c r="R523">
        <v>0</v>
      </c>
      <c r="S523">
        <v>1</v>
      </c>
      <c r="T523">
        <v>0</v>
      </c>
      <c r="U523">
        <v>1</v>
      </c>
      <c r="V523">
        <v>1</v>
      </c>
      <c r="W523">
        <v>0</v>
      </c>
      <c r="X523">
        <v>1</v>
      </c>
      <c r="Y523">
        <v>0</v>
      </c>
      <c r="Z523">
        <v>1</v>
      </c>
      <c r="AA523">
        <v>0</v>
      </c>
      <c r="AB523">
        <v>1</v>
      </c>
      <c r="AC523">
        <v>1</v>
      </c>
      <c r="AD523">
        <v>0</v>
      </c>
      <c r="AE523">
        <v>0</v>
      </c>
    </row>
    <row r="524" spans="1:31" x14ac:dyDescent="0.2">
      <c r="A524" t="s">
        <v>221</v>
      </c>
      <c r="B524" t="s">
        <v>102</v>
      </c>
      <c r="C524">
        <v>38</v>
      </c>
      <c r="D524" t="s">
        <v>33</v>
      </c>
      <c r="E524" t="s">
        <v>39</v>
      </c>
      <c r="F524" t="s">
        <v>54</v>
      </c>
      <c r="G524">
        <v>37884</v>
      </c>
      <c r="H524">
        <v>1</v>
      </c>
      <c r="I524">
        <v>0</v>
      </c>
      <c r="J524">
        <v>1</v>
      </c>
      <c r="K524">
        <v>0</v>
      </c>
      <c r="L524" t="s">
        <v>56</v>
      </c>
      <c r="M524" t="s">
        <v>122</v>
      </c>
      <c r="N524" t="s">
        <v>57</v>
      </c>
      <c r="O524" t="s">
        <v>45</v>
      </c>
      <c r="P524" t="s">
        <v>68</v>
      </c>
      <c r="Q524" t="s">
        <v>46</v>
      </c>
      <c r="R524">
        <v>1</v>
      </c>
      <c r="S524">
        <v>0</v>
      </c>
      <c r="T524">
        <v>1</v>
      </c>
      <c r="U524">
        <v>0</v>
      </c>
      <c r="V524">
        <v>1</v>
      </c>
      <c r="W524">
        <v>0</v>
      </c>
      <c r="X524">
        <v>1</v>
      </c>
      <c r="Y524">
        <v>0</v>
      </c>
      <c r="Z524">
        <v>0</v>
      </c>
      <c r="AA524">
        <v>1</v>
      </c>
      <c r="AB524">
        <v>0</v>
      </c>
      <c r="AC524">
        <v>1</v>
      </c>
      <c r="AD524">
        <v>0</v>
      </c>
      <c r="AE524">
        <v>0</v>
      </c>
    </row>
    <row r="525" spans="1:31" x14ac:dyDescent="0.2">
      <c r="A525" t="s">
        <v>221</v>
      </c>
      <c r="B525" t="s">
        <v>102</v>
      </c>
      <c r="C525">
        <v>38</v>
      </c>
      <c r="D525" t="s">
        <v>33</v>
      </c>
      <c r="E525" t="s">
        <v>52</v>
      </c>
      <c r="F525" t="s">
        <v>69</v>
      </c>
      <c r="G525">
        <v>108712</v>
      </c>
      <c r="H525">
        <v>1</v>
      </c>
      <c r="I525">
        <v>1</v>
      </c>
      <c r="J525">
        <v>1</v>
      </c>
      <c r="K525">
        <v>0</v>
      </c>
      <c r="L525" t="s">
        <v>35</v>
      </c>
      <c r="M525" t="s">
        <v>35</v>
      </c>
      <c r="N525" t="s">
        <v>35</v>
      </c>
      <c r="O525" t="s">
        <v>35</v>
      </c>
      <c r="P525" t="s">
        <v>35</v>
      </c>
      <c r="Q525" t="s">
        <v>35</v>
      </c>
      <c r="R525" t="s">
        <v>35</v>
      </c>
      <c r="S525">
        <v>0</v>
      </c>
      <c r="T525">
        <v>1</v>
      </c>
      <c r="U525">
        <v>0</v>
      </c>
      <c r="V525">
        <v>1</v>
      </c>
      <c r="W525">
        <v>0</v>
      </c>
      <c r="X525">
        <v>1</v>
      </c>
      <c r="Y525">
        <v>0</v>
      </c>
      <c r="Z525">
        <v>0</v>
      </c>
      <c r="AA525">
        <v>1</v>
      </c>
      <c r="AB525">
        <v>0</v>
      </c>
      <c r="AC525">
        <v>1</v>
      </c>
      <c r="AD525">
        <v>0</v>
      </c>
      <c r="AE525">
        <v>0</v>
      </c>
    </row>
    <row r="526" spans="1:31" x14ac:dyDescent="0.2">
      <c r="A526" t="s">
        <v>221</v>
      </c>
      <c r="B526" t="s">
        <v>102</v>
      </c>
      <c r="C526">
        <v>38</v>
      </c>
      <c r="D526" t="s">
        <v>33</v>
      </c>
      <c r="E526" t="s">
        <v>39</v>
      </c>
      <c r="F526" t="s">
        <v>40</v>
      </c>
      <c r="G526">
        <v>39584</v>
      </c>
      <c r="H526">
        <v>1</v>
      </c>
      <c r="I526">
        <v>1</v>
      </c>
      <c r="J526">
        <v>1</v>
      </c>
      <c r="K526">
        <v>0</v>
      </c>
      <c r="L526" t="s">
        <v>81</v>
      </c>
      <c r="M526" t="s">
        <v>42</v>
      </c>
      <c r="N526" t="s">
        <v>41</v>
      </c>
      <c r="O526" t="s">
        <v>67</v>
      </c>
      <c r="P526" t="s">
        <v>45</v>
      </c>
      <c r="Q526" t="s">
        <v>44</v>
      </c>
      <c r="R526">
        <v>0</v>
      </c>
      <c r="S526">
        <v>1</v>
      </c>
      <c r="T526">
        <v>0</v>
      </c>
      <c r="U526">
        <v>1</v>
      </c>
      <c r="V526">
        <v>1</v>
      </c>
      <c r="W526">
        <v>0</v>
      </c>
      <c r="X526">
        <v>1</v>
      </c>
      <c r="Y526">
        <v>0</v>
      </c>
      <c r="Z526">
        <v>1</v>
      </c>
      <c r="AA526">
        <v>0</v>
      </c>
      <c r="AB526">
        <v>1</v>
      </c>
      <c r="AC526">
        <v>1</v>
      </c>
      <c r="AD526">
        <v>0</v>
      </c>
      <c r="AE526">
        <v>0</v>
      </c>
    </row>
    <row r="527" spans="1:31" x14ac:dyDescent="0.2">
      <c r="A527" t="s">
        <v>221</v>
      </c>
      <c r="B527" t="s">
        <v>102</v>
      </c>
      <c r="C527">
        <v>38</v>
      </c>
      <c r="D527" t="s">
        <v>33</v>
      </c>
      <c r="E527" t="s">
        <v>39</v>
      </c>
      <c r="F527" t="s">
        <v>63</v>
      </c>
      <c r="G527">
        <v>24629</v>
      </c>
      <c r="H527">
        <v>1</v>
      </c>
      <c r="I527">
        <v>1</v>
      </c>
      <c r="J527">
        <v>1</v>
      </c>
      <c r="K527">
        <v>0</v>
      </c>
      <c r="L527" t="s">
        <v>66</v>
      </c>
      <c r="M527" t="s">
        <v>84</v>
      </c>
      <c r="N527" t="s">
        <v>85</v>
      </c>
      <c r="O527" t="s">
        <v>45</v>
      </c>
      <c r="P527" t="s">
        <v>46</v>
      </c>
      <c r="Q527" t="s">
        <v>51</v>
      </c>
      <c r="R527">
        <v>0</v>
      </c>
      <c r="S527">
        <v>0</v>
      </c>
      <c r="T527">
        <v>1</v>
      </c>
      <c r="U527">
        <v>0</v>
      </c>
      <c r="V527">
        <v>1</v>
      </c>
      <c r="W527">
        <v>0</v>
      </c>
      <c r="X527">
        <v>1</v>
      </c>
      <c r="Y527">
        <v>0</v>
      </c>
      <c r="Z527">
        <v>0</v>
      </c>
      <c r="AA527">
        <v>1</v>
      </c>
      <c r="AB527">
        <v>0</v>
      </c>
      <c r="AC527">
        <v>1</v>
      </c>
      <c r="AD527">
        <v>0</v>
      </c>
      <c r="AE527">
        <v>0</v>
      </c>
    </row>
    <row r="528" spans="1:31" x14ac:dyDescent="0.2">
      <c r="A528" t="s">
        <v>221</v>
      </c>
      <c r="B528" t="s">
        <v>102</v>
      </c>
      <c r="C528">
        <v>38</v>
      </c>
      <c r="D528" t="s">
        <v>33</v>
      </c>
      <c r="E528" t="s">
        <v>52</v>
      </c>
      <c r="F528" t="s">
        <v>58</v>
      </c>
      <c r="G528">
        <v>28934</v>
      </c>
      <c r="H528">
        <v>1</v>
      </c>
      <c r="I528">
        <v>1</v>
      </c>
      <c r="J528">
        <v>0</v>
      </c>
      <c r="K528">
        <v>0</v>
      </c>
      <c r="L528" t="s">
        <v>35</v>
      </c>
      <c r="M528" t="s">
        <v>35</v>
      </c>
      <c r="N528" t="s">
        <v>35</v>
      </c>
      <c r="O528" t="s">
        <v>35</v>
      </c>
      <c r="P528" t="s">
        <v>35</v>
      </c>
      <c r="Q528" t="s">
        <v>35</v>
      </c>
      <c r="R528" t="s">
        <v>35</v>
      </c>
      <c r="S528">
        <v>0</v>
      </c>
      <c r="T528">
        <v>1</v>
      </c>
      <c r="U528">
        <v>0</v>
      </c>
      <c r="V528">
        <v>1</v>
      </c>
      <c r="W528">
        <v>0</v>
      </c>
      <c r="X528">
        <v>1</v>
      </c>
      <c r="Y528">
        <v>0</v>
      </c>
      <c r="Z528">
        <v>0</v>
      </c>
      <c r="AA528">
        <v>1</v>
      </c>
      <c r="AB528">
        <v>0</v>
      </c>
      <c r="AC528">
        <v>1</v>
      </c>
      <c r="AD528">
        <v>0</v>
      </c>
      <c r="AE528">
        <v>0</v>
      </c>
    </row>
    <row r="529" spans="1:31" x14ac:dyDescent="0.2">
      <c r="A529" t="s">
        <v>221</v>
      </c>
      <c r="B529" t="s">
        <v>102</v>
      </c>
      <c r="C529">
        <v>38</v>
      </c>
      <c r="D529" t="s">
        <v>33</v>
      </c>
      <c r="E529" t="s">
        <v>39</v>
      </c>
      <c r="F529" t="s">
        <v>47</v>
      </c>
      <c r="G529">
        <v>48368</v>
      </c>
      <c r="H529">
        <v>0</v>
      </c>
      <c r="I529">
        <v>0</v>
      </c>
      <c r="J529">
        <v>0</v>
      </c>
      <c r="K529">
        <v>1</v>
      </c>
      <c r="L529" t="s">
        <v>49</v>
      </c>
      <c r="M529" t="s">
        <v>79</v>
      </c>
      <c r="N529" t="s">
        <v>50</v>
      </c>
      <c r="O529" t="s">
        <v>44</v>
      </c>
      <c r="P529" t="s">
        <v>45</v>
      </c>
      <c r="Q529" t="s">
        <v>51</v>
      </c>
      <c r="R529">
        <v>0</v>
      </c>
      <c r="S529">
        <v>1</v>
      </c>
      <c r="T529">
        <v>0</v>
      </c>
      <c r="U529">
        <v>0</v>
      </c>
      <c r="V529">
        <v>1</v>
      </c>
      <c r="W529">
        <v>0</v>
      </c>
      <c r="X529">
        <v>1</v>
      </c>
      <c r="Y529">
        <v>0</v>
      </c>
      <c r="Z529">
        <v>0</v>
      </c>
      <c r="AA529">
        <v>0</v>
      </c>
      <c r="AB529">
        <v>0</v>
      </c>
      <c r="AC529">
        <v>0</v>
      </c>
      <c r="AD529">
        <v>0</v>
      </c>
      <c r="AE529">
        <v>1</v>
      </c>
    </row>
    <row r="530" spans="1:31" x14ac:dyDescent="0.2">
      <c r="A530" t="s">
        <v>221</v>
      </c>
      <c r="B530" t="s">
        <v>102</v>
      </c>
      <c r="C530">
        <v>38</v>
      </c>
      <c r="D530" t="s">
        <v>33</v>
      </c>
      <c r="E530" t="s">
        <v>52</v>
      </c>
      <c r="F530" t="s">
        <v>53</v>
      </c>
      <c r="G530">
        <v>66215</v>
      </c>
      <c r="H530">
        <v>1</v>
      </c>
      <c r="I530">
        <v>0</v>
      </c>
      <c r="J530">
        <v>1</v>
      </c>
      <c r="K530">
        <v>0</v>
      </c>
      <c r="L530" t="s">
        <v>35</v>
      </c>
      <c r="M530" t="s">
        <v>35</v>
      </c>
      <c r="N530" t="s">
        <v>35</v>
      </c>
      <c r="O530" t="s">
        <v>35</v>
      </c>
      <c r="P530" t="s">
        <v>35</v>
      </c>
      <c r="Q530" t="s">
        <v>35</v>
      </c>
      <c r="R530" t="s">
        <v>35</v>
      </c>
      <c r="S530">
        <v>1</v>
      </c>
      <c r="T530">
        <v>0</v>
      </c>
      <c r="U530">
        <v>0</v>
      </c>
      <c r="V530">
        <v>1</v>
      </c>
      <c r="W530">
        <v>0</v>
      </c>
      <c r="X530">
        <v>1</v>
      </c>
      <c r="Y530">
        <v>0</v>
      </c>
      <c r="Z530">
        <v>0</v>
      </c>
      <c r="AA530">
        <v>0</v>
      </c>
      <c r="AB530">
        <v>0</v>
      </c>
      <c r="AC530">
        <v>0</v>
      </c>
      <c r="AD530">
        <v>0</v>
      </c>
      <c r="AE530">
        <v>1</v>
      </c>
    </row>
    <row r="531" spans="1:31" x14ac:dyDescent="0.2">
      <c r="A531" t="s">
        <v>221</v>
      </c>
      <c r="B531" t="s">
        <v>102</v>
      </c>
      <c r="C531">
        <v>38</v>
      </c>
      <c r="D531" t="s">
        <v>33</v>
      </c>
      <c r="E531" t="s">
        <v>39</v>
      </c>
      <c r="F531" t="s">
        <v>59</v>
      </c>
      <c r="G531">
        <v>45951</v>
      </c>
      <c r="H531">
        <v>1</v>
      </c>
      <c r="I531">
        <v>1</v>
      </c>
      <c r="J531">
        <v>1</v>
      </c>
      <c r="K531">
        <v>0</v>
      </c>
      <c r="L531" t="s">
        <v>62</v>
      </c>
      <c r="M531" t="s">
        <v>60</v>
      </c>
      <c r="N531" t="s">
        <v>99</v>
      </c>
      <c r="O531" t="s">
        <v>45</v>
      </c>
      <c r="P531" t="s">
        <v>44</v>
      </c>
      <c r="Q531" t="s">
        <v>67</v>
      </c>
      <c r="R531">
        <v>0</v>
      </c>
      <c r="S531">
        <v>1</v>
      </c>
      <c r="T531">
        <v>0</v>
      </c>
      <c r="U531">
        <v>1</v>
      </c>
      <c r="V531">
        <v>1</v>
      </c>
      <c r="W531">
        <v>0</v>
      </c>
      <c r="X531">
        <v>1</v>
      </c>
      <c r="Y531">
        <v>0</v>
      </c>
      <c r="Z531">
        <v>1</v>
      </c>
      <c r="AA531">
        <v>0</v>
      </c>
      <c r="AB531">
        <v>1</v>
      </c>
      <c r="AC531">
        <v>1</v>
      </c>
      <c r="AD531">
        <v>0</v>
      </c>
      <c r="AE531">
        <v>0</v>
      </c>
    </row>
    <row r="532" spans="1:31" x14ac:dyDescent="0.2">
      <c r="A532" t="s">
        <v>221</v>
      </c>
      <c r="B532" t="s">
        <v>102</v>
      </c>
      <c r="C532">
        <v>38</v>
      </c>
      <c r="D532" t="s">
        <v>33</v>
      </c>
      <c r="E532" t="s">
        <v>52</v>
      </c>
      <c r="F532" t="s">
        <v>74</v>
      </c>
      <c r="G532">
        <v>27949</v>
      </c>
      <c r="H532">
        <v>0</v>
      </c>
      <c r="I532">
        <v>0</v>
      </c>
      <c r="J532">
        <v>0</v>
      </c>
      <c r="K532">
        <v>1</v>
      </c>
      <c r="L532" t="s">
        <v>35</v>
      </c>
      <c r="M532" t="s">
        <v>35</v>
      </c>
      <c r="N532" t="s">
        <v>35</v>
      </c>
      <c r="O532" t="s">
        <v>35</v>
      </c>
      <c r="P532" t="s">
        <v>35</v>
      </c>
      <c r="Q532" t="s">
        <v>35</v>
      </c>
      <c r="R532" t="s">
        <v>35</v>
      </c>
      <c r="S532">
        <v>1</v>
      </c>
      <c r="T532">
        <v>0</v>
      </c>
      <c r="U532">
        <v>1</v>
      </c>
      <c r="V532">
        <v>1</v>
      </c>
      <c r="W532">
        <v>0</v>
      </c>
      <c r="X532">
        <v>1</v>
      </c>
      <c r="Y532">
        <v>0</v>
      </c>
      <c r="Z532">
        <v>1</v>
      </c>
      <c r="AA532">
        <v>0</v>
      </c>
      <c r="AB532">
        <v>1</v>
      </c>
      <c r="AC532">
        <v>1</v>
      </c>
      <c r="AD532">
        <v>0</v>
      </c>
      <c r="AE532">
        <v>0</v>
      </c>
    </row>
    <row r="533" spans="1:31" x14ac:dyDescent="0.2">
      <c r="A533" t="s">
        <v>221</v>
      </c>
      <c r="B533" t="s">
        <v>102</v>
      </c>
      <c r="C533">
        <v>38</v>
      </c>
      <c r="D533" t="s">
        <v>33</v>
      </c>
      <c r="E533" t="s">
        <v>75</v>
      </c>
      <c r="F533" t="s">
        <v>35</v>
      </c>
      <c r="G533">
        <v>56415</v>
      </c>
      <c r="H533" t="s">
        <v>222</v>
      </c>
      <c r="I533" t="s">
        <v>223</v>
      </c>
      <c r="J533" t="s">
        <v>181</v>
      </c>
      <c r="K533" t="s">
        <v>35</v>
      </c>
      <c r="L533" t="s">
        <v>35</v>
      </c>
      <c r="M533" t="s">
        <v>35</v>
      </c>
      <c r="N533" t="s">
        <v>35</v>
      </c>
      <c r="O533" t="s">
        <v>35</v>
      </c>
      <c r="P533" t="s">
        <v>35</v>
      </c>
      <c r="Q533" t="s">
        <v>35</v>
      </c>
      <c r="R533" t="s">
        <v>35</v>
      </c>
      <c r="S533" t="s">
        <v>35</v>
      </c>
      <c r="T533" t="s">
        <v>35</v>
      </c>
      <c r="U533" t="s">
        <v>35</v>
      </c>
      <c r="V533" t="s">
        <v>35</v>
      </c>
      <c r="W533" t="s">
        <v>35</v>
      </c>
      <c r="X533" t="s">
        <v>35</v>
      </c>
      <c r="Y533" t="s">
        <v>35</v>
      </c>
      <c r="Z533" t="s">
        <v>35</v>
      </c>
      <c r="AA533" t="s">
        <v>35</v>
      </c>
      <c r="AB533" t="s">
        <v>35</v>
      </c>
      <c r="AC533" t="s">
        <v>35</v>
      </c>
      <c r="AD533" t="s">
        <v>35</v>
      </c>
      <c r="AE533" t="s">
        <v>35</v>
      </c>
    </row>
    <row r="534" spans="1:31" x14ac:dyDescent="0.2">
      <c r="A534" t="s">
        <v>224</v>
      </c>
      <c r="B534" t="s">
        <v>102</v>
      </c>
      <c r="C534">
        <v>46</v>
      </c>
      <c r="D534" t="s">
        <v>33</v>
      </c>
      <c r="E534" t="s">
        <v>34</v>
      </c>
      <c r="F534" t="s">
        <v>35</v>
      </c>
      <c r="G534">
        <v>29437</v>
      </c>
      <c r="H534" t="s">
        <v>35</v>
      </c>
      <c r="I534" t="s">
        <v>35</v>
      </c>
      <c r="J534" t="s">
        <v>35</v>
      </c>
      <c r="K534" t="s">
        <v>35</v>
      </c>
      <c r="L534" t="s">
        <v>35</v>
      </c>
      <c r="M534" t="s">
        <v>35</v>
      </c>
      <c r="N534" t="s">
        <v>35</v>
      </c>
      <c r="O534" t="s">
        <v>35</v>
      </c>
      <c r="P534" t="s">
        <v>35</v>
      </c>
      <c r="Q534" t="s">
        <v>35</v>
      </c>
      <c r="R534" t="s">
        <v>35</v>
      </c>
      <c r="S534" t="s">
        <v>35</v>
      </c>
      <c r="T534" t="s">
        <v>35</v>
      </c>
      <c r="U534" t="s">
        <v>35</v>
      </c>
      <c r="V534" t="s">
        <v>35</v>
      </c>
      <c r="W534" t="s">
        <v>35</v>
      </c>
      <c r="X534" t="s">
        <v>35</v>
      </c>
      <c r="Y534" t="s">
        <v>35</v>
      </c>
      <c r="Z534" t="s">
        <v>35</v>
      </c>
      <c r="AA534" t="s">
        <v>35</v>
      </c>
      <c r="AB534" t="s">
        <v>35</v>
      </c>
      <c r="AC534" t="s">
        <v>35</v>
      </c>
      <c r="AD534" t="s">
        <v>35</v>
      </c>
      <c r="AE534" t="s">
        <v>35</v>
      </c>
    </row>
    <row r="535" spans="1:31" x14ac:dyDescent="0.2">
      <c r="A535" t="s">
        <v>224</v>
      </c>
      <c r="B535" t="s">
        <v>102</v>
      </c>
      <c r="C535">
        <v>46</v>
      </c>
      <c r="D535" t="s">
        <v>33</v>
      </c>
      <c r="E535" t="s">
        <v>36</v>
      </c>
      <c r="F535" t="s">
        <v>38</v>
      </c>
      <c r="G535">
        <v>36014</v>
      </c>
      <c r="H535">
        <v>0</v>
      </c>
      <c r="I535">
        <v>0</v>
      </c>
      <c r="J535">
        <v>0</v>
      </c>
      <c r="K535">
        <v>1</v>
      </c>
      <c r="L535" t="s">
        <v>35</v>
      </c>
      <c r="M535" t="s">
        <v>35</v>
      </c>
      <c r="N535" t="s">
        <v>35</v>
      </c>
      <c r="O535" t="s">
        <v>35</v>
      </c>
      <c r="P535" t="s">
        <v>35</v>
      </c>
      <c r="Q535" t="s">
        <v>35</v>
      </c>
      <c r="R535" t="s">
        <v>35</v>
      </c>
      <c r="S535" t="s">
        <v>35</v>
      </c>
      <c r="T535" t="s">
        <v>35</v>
      </c>
      <c r="U535" t="s">
        <v>35</v>
      </c>
      <c r="V535" t="s">
        <v>35</v>
      </c>
      <c r="W535" t="s">
        <v>35</v>
      </c>
      <c r="X535" t="s">
        <v>35</v>
      </c>
      <c r="Y535" t="s">
        <v>35</v>
      </c>
      <c r="Z535" t="s">
        <v>35</v>
      </c>
      <c r="AA535" t="s">
        <v>35</v>
      </c>
      <c r="AB535" t="s">
        <v>35</v>
      </c>
      <c r="AC535" t="s">
        <v>35</v>
      </c>
      <c r="AD535" t="s">
        <v>35</v>
      </c>
      <c r="AE535" t="s">
        <v>35</v>
      </c>
    </row>
    <row r="536" spans="1:31" x14ac:dyDescent="0.2">
      <c r="A536" t="s">
        <v>224</v>
      </c>
      <c r="B536" t="s">
        <v>102</v>
      </c>
      <c r="C536">
        <v>46</v>
      </c>
      <c r="D536" t="s">
        <v>33</v>
      </c>
      <c r="E536" t="s">
        <v>36</v>
      </c>
      <c r="F536" t="s">
        <v>37</v>
      </c>
      <c r="G536">
        <v>46658</v>
      </c>
      <c r="H536">
        <v>0</v>
      </c>
      <c r="I536">
        <v>0</v>
      </c>
      <c r="J536">
        <v>1</v>
      </c>
      <c r="K536">
        <v>0</v>
      </c>
      <c r="L536" t="s">
        <v>35</v>
      </c>
      <c r="M536" t="s">
        <v>35</v>
      </c>
      <c r="N536" t="s">
        <v>35</v>
      </c>
      <c r="O536" t="s">
        <v>35</v>
      </c>
      <c r="P536" t="s">
        <v>35</v>
      </c>
      <c r="Q536" t="s">
        <v>35</v>
      </c>
      <c r="R536" t="s">
        <v>35</v>
      </c>
      <c r="S536" t="s">
        <v>35</v>
      </c>
      <c r="T536" t="s">
        <v>35</v>
      </c>
      <c r="U536" t="s">
        <v>35</v>
      </c>
      <c r="V536" t="s">
        <v>35</v>
      </c>
      <c r="W536" t="s">
        <v>35</v>
      </c>
      <c r="X536" t="s">
        <v>35</v>
      </c>
      <c r="Y536" t="s">
        <v>35</v>
      </c>
      <c r="Z536" t="s">
        <v>35</v>
      </c>
      <c r="AA536" t="s">
        <v>35</v>
      </c>
      <c r="AB536" t="s">
        <v>35</v>
      </c>
      <c r="AC536" t="s">
        <v>35</v>
      </c>
      <c r="AD536" t="s">
        <v>35</v>
      </c>
      <c r="AE536" t="s">
        <v>35</v>
      </c>
    </row>
    <row r="537" spans="1:31" x14ac:dyDescent="0.2">
      <c r="A537" t="s">
        <v>224</v>
      </c>
      <c r="B537" t="s">
        <v>102</v>
      </c>
      <c r="C537">
        <v>46</v>
      </c>
      <c r="D537" t="s">
        <v>33</v>
      </c>
      <c r="E537" t="s">
        <v>39</v>
      </c>
      <c r="F537" t="s">
        <v>40</v>
      </c>
      <c r="G537">
        <v>177704</v>
      </c>
      <c r="H537">
        <v>1</v>
      </c>
      <c r="I537">
        <v>1</v>
      </c>
      <c r="J537">
        <v>1</v>
      </c>
      <c r="K537">
        <v>0</v>
      </c>
      <c r="L537" t="s">
        <v>82</v>
      </c>
      <c r="M537" t="s">
        <v>81</v>
      </c>
      <c r="N537" t="s">
        <v>43</v>
      </c>
      <c r="O537" t="s">
        <v>68</v>
      </c>
      <c r="P537" t="s">
        <v>67</v>
      </c>
      <c r="Q537" t="s">
        <v>46</v>
      </c>
      <c r="R537">
        <v>1</v>
      </c>
      <c r="S537">
        <v>0</v>
      </c>
      <c r="T537">
        <v>1</v>
      </c>
      <c r="U537">
        <v>1</v>
      </c>
      <c r="V537">
        <v>0</v>
      </c>
      <c r="W537">
        <v>0</v>
      </c>
      <c r="X537">
        <v>1</v>
      </c>
      <c r="Y537">
        <v>1</v>
      </c>
      <c r="Z537">
        <v>0</v>
      </c>
      <c r="AA537">
        <v>1</v>
      </c>
      <c r="AB537">
        <v>1</v>
      </c>
      <c r="AC537">
        <v>0</v>
      </c>
      <c r="AD537">
        <v>0</v>
      </c>
      <c r="AE537">
        <v>0</v>
      </c>
    </row>
    <row r="538" spans="1:31" x14ac:dyDescent="0.2">
      <c r="A538" t="s">
        <v>224</v>
      </c>
      <c r="B538" t="s">
        <v>102</v>
      </c>
      <c r="C538">
        <v>46</v>
      </c>
      <c r="D538" t="s">
        <v>33</v>
      </c>
      <c r="E538" t="s">
        <v>39</v>
      </c>
      <c r="F538" t="s">
        <v>47</v>
      </c>
      <c r="G538">
        <v>17861</v>
      </c>
      <c r="H538">
        <v>1</v>
      </c>
      <c r="I538">
        <v>1</v>
      </c>
      <c r="J538">
        <v>1</v>
      </c>
      <c r="K538">
        <v>0</v>
      </c>
      <c r="L538" t="s">
        <v>80</v>
      </c>
      <c r="M538" t="s">
        <v>95</v>
      </c>
      <c r="N538" t="s">
        <v>49</v>
      </c>
      <c r="O538" t="s">
        <v>67</v>
      </c>
      <c r="P538" t="s">
        <v>68</v>
      </c>
      <c r="Q538" t="s">
        <v>44</v>
      </c>
      <c r="R538">
        <v>1</v>
      </c>
      <c r="S538">
        <v>1</v>
      </c>
      <c r="T538">
        <v>0</v>
      </c>
      <c r="U538">
        <v>1</v>
      </c>
      <c r="V538">
        <v>0</v>
      </c>
      <c r="W538">
        <v>0</v>
      </c>
      <c r="X538">
        <v>1</v>
      </c>
      <c r="Y538">
        <v>1</v>
      </c>
      <c r="Z538">
        <v>1</v>
      </c>
      <c r="AA538">
        <v>0</v>
      </c>
      <c r="AB538">
        <v>1</v>
      </c>
      <c r="AC538">
        <v>0</v>
      </c>
      <c r="AD538">
        <v>0</v>
      </c>
      <c r="AE538">
        <v>0</v>
      </c>
    </row>
    <row r="539" spans="1:31" x14ac:dyDescent="0.2">
      <c r="A539" t="s">
        <v>224</v>
      </c>
      <c r="B539" t="s">
        <v>102</v>
      </c>
      <c r="C539">
        <v>46</v>
      </c>
      <c r="D539" t="s">
        <v>33</v>
      </c>
      <c r="E539" t="s">
        <v>52</v>
      </c>
      <c r="F539" t="s">
        <v>53</v>
      </c>
      <c r="G539">
        <v>85503</v>
      </c>
      <c r="H539">
        <v>0</v>
      </c>
      <c r="I539">
        <v>0</v>
      </c>
      <c r="J539">
        <v>0</v>
      </c>
      <c r="K539">
        <v>1</v>
      </c>
      <c r="L539" t="s">
        <v>35</v>
      </c>
      <c r="M539" t="s">
        <v>35</v>
      </c>
      <c r="N539" t="s">
        <v>35</v>
      </c>
      <c r="O539" t="s">
        <v>35</v>
      </c>
      <c r="P539" t="s">
        <v>35</v>
      </c>
      <c r="Q539" t="s">
        <v>35</v>
      </c>
      <c r="R539" t="s">
        <v>35</v>
      </c>
      <c r="S539">
        <v>1</v>
      </c>
      <c r="T539">
        <v>0</v>
      </c>
      <c r="U539">
        <v>1</v>
      </c>
      <c r="V539">
        <v>0</v>
      </c>
      <c r="W539">
        <v>0</v>
      </c>
      <c r="X539">
        <v>1</v>
      </c>
      <c r="Y539">
        <v>1</v>
      </c>
      <c r="Z539">
        <v>1</v>
      </c>
      <c r="AA539">
        <v>0</v>
      </c>
      <c r="AB539">
        <v>1</v>
      </c>
      <c r="AC539">
        <v>0</v>
      </c>
      <c r="AD539">
        <v>0</v>
      </c>
      <c r="AE539">
        <v>0</v>
      </c>
    </row>
    <row r="540" spans="1:31" x14ac:dyDescent="0.2">
      <c r="A540" t="s">
        <v>224</v>
      </c>
      <c r="B540" t="s">
        <v>102</v>
      </c>
      <c r="C540">
        <v>46</v>
      </c>
      <c r="D540" t="s">
        <v>33</v>
      </c>
      <c r="E540" t="s">
        <v>39</v>
      </c>
      <c r="F540" t="s">
        <v>59</v>
      </c>
      <c r="G540">
        <v>34905</v>
      </c>
      <c r="H540">
        <v>1</v>
      </c>
      <c r="I540">
        <v>1</v>
      </c>
      <c r="J540">
        <v>1</v>
      </c>
      <c r="K540">
        <v>0</v>
      </c>
      <c r="L540" t="s">
        <v>60</v>
      </c>
      <c r="M540" t="s">
        <v>83</v>
      </c>
      <c r="N540" t="s">
        <v>62</v>
      </c>
      <c r="O540" t="s">
        <v>44</v>
      </c>
      <c r="P540" t="s">
        <v>51</v>
      </c>
      <c r="Q540" t="s">
        <v>45</v>
      </c>
      <c r="R540">
        <v>0</v>
      </c>
      <c r="S540">
        <v>1</v>
      </c>
      <c r="T540">
        <v>0</v>
      </c>
      <c r="U540">
        <v>0</v>
      </c>
      <c r="V540">
        <v>1</v>
      </c>
      <c r="W540">
        <v>0</v>
      </c>
      <c r="X540">
        <v>1</v>
      </c>
      <c r="Y540">
        <v>0</v>
      </c>
      <c r="Z540">
        <v>1</v>
      </c>
      <c r="AA540">
        <v>0</v>
      </c>
      <c r="AB540">
        <v>0</v>
      </c>
      <c r="AC540">
        <v>1</v>
      </c>
      <c r="AD540">
        <v>0</v>
      </c>
      <c r="AE540">
        <v>0</v>
      </c>
    </row>
    <row r="541" spans="1:31" x14ac:dyDescent="0.2">
      <c r="A541" t="s">
        <v>224</v>
      </c>
      <c r="B541" t="s">
        <v>102</v>
      </c>
      <c r="C541">
        <v>46</v>
      </c>
      <c r="D541" t="s">
        <v>33</v>
      </c>
      <c r="E541" t="s">
        <v>52</v>
      </c>
      <c r="F541" t="s">
        <v>69</v>
      </c>
      <c r="G541">
        <v>49566</v>
      </c>
      <c r="H541">
        <v>0</v>
      </c>
      <c r="I541">
        <v>1</v>
      </c>
      <c r="J541">
        <v>0</v>
      </c>
      <c r="K541">
        <v>0</v>
      </c>
      <c r="L541" t="s">
        <v>35</v>
      </c>
      <c r="M541" t="s">
        <v>35</v>
      </c>
      <c r="N541" t="s">
        <v>35</v>
      </c>
      <c r="O541" t="s">
        <v>35</v>
      </c>
      <c r="P541" t="s">
        <v>35</v>
      </c>
      <c r="Q541" t="s">
        <v>35</v>
      </c>
      <c r="R541" t="s">
        <v>35</v>
      </c>
      <c r="S541">
        <v>1</v>
      </c>
      <c r="T541">
        <v>0</v>
      </c>
      <c r="U541">
        <v>0</v>
      </c>
      <c r="V541">
        <v>1</v>
      </c>
      <c r="W541">
        <v>0</v>
      </c>
      <c r="X541">
        <v>1</v>
      </c>
      <c r="Y541">
        <v>0</v>
      </c>
      <c r="Z541">
        <v>1</v>
      </c>
      <c r="AA541">
        <v>0</v>
      </c>
      <c r="AB541">
        <v>0</v>
      </c>
      <c r="AC541">
        <v>1</v>
      </c>
      <c r="AD541">
        <v>0</v>
      </c>
      <c r="AE541">
        <v>0</v>
      </c>
    </row>
    <row r="542" spans="1:31" x14ac:dyDescent="0.2">
      <c r="A542" t="s">
        <v>224</v>
      </c>
      <c r="B542" t="s">
        <v>102</v>
      </c>
      <c r="C542">
        <v>46</v>
      </c>
      <c r="D542" t="s">
        <v>33</v>
      </c>
      <c r="E542" t="s">
        <v>39</v>
      </c>
      <c r="F542" t="s">
        <v>70</v>
      </c>
      <c r="G542">
        <v>18699</v>
      </c>
      <c r="H542">
        <v>1</v>
      </c>
      <c r="I542">
        <v>1</v>
      </c>
      <c r="J542">
        <v>1</v>
      </c>
      <c r="K542">
        <v>0</v>
      </c>
      <c r="L542" t="s">
        <v>86</v>
      </c>
      <c r="M542" t="s">
        <v>73</v>
      </c>
      <c r="N542" t="s">
        <v>71</v>
      </c>
      <c r="O542" t="s">
        <v>46</v>
      </c>
      <c r="P542" t="s">
        <v>44</v>
      </c>
      <c r="Q542" t="s">
        <v>45</v>
      </c>
      <c r="R542">
        <v>0</v>
      </c>
      <c r="S542">
        <v>1</v>
      </c>
      <c r="T542">
        <v>1</v>
      </c>
      <c r="U542">
        <v>0</v>
      </c>
      <c r="V542">
        <v>1</v>
      </c>
      <c r="W542">
        <v>0</v>
      </c>
      <c r="X542">
        <v>1</v>
      </c>
      <c r="Y542">
        <v>0</v>
      </c>
      <c r="Z542">
        <v>1</v>
      </c>
      <c r="AA542">
        <v>1</v>
      </c>
      <c r="AB542">
        <v>0</v>
      </c>
      <c r="AC542">
        <v>1</v>
      </c>
      <c r="AD542">
        <v>0</v>
      </c>
      <c r="AE542">
        <v>0</v>
      </c>
    </row>
    <row r="543" spans="1:31" x14ac:dyDescent="0.2">
      <c r="A543" t="s">
        <v>224</v>
      </c>
      <c r="B543" t="s">
        <v>102</v>
      </c>
      <c r="C543">
        <v>46</v>
      </c>
      <c r="D543" t="s">
        <v>33</v>
      </c>
      <c r="E543" t="s">
        <v>39</v>
      </c>
      <c r="F543" t="s">
        <v>54</v>
      </c>
      <c r="G543">
        <v>14950</v>
      </c>
      <c r="H543">
        <v>1</v>
      </c>
      <c r="I543">
        <v>1</v>
      </c>
      <c r="J543">
        <v>1</v>
      </c>
      <c r="K543">
        <v>0</v>
      </c>
      <c r="L543" t="s">
        <v>89</v>
      </c>
      <c r="M543" t="s">
        <v>57</v>
      </c>
      <c r="N543" t="s">
        <v>55</v>
      </c>
      <c r="O543" t="s">
        <v>67</v>
      </c>
      <c r="P543" t="s">
        <v>46</v>
      </c>
      <c r="Q543" t="s">
        <v>44</v>
      </c>
      <c r="R543">
        <v>0</v>
      </c>
      <c r="S543">
        <v>1</v>
      </c>
      <c r="T543">
        <v>1</v>
      </c>
      <c r="U543">
        <v>1</v>
      </c>
      <c r="V543">
        <v>0</v>
      </c>
      <c r="W543">
        <v>0</v>
      </c>
      <c r="X543">
        <v>1</v>
      </c>
      <c r="Y543">
        <v>0</v>
      </c>
      <c r="Z543">
        <v>1</v>
      </c>
      <c r="AA543">
        <v>1</v>
      </c>
      <c r="AB543">
        <v>1</v>
      </c>
      <c r="AC543">
        <v>0</v>
      </c>
      <c r="AD543">
        <v>0</v>
      </c>
      <c r="AE543">
        <v>0</v>
      </c>
    </row>
    <row r="544" spans="1:31" x14ac:dyDescent="0.2">
      <c r="A544" t="s">
        <v>224</v>
      </c>
      <c r="B544" t="s">
        <v>102</v>
      </c>
      <c r="C544">
        <v>46</v>
      </c>
      <c r="D544" t="s">
        <v>33</v>
      </c>
      <c r="E544" t="s">
        <v>52</v>
      </c>
      <c r="F544" t="s">
        <v>58</v>
      </c>
      <c r="G544">
        <v>41348</v>
      </c>
      <c r="H544">
        <v>0</v>
      </c>
      <c r="I544">
        <v>0</v>
      </c>
      <c r="J544">
        <v>0</v>
      </c>
      <c r="K544">
        <v>1</v>
      </c>
      <c r="L544" t="s">
        <v>35</v>
      </c>
      <c r="M544" t="s">
        <v>35</v>
      </c>
      <c r="N544" t="s">
        <v>35</v>
      </c>
      <c r="O544" t="s">
        <v>35</v>
      </c>
      <c r="P544" t="s">
        <v>35</v>
      </c>
      <c r="Q544" t="s">
        <v>35</v>
      </c>
      <c r="R544" t="s">
        <v>35</v>
      </c>
      <c r="S544">
        <v>1</v>
      </c>
      <c r="T544">
        <v>1</v>
      </c>
      <c r="U544">
        <v>1</v>
      </c>
      <c r="V544">
        <v>0</v>
      </c>
      <c r="W544">
        <v>0</v>
      </c>
      <c r="X544">
        <v>1</v>
      </c>
      <c r="Y544">
        <v>0</v>
      </c>
      <c r="Z544">
        <v>1</v>
      </c>
      <c r="AA544">
        <v>1</v>
      </c>
      <c r="AB544">
        <v>1</v>
      </c>
      <c r="AC544">
        <v>0</v>
      </c>
      <c r="AD544">
        <v>0</v>
      </c>
      <c r="AE544">
        <v>0</v>
      </c>
    </row>
    <row r="545" spans="1:31" x14ac:dyDescent="0.2">
      <c r="A545" t="s">
        <v>224</v>
      </c>
      <c r="B545" t="s">
        <v>102</v>
      </c>
      <c r="C545">
        <v>46</v>
      </c>
      <c r="D545" t="s">
        <v>33</v>
      </c>
      <c r="E545" t="s">
        <v>39</v>
      </c>
      <c r="F545" t="s">
        <v>63</v>
      </c>
      <c r="G545">
        <v>22845</v>
      </c>
      <c r="H545">
        <v>1</v>
      </c>
      <c r="I545">
        <v>1</v>
      </c>
      <c r="J545">
        <v>1</v>
      </c>
      <c r="K545">
        <v>0</v>
      </c>
      <c r="L545" t="s">
        <v>66</v>
      </c>
      <c r="M545" t="s">
        <v>65</v>
      </c>
      <c r="N545" t="s">
        <v>64</v>
      </c>
      <c r="O545" t="s">
        <v>45</v>
      </c>
      <c r="P545" t="s">
        <v>68</v>
      </c>
      <c r="Q545" t="s">
        <v>67</v>
      </c>
      <c r="R545">
        <v>1</v>
      </c>
      <c r="S545">
        <v>0</v>
      </c>
      <c r="T545">
        <v>0</v>
      </c>
      <c r="U545">
        <v>1</v>
      </c>
      <c r="V545">
        <v>1</v>
      </c>
      <c r="W545">
        <v>0</v>
      </c>
      <c r="X545">
        <v>1</v>
      </c>
      <c r="Y545">
        <v>1</v>
      </c>
      <c r="Z545">
        <v>0</v>
      </c>
      <c r="AA545">
        <v>0</v>
      </c>
      <c r="AB545">
        <v>1</v>
      </c>
      <c r="AC545">
        <v>1</v>
      </c>
      <c r="AD545">
        <v>0</v>
      </c>
      <c r="AE545">
        <v>0</v>
      </c>
    </row>
    <row r="546" spans="1:31" x14ac:dyDescent="0.2">
      <c r="A546" t="s">
        <v>224</v>
      </c>
      <c r="B546" t="s">
        <v>102</v>
      </c>
      <c r="C546">
        <v>46</v>
      </c>
      <c r="D546" t="s">
        <v>33</v>
      </c>
      <c r="E546" t="s">
        <v>52</v>
      </c>
      <c r="F546" t="s">
        <v>74</v>
      </c>
      <c r="G546">
        <v>41852</v>
      </c>
      <c r="H546">
        <v>1</v>
      </c>
      <c r="I546">
        <v>0</v>
      </c>
      <c r="J546">
        <v>0</v>
      </c>
      <c r="K546">
        <v>0</v>
      </c>
      <c r="L546" t="s">
        <v>35</v>
      </c>
      <c r="M546" t="s">
        <v>35</v>
      </c>
      <c r="N546" t="s">
        <v>35</v>
      </c>
      <c r="O546" t="s">
        <v>35</v>
      </c>
      <c r="P546" t="s">
        <v>35</v>
      </c>
      <c r="Q546" t="s">
        <v>35</v>
      </c>
      <c r="R546" t="s">
        <v>35</v>
      </c>
      <c r="S546">
        <v>0</v>
      </c>
      <c r="T546">
        <v>0</v>
      </c>
      <c r="U546">
        <v>1</v>
      </c>
      <c r="V546">
        <v>1</v>
      </c>
      <c r="W546">
        <v>0</v>
      </c>
      <c r="X546">
        <v>1</v>
      </c>
      <c r="Y546">
        <v>1</v>
      </c>
      <c r="Z546">
        <v>0</v>
      </c>
      <c r="AA546">
        <v>0</v>
      </c>
      <c r="AB546">
        <v>1</v>
      </c>
      <c r="AC546">
        <v>1</v>
      </c>
      <c r="AD546">
        <v>0</v>
      </c>
      <c r="AE546">
        <v>0</v>
      </c>
    </row>
    <row r="547" spans="1:31" x14ac:dyDescent="0.2">
      <c r="A547" t="s">
        <v>224</v>
      </c>
      <c r="B547" t="s">
        <v>102</v>
      </c>
      <c r="C547">
        <v>46</v>
      </c>
      <c r="D547" t="s">
        <v>33</v>
      </c>
      <c r="E547" t="s">
        <v>75</v>
      </c>
      <c r="F547" t="s">
        <v>35</v>
      </c>
      <c r="G547">
        <v>50141</v>
      </c>
      <c r="H547" t="s">
        <v>225</v>
      </c>
      <c r="I547" t="s">
        <v>181</v>
      </c>
      <c r="J547" t="s">
        <v>181</v>
      </c>
      <c r="K547" t="s">
        <v>35</v>
      </c>
      <c r="L547" t="s">
        <v>35</v>
      </c>
      <c r="M547" t="s">
        <v>35</v>
      </c>
      <c r="N547" t="s">
        <v>35</v>
      </c>
      <c r="O547" t="s">
        <v>35</v>
      </c>
      <c r="P547" t="s">
        <v>35</v>
      </c>
      <c r="Q547" t="s">
        <v>35</v>
      </c>
      <c r="R547" t="s">
        <v>35</v>
      </c>
      <c r="S547" t="s">
        <v>35</v>
      </c>
      <c r="T547" t="s">
        <v>35</v>
      </c>
      <c r="U547" t="s">
        <v>35</v>
      </c>
      <c r="V547" t="s">
        <v>35</v>
      </c>
      <c r="W547" t="s">
        <v>35</v>
      </c>
      <c r="X547" t="s">
        <v>35</v>
      </c>
      <c r="Y547" t="s">
        <v>35</v>
      </c>
      <c r="Z547" t="s">
        <v>35</v>
      </c>
      <c r="AA547" t="s">
        <v>35</v>
      </c>
      <c r="AB547" t="s">
        <v>35</v>
      </c>
      <c r="AC547" t="s">
        <v>35</v>
      </c>
      <c r="AD547" t="s">
        <v>35</v>
      </c>
      <c r="AE547" t="s">
        <v>35</v>
      </c>
    </row>
    <row r="548" spans="1:31" x14ac:dyDescent="0.2">
      <c r="A548" t="s">
        <v>226</v>
      </c>
      <c r="B548" t="s">
        <v>102</v>
      </c>
      <c r="C548">
        <v>67</v>
      </c>
      <c r="D548" t="s">
        <v>33</v>
      </c>
      <c r="E548" t="s">
        <v>34</v>
      </c>
      <c r="F548" t="s">
        <v>35</v>
      </c>
      <c r="G548">
        <v>82416</v>
      </c>
      <c r="H548" t="s">
        <v>35</v>
      </c>
      <c r="I548" t="s">
        <v>35</v>
      </c>
      <c r="J548" t="s">
        <v>35</v>
      </c>
      <c r="K548" t="s">
        <v>35</v>
      </c>
      <c r="L548" t="s">
        <v>35</v>
      </c>
      <c r="M548" t="s">
        <v>35</v>
      </c>
      <c r="N548" t="s">
        <v>35</v>
      </c>
      <c r="O548" t="s">
        <v>35</v>
      </c>
      <c r="P548" t="s">
        <v>35</v>
      </c>
      <c r="Q548" t="s">
        <v>35</v>
      </c>
      <c r="R548" t="s">
        <v>35</v>
      </c>
      <c r="S548" t="s">
        <v>35</v>
      </c>
      <c r="T548" t="s">
        <v>35</v>
      </c>
      <c r="U548" t="s">
        <v>35</v>
      </c>
      <c r="V548" t="s">
        <v>35</v>
      </c>
      <c r="W548" t="s">
        <v>35</v>
      </c>
      <c r="X548" t="s">
        <v>35</v>
      </c>
      <c r="Y548" t="s">
        <v>35</v>
      </c>
      <c r="Z548" t="s">
        <v>35</v>
      </c>
      <c r="AA548" t="s">
        <v>35</v>
      </c>
      <c r="AB548" t="s">
        <v>35</v>
      </c>
      <c r="AC548" t="s">
        <v>35</v>
      </c>
      <c r="AD548" t="s">
        <v>35</v>
      </c>
      <c r="AE548" t="s">
        <v>35</v>
      </c>
    </row>
    <row r="549" spans="1:31" x14ac:dyDescent="0.2">
      <c r="A549" t="s">
        <v>226</v>
      </c>
      <c r="B549" t="s">
        <v>102</v>
      </c>
      <c r="C549">
        <v>67</v>
      </c>
      <c r="D549" t="s">
        <v>33</v>
      </c>
      <c r="E549" t="s">
        <v>36</v>
      </c>
      <c r="F549" t="s">
        <v>38</v>
      </c>
      <c r="G549">
        <v>54660</v>
      </c>
      <c r="H549">
        <v>0</v>
      </c>
      <c r="I549">
        <v>0</v>
      </c>
      <c r="J549">
        <v>0</v>
      </c>
      <c r="K549">
        <v>1</v>
      </c>
      <c r="L549" t="s">
        <v>35</v>
      </c>
      <c r="M549" t="s">
        <v>35</v>
      </c>
      <c r="N549" t="s">
        <v>35</v>
      </c>
      <c r="O549" t="s">
        <v>35</v>
      </c>
      <c r="P549" t="s">
        <v>35</v>
      </c>
      <c r="Q549" t="s">
        <v>35</v>
      </c>
      <c r="R549" t="s">
        <v>35</v>
      </c>
      <c r="S549" t="s">
        <v>35</v>
      </c>
      <c r="T549" t="s">
        <v>35</v>
      </c>
      <c r="U549" t="s">
        <v>35</v>
      </c>
      <c r="V549" t="s">
        <v>35</v>
      </c>
      <c r="W549" t="s">
        <v>35</v>
      </c>
      <c r="X549" t="s">
        <v>35</v>
      </c>
      <c r="Y549" t="s">
        <v>35</v>
      </c>
      <c r="Z549" t="s">
        <v>35</v>
      </c>
      <c r="AA549" t="s">
        <v>35</v>
      </c>
      <c r="AB549" t="s">
        <v>35</v>
      </c>
      <c r="AC549" t="s">
        <v>35</v>
      </c>
      <c r="AD549" t="s">
        <v>35</v>
      </c>
      <c r="AE549" t="s">
        <v>35</v>
      </c>
    </row>
    <row r="550" spans="1:31" x14ac:dyDescent="0.2">
      <c r="A550" t="s">
        <v>226</v>
      </c>
      <c r="B550" t="s">
        <v>102</v>
      </c>
      <c r="C550">
        <v>67</v>
      </c>
      <c r="D550" t="s">
        <v>33</v>
      </c>
      <c r="E550" t="s">
        <v>36</v>
      </c>
      <c r="F550" t="s">
        <v>37</v>
      </c>
      <c r="G550">
        <v>31088</v>
      </c>
      <c r="H550">
        <v>0</v>
      </c>
      <c r="I550">
        <v>0</v>
      </c>
      <c r="J550">
        <v>1</v>
      </c>
      <c r="K550">
        <v>0</v>
      </c>
      <c r="L550" t="s">
        <v>35</v>
      </c>
      <c r="M550" t="s">
        <v>35</v>
      </c>
      <c r="N550" t="s">
        <v>35</v>
      </c>
      <c r="O550" t="s">
        <v>35</v>
      </c>
      <c r="P550" t="s">
        <v>35</v>
      </c>
      <c r="Q550" t="s">
        <v>35</v>
      </c>
      <c r="R550" t="s">
        <v>35</v>
      </c>
      <c r="S550" t="s">
        <v>35</v>
      </c>
      <c r="T550" t="s">
        <v>35</v>
      </c>
      <c r="U550" t="s">
        <v>35</v>
      </c>
      <c r="V550" t="s">
        <v>35</v>
      </c>
      <c r="W550" t="s">
        <v>35</v>
      </c>
      <c r="X550" t="s">
        <v>35</v>
      </c>
      <c r="Y550" t="s">
        <v>35</v>
      </c>
      <c r="Z550" t="s">
        <v>35</v>
      </c>
      <c r="AA550" t="s">
        <v>35</v>
      </c>
      <c r="AB550" t="s">
        <v>35</v>
      </c>
      <c r="AC550" t="s">
        <v>35</v>
      </c>
      <c r="AD550" t="s">
        <v>35</v>
      </c>
      <c r="AE550" t="s">
        <v>35</v>
      </c>
    </row>
    <row r="551" spans="1:31" x14ac:dyDescent="0.2">
      <c r="A551" t="s">
        <v>226</v>
      </c>
      <c r="B551" t="s">
        <v>102</v>
      </c>
      <c r="C551">
        <v>67</v>
      </c>
      <c r="D551" t="s">
        <v>33</v>
      </c>
      <c r="E551" t="s">
        <v>39</v>
      </c>
      <c r="F551" t="s">
        <v>47</v>
      </c>
      <c r="G551">
        <v>69247</v>
      </c>
      <c r="H551">
        <v>0</v>
      </c>
      <c r="I551">
        <v>1</v>
      </c>
      <c r="J551">
        <v>1</v>
      </c>
      <c r="K551">
        <v>0</v>
      </c>
      <c r="L551" t="s">
        <v>80</v>
      </c>
      <c r="M551" t="s">
        <v>48</v>
      </c>
      <c r="N551" t="s">
        <v>49</v>
      </c>
      <c r="O551" t="s">
        <v>67</v>
      </c>
      <c r="P551" t="s">
        <v>46</v>
      </c>
      <c r="Q551" t="s">
        <v>44</v>
      </c>
      <c r="R551">
        <v>0</v>
      </c>
      <c r="S551">
        <v>1</v>
      </c>
      <c r="T551">
        <v>1</v>
      </c>
      <c r="U551">
        <v>1</v>
      </c>
      <c r="V551">
        <v>0</v>
      </c>
      <c r="W551">
        <v>0</v>
      </c>
      <c r="X551">
        <v>1</v>
      </c>
      <c r="Y551">
        <v>0</v>
      </c>
      <c r="Z551">
        <v>1</v>
      </c>
      <c r="AA551">
        <v>1</v>
      </c>
      <c r="AB551">
        <v>0</v>
      </c>
      <c r="AC551">
        <v>0</v>
      </c>
      <c r="AD551">
        <v>0</v>
      </c>
      <c r="AE551">
        <v>0</v>
      </c>
    </row>
    <row r="552" spans="1:31" x14ac:dyDescent="0.2">
      <c r="A552" t="s">
        <v>226</v>
      </c>
      <c r="B552" t="s">
        <v>102</v>
      </c>
      <c r="C552">
        <v>67</v>
      </c>
      <c r="D552" t="s">
        <v>33</v>
      </c>
      <c r="E552" t="s">
        <v>52</v>
      </c>
      <c r="F552" t="s">
        <v>69</v>
      </c>
      <c r="G552">
        <v>26375</v>
      </c>
      <c r="H552">
        <v>0</v>
      </c>
      <c r="I552">
        <v>0</v>
      </c>
      <c r="J552">
        <v>1</v>
      </c>
      <c r="K552">
        <v>0</v>
      </c>
      <c r="L552" t="s">
        <v>35</v>
      </c>
      <c r="M552" t="s">
        <v>35</v>
      </c>
      <c r="N552" t="s">
        <v>35</v>
      </c>
      <c r="O552" t="s">
        <v>35</v>
      </c>
      <c r="P552" t="s">
        <v>35</v>
      </c>
      <c r="Q552" t="s">
        <v>35</v>
      </c>
      <c r="R552" t="s">
        <v>35</v>
      </c>
      <c r="S552">
        <v>1</v>
      </c>
      <c r="T552">
        <v>1</v>
      </c>
      <c r="U552">
        <v>1</v>
      </c>
      <c r="V552">
        <v>0</v>
      </c>
      <c r="W552">
        <v>0</v>
      </c>
      <c r="X552">
        <v>1</v>
      </c>
      <c r="Y552">
        <v>0</v>
      </c>
      <c r="Z552">
        <v>1</v>
      </c>
      <c r="AA552">
        <v>1</v>
      </c>
      <c r="AB552">
        <v>0</v>
      </c>
      <c r="AC552">
        <v>0</v>
      </c>
      <c r="AD552">
        <v>0</v>
      </c>
      <c r="AE552">
        <v>0</v>
      </c>
    </row>
    <row r="553" spans="1:31" x14ac:dyDescent="0.2">
      <c r="A553" t="s">
        <v>226</v>
      </c>
      <c r="B553" t="s">
        <v>102</v>
      </c>
      <c r="C553">
        <v>67</v>
      </c>
      <c r="D553" t="s">
        <v>33</v>
      </c>
      <c r="E553" t="s">
        <v>39</v>
      </c>
      <c r="F553" t="s">
        <v>59</v>
      </c>
      <c r="G553">
        <v>27034</v>
      </c>
      <c r="H553">
        <v>0</v>
      </c>
      <c r="I553">
        <v>1</v>
      </c>
      <c r="J553">
        <v>0</v>
      </c>
      <c r="K553">
        <v>0</v>
      </c>
      <c r="L553" t="s">
        <v>62</v>
      </c>
      <c r="M553" t="s">
        <v>99</v>
      </c>
      <c r="N553" t="s">
        <v>61</v>
      </c>
      <c r="O553" t="s">
        <v>45</v>
      </c>
      <c r="P553" t="s">
        <v>67</v>
      </c>
      <c r="Q553" t="s">
        <v>46</v>
      </c>
      <c r="R553">
        <v>0</v>
      </c>
      <c r="S553">
        <v>0</v>
      </c>
      <c r="T553">
        <v>1</v>
      </c>
      <c r="U553">
        <v>1</v>
      </c>
      <c r="V553">
        <v>1</v>
      </c>
      <c r="W553">
        <v>0</v>
      </c>
      <c r="X553">
        <v>1</v>
      </c>
      <c r="Y553">
        <v>0</v>
      </c>
      <c r="Z553">
        <v>0</v>
      </c>
      <c r="AA553">
        <v>0</v>
      </c>
      <c r="AB553">
        <v>1</v>
      </c>
      <c r="AC553">
        <v>0</v>
      </c>
      <c r="AD553">
        <v>0</v>
      </c>
      <c r="AE553">
        <v>0</v>
      </c>
    </row>
    <row r="554" spans="1:31" x14ac:dyDescent="0.2">
      <c r="A554" t="s">
        <v>226</v>
      </c>
      <c r="B554" t="s">
        <v>102</v>
      </c>
      <c r="C554">
        <v>67</v>
      </c>
      <c r="D554" t="s">
        <v>33</v>
      </c>
      <c r="E554" t="s">
        <v>39</v>
      </c>
      <c r="F554" t="s">
        <v>70</v>
      </c>
      <c r="G554">
        <v>35766</v>
      </c>
      <c r="H554">
        <v>1</v>
      </c>
      <c r="I554">
        <v>1</v>
      </c>
      <c r="J554">
        <v>1</v>
      </c>
      <c r="K554">
        <v>0</v>
      </c>
      <c r="L554" t="s">
        <v>92</v>
      </c>
      <c r="M554" t="s">
        <v>73</v>
      </c>
      <c r="N554" t="s">
        <v>72</v>
      </c>
      <c r="O554" t="s">
        <v>51</v>
      </c>
      <c r="P554" t="s">
        <v>44</v>
      </c>
      <c r="Q554" t="s">
        <v>67</v>
      </c>
      <c r="R554">
        <v>0</v>
      </c>
      <c r="S554">
        <v>1</v>
      </c>
      <c r="T554">
        <v>0</v>
      </c>
      <c r="U554">
        <v>1</v>
      </c>
      <c r="V554">
        <v>0</v>
      </c>
      <c r="W554">
        <v>0</v>
      </c>
      <c r="X554">
        <v>1</v>
      </c>
      <c r="Y554">
        <v>0</v>
      </c>
      <c r="Z554">
        <v>1</v>
      </c>
      <c r="AA554">
        <v>0</v>
      </c>
      <c r="AB554">
        <v>1</v>
      </c>
      <c r="AC554">
        <v>0</v>
      </c>
      <c r="AD554">
        <v>0</v>
      </c>
      <c r="AE554">
        <v>0</v>
      </c>
    </row>
    <row r="555" spans="1:31" x14ac:dyDescent="0.2">
      <c r="A555" t="s">
        <v>226</v>
      </c>
      <c r="B555" t="s">
        <v>102</v>
      </c>
      <c r="C555">
        <v>67</v>
      </c>
      <c r="D555" t="s">
        <v>33</v>
      </c>
      <c r="E555" t="s">
        <v>52</v>
      </c>
      <c r="F555" t="s">
        <v>74</v>
      </c>
      <c r="G555">
        <v>18848</v>
      </c>
      <c r="H555">
        <v>1</v>
      </c>
      <c r="I555">
        <v>1</v>
      </c>
      <c r="J555">
        <v>0</v>
      </c>
      <c r="K555">
        <v>0</v>
      </c>
      <c r="L555" t="s">
        <v>35</v>
      </c>
      <c r="M555" t="s">
        <v>35</v>
      </c>
      <c r="N555" t="s">
        <v>35</v>
      </c>
      <c r="O555" t="s">
        <v>35</v>
      </c>
      <c r="P555" t="s">
        <v>35</v>
      </c>
      <c r="Q555" t="s">
        <v>35</v>
      </c>
      <c r="R555" t="s">
        <v>35</v>
      </c>
      <c r="S555">
        <v>1</v>
      </c>
      <c r="T555">
        <v>0</v>
      </c>
      <c r="U555">
        <v>1</v>
      </c>
      <c r="V555">
        <v>0</v>
      </c>
      <c r="W555">
        <v>0</v>
      </c>
      <c r="X555">
        <v>1</v>
      </c>
      <c r="Y555">
        <v>0</v>
      </c>
      <c r="Z555">
        <v>1</v>
      </c>
      <c r="AA555">
        <v>0</v>
      </c>
      <c r="AB555">
        <v>1</v>
      </c>
      <c r="AC555">
        <v>0</v>
      </c>
      <c r="AD555">
        <v>0</v>
      </c>
      <c r="AE555">
        <v>0</v>
      </c>
    </row>
    <row r="556" spans="1:31" x14ac:dyDescent="0.2">
      <c r="A556" t="s">
        <v>226</v>
      </c>
      <c r="B556" t="s">
        <v>102</v>
      </c>
      <c r="C556">
        <v>67</v>
      </c>
      <c r="D556" t="s">
        <v>33</v>
      </c>
      <c r="E556" t="s">
        <v>39</v>
      </c>
      <c r="F556" t="s">
        <v>54</v>
      </c>
      <c r="G556">
        <v>25903</v>
      </c>
      <c r="H556">
        <v>1</v>
      </c>
      <c r="I556">
        <v>1</v>
      </c>
      <c r="J556">
        <v>0</v>
      </c>
      <c r="K556">
        <v>0</v>
      </c>
      <c r="L556" t="s">
        <v>57</v>
      </c>
      <c r="M556" t="s">
        <v>55</v>
      </c>
      <c r="N556" t="s">
        <v>89</v>
      </c>
      <c r="O556" t="s">
        <v>46</v>
      </c>
      <c r="P556" t="s">
        <v>44</v>
      </c>
      <c r="Q556" t="s">
        <v>67</v>
      </c>
      <c r="R556">
        <v>0</v>
      </c>
      <c r="S556">
        <v>1</v>
      </c>
      <c r="T556">
        <v>1</v>
      </c>
      <c r="U556">
        <v>1</v>
      </c>
      <c r="V556">
        <v>0</v>
      </c>
      <c r="W556">
        <v>0</v>
      </c>
      <c r="X556">
        <v>1</v>
      </c>
      <c r="Y556">
        <v>0</v>
      </c>
      <c r="Z556">
        <v>1</v>
      </c>
      <c r="AA556">
        <v>1</v>
      </c>
      <c r="AB556">
        <v>0</v>
      </c>
      <c r="AC556">
        <v>0</v>
      </c>
      <c r="AD556">
        <v>0</v>
      </c>
      <c r="AE556">
        <v>0</v>
      </c>
    </row>
    <row r="557" spans="1:31" x14ac:dyDescent="0.2">
      <c r="A557" t="s">
        <v>226</v>
      </c>
      <c r="B557" t="s">
        <v>102</v>
      </c>
      <c r="C557">
        <v>67</v>
      </c>
      <c r="D557" t="s">
        <v>33</v>
      </c>
      <c r="E557" t="s">
        <v>52</v>
      </c>
      <c r="F557" t="s">
        <v>58</v>
      </c>
      <c r="G557">
        <v>39317</v>
      </c>
      <c r="H557">
        <v>1</v>
      </c>
      <c r="I557">
        <v>1</v>
      </c>
      <c r="J557">
        <v>0</v>
      </c>
      <c r="K557">
        <v>0</v>
      </c>
      <c r="L557" t="s">
        <v>35</v>
      </c>
      <c r="M557" t="s">
        <v>35</v>
      </c>
      <c r="N557" t="s">
        <v>35</v>
      </c>
      <c r="O557" t="s">
        <v>35</v>
      </c>
      <c r="P557" t="s">
        <v>35</v>
      </c>
      <c r="Q557" t="s">
        <v>35</v>
      </c>
      <c r="R557" t="s">
        <v>35</v>
      </c>
      <c r="S557">
        <v>1</v>
      </c>
      <c r="T557">
        <v>1</v>
      </c>
      <c r="U557">
        <v>1</v>
      </c>
      <c r="V557">
        <v>0</v>
      </c>
      <c r="W557">
        <v>0</v>
      </c>
      <c r="X557">
        <v>1</v>
      </c>
      <c r="Y557">
        <v>0</v>
      </c>
      <c r="Z557">
        <v>1</v>
      </c>
      <c r="AA557">
        <v>1</v>
      </c>
      <c r="AB557">
        <v>0</v>
      </c>
      <c r="AC557">
        <v>0</v>
      </c>
      <c r="AD557">
        <v>0</v>
      </c>
      <c r="AE557">
        <v>0</v>
      </c>
    </row>
    <row r="558" spans="1:31" x14ac:dyDescent="0.2">
      <c r="A558" t="s">
        <v>226</v>
      </c>
      <c r="B558" t="s">
        <v>102</v>
      </c>
      <c r="C558">
        <v>67</v>
      </c>
      <c r="D558" t="s">
        <v>33</v>
      </c>
      <c r="E558" t="s">
        <v>39</v>
      </c>
      <c r="F558" t="s">
        <v>63</v>
      </c>
      <c r="G558">
        <v>31056</v>
      </c>
      <c r="H558">
        <v>1</v>
      </c>
      <c r="I558">
        <v>1</v>
      </c>
      <c r="J558">
        <v>1</v>
      </c>
      <c r="K558">
        <v>0</v>
      </c>
      <c r="L558" t="s">
        <v>84</v>
      </c>
      <c r="M558" t="s">
        <v>90</v>
      </c>
      <c r="N558" t="s">
        <v>66</v>
      </c>
      <c r="O558" t="s">
        <v>46</v>
      </c>
      <c r="P558" t="s">
        <v>44</v>
      </c>
      <c r="Q558" t="s">
        <v>45</v>
      </c>
      <c r="R558">
        <v>0</v>
      </c>
      <c r="S558">
        <v>1</v>
      </c>
      <c r="T558">
        <v>1</v>
      </c>
      <c r="U558">
        <v>0</v>
      </c>
      <c r="V558">
        <v>1</v>
      </c>
      <c r="W558">
        <v>0</v>
      </c>
      <c r="X558">
        <v>1</v>
      </c>
      <c r="Y558">
        <v>0</v>
      </c>
      <c r="Z558">
        <v>1</v>
      </c>
      <c r="AA558">
        <v>1</v>
      </c>
      <c r="AB558">
        <v>0</v>
      </c>
      <c r="AC558">
        <v>1</v>
      </c>
      <c r="AD558">
        <v>0</v>
      </c>
      <c r="AE558">
        <v>0</v>
      </c>
    </row>
    <row r="559" spans="1:31" x14ac:dyDescent="0.2">
      <c r="A559" t="s">
        <v>226</v>
      </c>
      <c r="B559" t="s">
        <v>102</v>
      </c>
      <c r="C559">
        <v>67</v>
      </c>
      <c r="D559" t="s">
        <v>33</v>
      </c>
      <c r="E559" t="s">
        <v>39</v>
      </c>
      <c r="F559" t="s">
        <v>40</v>
      </c>
      <c r="G559">
        <v>34015</v>
      </c>
      <c r="H559">
        <v>1</v>
      </c>
      <c r="I559">
        <v>1</v>
      </c>
      <c r="J559">
        <v>1</v>
      </c>
      <c r="K559">
        <v>0</v>
      </c>
      <c r="L559" t="s">
        <v>82</v>
      </c>
      <c r="M559" t="s">
        <v>41</v>
      </c>
      <c r="N559" t="s">
        <v>81</v>
      </c>
      <c r="O559" t="s">
        <v>68</v>
      </c>
      <c r="P559" t="s">
        <v>44</v>
      </c>
      <c r="Q559" t="s">
        <v>67</v>
      </c>
      <c r="R559">
        <v>1</v>
      </c>
      <c r="S559">
        <v>1</v>
      </c>
      <c r="T559">
        <v>0</v>
      </c>
      <c r="U559">
        <v>1</v>
      </c>
      <c r="V559">
        <v>0</v>
      </c>
      <c r="W559">
        <v>0</v>
      </c>
      <c r="X559">
        <v>1</v>
      </c>
      <c r="Y559">
        <v>1</v>
      </c>
      <c r="Z559">
        <v>1</v>
      </c>
      <c r="AA559">
        <v>0</v>
      </c>
      <c r="AB559">
        <v>1</v>
      </c>
      <c r="AC559">
        <v>0</v>
      </c>
      <c r="AD559">
        <v>0</v>
      </c>
      <c r="AE559">
        <v>0</v>
      </c>
    </row>
    <row r="560" spans="1:31" x14ac:dyDescent="0.2">
      <c r="A560" t="s">
        <v>226</v>
      </c>
      <c r="B560" t="s">
        <v>102</v>
      </c>
      <c r="C560">
        <v>67</v>
      </c>
      <c r="D560" t="s">
        <v>33</v>
      </c>
      <c r="E560" t="s">
        <v>52</v>
      </c>
      <c r="F560" t="s">
        <v>53</v>
      </c>
      <c r="G560">
        <v>28496</v>
      </c>
      <c r="H560">
        <v>1</v>
      </c>
      <c r="I560">
        <v>1</v>
      </c>
      <c r="J560">
        <v>0</v>
      </c>
      <c r="K560">
        <v>0</v>
      </c>
      <c r="L560" t="s">
        <v>35</v>
      </c>
      <c r="M560" t="s">
        <v>35</v>
      </c>
      <c r="N560" t="s">
        <v>35</v>
      </c>
      <c r="O560" t="s">
        <v>35</v>
      </c>
      <c r="P560" t="s">
        <v>35</v>
      </c>
      <c r="Q560" t="s">
        <v>35</v>
      </c>
      <c r="R560" t="s">
        <v>35</v>
      </c>
      <c r="S560">
        <v>1</v>
      </c>
      <c r="T560">
        <v>0</v>
      </c>
      <c r="U560">
        <v>1</v>
      </c>
      <c r="V560">
        <v>0</v>
      </c>
      <c r="W560">
        <v>0</v>
      </c>
      <c r="X560">
        <v>1</v>
      </c>
      <c r="Y560">
        <v>1</v>
      </c>
      <c r="Z560">
        <v>1</v>
      </c>
      <c r="AA560">
        <v>0</v>
      </c>
      <c r="AB560">
        <v>1</v>
      </c>
      <c r="AC560">
        <v>0</v>
      </c>
      <c r="AD560">
        <v>0</v>
      </c>
      <c r="AE560">
        <v>0</v>
      </c>
    </row>
    <row r="561" spans="1:31" x14ac:dyDescent="0.2">
      <c r="A561" t="s">
        <v>226</v>
      </c>
      <c r="B561" t="s">
        <v>102</v>
      </c>
      <c r="C561">
        <v>67</v>
      </c>
      <c r="D561" t="s">
        <v>33</v>
      </c>
      <c r="E561" t="s">
        <v>75</v>
      </c>
      <c r="F561" t="s">
        <v>35</v>
      </c>
      <c r="G561">
        <v>301156</v>
      </c>
      <c r="H561" t="s">
        <v>227</v>
      </c>
      <c r="I561" t="s">
        <v>228</v>
      </c>
      <c r="J561" t="s">
        <v>229</v>
      </c>
      <c r="K561" t="s">
        <v>35</v>
      </c>
      <c r="L561" t="s">
        <v>35</v>
      </c>
      <c r="M561" t="s">
        <v>35</v>
      </c>
      <c r="N561" t="s">
        <v>35</v>
      </c>
      <c r="O561" t="s">
        <v>35</v>
      </c>
      <c r="P561" t="s">
        <v>35</v>
      </c>
      <c r="Q561" t="s">
        <v>35</v>
      </c>
      <c r="R561" t="s">
        <v>35</v>
      </c>
      <c r="S561" t="s">
        <v>35</v>
      </c>
      <c r="T561" t="s">
        <v>35</v>
      </c>
      <c r="U561" t="s">
        <v>35</v>
      </c>
      <c r="V561" t="s">
        <v>35</v>
      </c>
      <c r="W561" t="s">
        <v>35</v>
      </c>
      <c r="X561" t="s">
        <v>35</v>
      </c>
      <c r="Y561" t="s">
        <v>35</v>
      </c>
      <c r="Z561" t="s">
        <v>35</v>
      </c>
      <c r="AA561" t="s">
        <v>35</v>
      </c>
      <c r="AB561" t="s">
        <v>35</v>
      </c>
      <c r="AC561" t="s">
        <v>35</v>
      </c>
      <c r="AD561" t="s">
        <v>35</v>
      </c>
      <c r="AE561" t="s">
        <v>35</v>
      </c>
    </row>
    <row r="562" spans="1:31" x14ac:dyDescent="0.2">
      <c r="A562" t="s">
        <v>230</v>
      </c>
      <c r="B562" t="s">
        <v>32</v>
      </c>
      <c r="C562">
        <v>30</v>
      </c>
      <c r="D562" t="s">
        <v>78</v>
      </c>
      <c r="E562" t="s">
        <v>34</v>
      </c>
      <c r="F562" t="s">
        <v>35</v>
      </c>
      <c r="G562">
        <v>96179</v>
      </c>
      <c r="H562" t="s">
        <v>35</v>
      </c>
      <c r="I562" t="s">
        <v>35</v>
      </c>
      <c r="J562" t="s">
        <v>35</v>
      </c>
      <c r="K562" t="s">
        <v>35</v>
      </c>
      <c r="L562" t="s">
        <v>35</v>
      </c>
      <c r="M562" t="s">
        <v>35</v>
      </c>
      <c r="N562" t="s">
        <v>35</v>
      </c>
      <c r="O562" t="s">
        <v>35</v>
      </c>
      <c r="P562" t="s">
        <v>35</v>
      </c>
      <c r="Q562" t="s">
        <v>35</v>
      </c>
      <c r="R562" t="s">
        <v>35</v>
      </c>
      <c r="S562" t="s">
        <v>35</v>
      </c>
      <c r="T562" t="s">
        <v>35</v>
      </c>
      <c r="U562" t="s">
        <v>35</v>
      </c>
      <c r="V562" t="s">
        <v>35</v>
      </c>
      <c r="W562" t="s">
        <v>35</v>
      </c>
      <c r="X562" t="s">
        <v>35</v>
      </c>
      <c r="Y562" t="s">
        <v>35</v>
      </c>
      <c r="Z562" t="s">
        <v>35</v>
      </c>
      <c r="AA562" t="s">
        <v>35</v>
      </c>
      <c r="AB562" t="s">
        <v>35</v>
      </c>
      <c r="AC562" t="s">
        <v>35</v>
      </c>
      <c r="AD562" t="s">
        <v>35</v>
      </c>
      <c r="AE562" t="s">
        <v>35</v>
      </c>
    </row>
    <row r="563" spans="1:31" x14ac:dyDescent="0.2">
      <c r="A563" t="s">
        <v>230</v>
      </c>
      <c r="B563" t="s">
        <v>32</v>
      </c>
      <c r="C563">
        <v>30</v>
      </c>
      <c r="D563" t="s">
        <v>78</v>
      </c>
      <c r="E563" t="s">
        <v>36</v>
      </c>
      <c r="F563" t="s">
        <v>38</v>
      </c>
      <c r="G563">
        <v>18711</v>
      </c>
      <c r="H563">
        <v>1</v>
      </c>
      <c r="I563">
        <v>0</v>
      </c>
      <c r="J563">
        <v>1</v>
      </c>
      <c r="K563">
        <v>0</v>
      </c>
      <c r="L563" t="s">
        <v>35</v>
      </c>
      <c r="M563" t="s">
        <v>35</v>
      </c>
      <c r="N563" t="s">
        <v>35</v>
      </c>
      <c r="O563" t="s">
        <v>35</v>
      </c>
      <c r="P563" t="s">
        <v>35</v>
      </c>
      <c r="Q563" t="s">
        <v>35</v>
      </c>
      <c r="R563" t="s">
        <v>35</v>
      </c>
      <c r="S563" t="s">
        <v>35</v>
      </c>
      <c r="T563" t="s">
        <v>35</v>
      </c>
      <c r="U563" t="s">
        <v>35</v>
      </c>
      <c r="V563" t="s">
        <v>35</v>
      </c>
      <c r="W563" t="s">
        <v>35</v>
      </c>
      <c r="X563" t="s">
        <v>35</v>
      </c>
      <c r="Y563" t="s">
        <v>35</v>
      </c>
      <c r="Z563" t="s">
        <v>35</v>
      </c>
      <c r="AA563" t="s">
        <v>35</v>
      </c>
      <c r="AB563" t="s">
        <v>35</v>
      </c>
      <c r="AC563" t="s">
        <v>35</v>
      </c>
      <c r="AD563" t="s">
        <v>35</v>
      </c>
      <c r="AE563" t="s">
        <v>35</v>
      </c>
    </row>
    <row r="564" spans="1:31" x14ac:dyDescent="0.2">
      <c r="A564" t="s">
        <v>230</v>
      </c>
      <c r="B564" t="s">
        <v>32</v>
      </c>
      <c r="C564">
        <v>30</v>
      </c>
      <c r="D564" t="s">
        <v>78</v>
      </c>
      <c r="E564" t="s">
        <v>36</v>
      </c>
      <c r="F564" t="s">
        <v>37</v>
      </c>
      <c r="G564">
        <v>157969</v>
      </c>
      <c r="H564">
        <v>0</v>
      </c>
      <c r="I564">
        <v>1</v>
      </c>
      <c r="J564">
        <v>1</v>
      </c>
      <c r="K564">
        <v>0</v>
      </c>
      <c r="L564" t="s">
        <v>35</v>
      </c>
      <c r="M564" t="s">
        <v>35</v>
      </c>
      <c r="N564" t="s">
        <v>35</v>
      </c>
      <c r="O564" t="s">
        <v>35</v>
      </c>
      <c r="P564" t="s">
        <v>35</v>
      </c>
      <c r="Q564" t="s">
        <v>35</v>
      </c>
      <c r="R564" t="s">
        <v>35</v>
      </c>
      <c r="S564" t="s">
        <v>35</v>
      </c>
      <c r="T564" t="s">
        <v>35</v>
      </c>
      <c r="U564" t="s">
        <v>35</v>
      </c>
      <c r="V564" t="s">
        <v>35</v>
      </c>
      <c r="W564" t="s">
        <v>35</v>
      </c>
      <c r="X564" t="s">
        <v>35</v>
      </c>
      <c r="Y564" t="s">
        <v>35</v>
      </c>
      <c r="Z564" t="s">
        <v>35</v>
      </c>
      <c r="AA564" t="s">
        <v>35</v>
      </c>
      <c r="AB564" t="s">
        <v>35</v>
      </c>
      <c r="AC564" t="s">
        <v>35</v>
      </c>
      <c r="AD564" t="s">
        <v>35</v>
      </c>
      <c r="AE564" t="s">
        <v>35</v>
      </c>
    </row>
    <row r="565" spans="1:31" x14ac:dyDescent="0.2">
      <c r="A565" t="s">
        <v>230</v>
      </c>
      <c r="B565" t="s">
        <v>32</v>
      </c>
      <c r="C565">
        <v>30</v>
      </c>
      <c r="D565" t="s">
        <v>78</v>
      </c>
      <c r="E565" t="s">
        <v>39</v>
      </c>
      <c r="F565" t="s">
        <v>54</v>
      </c>
      <c r="G565">
        <v>47236</v>
      </c>
      <c r="H565">
        <v>0</v>
      </c>
      <c r="I565">
        <v>1</v>
      </c>
      <c r="J565">
        <v>0</v>
      </c>
      <c r="K565">
        <v>0</v>
      </c>
      <c r="L565" t="s">
        <v>56</v>
      </c>
      <c r="M565" t="s">
        <v>89</v>
      </c>
      <c r="N565" t="s">
        <v>55</v>
      </c>
      <c r="O565" t="s">
        <v>45</v>
      </c>
      <c r="P565" t="s">
        <v>67</v>
      </c>
      <c r="Q565" t="s">
        <v>44</v>
      </c>
      <c r="R565">
        <v>0</v>
      </c>
      <c r="S565">
        <v>1</v>
      </c>
      <c r="T565">
        <v>0</v>
      </c>
      <c r="U565">
        <v>1</v>
      </c>
      <c r="V565">
        <v>1</v>
      </c>
      <c r="W565">
        <v>0</v>
      </c>
      <c r="X565">
        <v>1</v>
      </c>
      <c r="Y565">
        <v>0</v>
      </c>
      <c r="Z565">
        <v>0</v>
      </c>
      <c r="AA565">
        <v>0</v>
      </c>
      <c r="AB565">
        <v>1</v>
      </c>
      <c r="AC565">
        <v>0</v>
      </c>
      <c r="AD565">
        <v>0</v>
      </c>
      <c r="AE565">
        <v>0</v>
      </c>
    </row>
    <row r="566" spans="1:31" x14ac:dyDescent="0.2">
      <c r="A566" t="s">
        <v>230</v>
      </c>
      <c r="B566" t="s">
        <v>32</v>
      </c>
      <c r="C566">
        <v>30</v>
      </c>
      <c r="D566" t="s">
        <v>78</v>
      </c>
      <c r="E566" t="s">
        <v>39</v>
      </c>
      <c r="F566" t="s">
        <v>40</v>
      </c>
      <c r="G566">
        <v>16545</v>
      </c>
      <c r="H566">
        <v>0</v>
      </c>
      <c r="I566">
        <v>1</v>
      </c>
      <c r="J566">
        <v>0</v>
      </c>
      <c r="K566">
        <v>0</v>
      </c>
      <c r="L566" t="s">
        <v>42</v>
      </c>
      <c r="M566" t="s">
        <v>81</v>
      </c>
      <c r="N566" t="s">
        <v>82</v>
      </c>
      <c r="O566" t="s">
        <v>45</v>
      </c>
      <c r="P566" t="s">
        <v>67</v>
      </c>
      <c r="Q566" t="s">
        <v>68</v>
      </c>
      <c r="R566">
        <v>1</v>
      </c>
      <c r="S566">
        <v>0</v>
      </c>
      <c r="T566">
        <v>0</v>
      </c>
      <c r="U566">
        <v>1</v>
      </c>
      <c r="V566">
        <v>1</v>
      </c>
      <c r="W566">
        <v>0</v>
      </c>
      <c r="X566">
        <v>1</v>
      </c>
      <c r="Y566">
        <v>0</v>
      </c>
      <c r="Z566">
        <v>0</v>
      </c>
      <c r="AA566">
        <v>0</v>
      </c>
      <c r="AB566">
        <v>1</v>
      </c>
      <c r="AC566">
        <v>0</v>
      </c>
      <c r="AD566">
        <v>0</v>
      </c>
      <c r="AE566">
        <v>0</v>
      </c>
    </row>
    <row r="567" spans="1:31" x14ac:dyDescent="0.2">
      <c r="A567" t="s">
        <v>230</v>
      </c>
      <c r="B567" t="s">
        <v>32</v>
      </c>
      <c r="C567">
        <v>30</v>
      </c>
      <c r="D567" t="s">
        <v>78</v>
      </c>
      <c r="E567" t="s">
        <v>52</v>
      </c>
      <c r="F567" t="s">
        <v>53</v>
      </c>
      <c r="G567">
        <v>5534</v>
      </c>
      <c r="H567">
        <v>0</v>
      </c>
      <c r="I567">
        <v>0</v>
      </c>
      <c r="J567">
        <v>1</v>
      </c>
      <c r="K567">
        <v>0</v>
      </c>
      <c r="L567" t="s">
        <v>35</v>
      </c>
      <c r="M567" t="s">
        <v>35</v>
      </c>
      <c r="N567" t="s">
        <v>35</v>
      </c>
      <c r="O567" t="s">
        <v>35</v>
      </c>
      <c r="P567" t="s">
        <v>35</v>
      </c>
      <c r="Q567" t="s">
        <v>35</v>
      </c>
      <c r="R567" t="s">
        <v>35</v>
      </c>
      <c r="S567">
        <v>0</v>
      </c>
      <c r="T567">
        <v>0</v>
      </c>
      <c r="U567">
        <v>1</v>
      </c>
      <c r="V567">
        <v>1</v>
      </c>
      <c r="W567">
        <v>0</v>
      </c>
      <c r="X567">
        <v>1</v>
      </c>
      <c r="Y567">
        <v>0</v>
      </c>
      <c r="Z567">
        <v>0</v>
      </c>
      <c r="AA567">
        <v>0</v>
      </c>
      <c r="AB567">
        <v>1</v>
      </c>
      <c r="AC567">
        <v>0</v>
      </c>
      <c r="AD567">
        <v>0</v>
      </c>
      <c r="AE567">
        <v>0</v>
      </c>
    </row>
    <row r="568" spans="1:31" x14ac:dyDescent="0.2">
      <c r="A568" t="s">
        <v>230</v>
      </c>
      <c r="B568" t="s">
        <v>32</v>
      </c>
      <c r="C568">
        <v>30</v>
      </c>
      <c r="D568" t="s">
        <v>78</v>
      </c>
      <c r="E568" t="s">
        <v>39</v>
      </c>
      <c r="F568" t="s">
        <v>59</v>
      </c>
      <c r="G568">
        <v>13047</v>
      </c>
      <c r="H568">
        <v>0</v>
      </c>
      <c r="I568">
        <v>1</v>
      </c>
      <c r="J568">
        <v>0</v>
      </c>
      <c r="K568">
        <v>0</v>
      </c>
      <c r="L568" t="s">
        <v>62</v>
      </c>
      <c r="M568" t="s">
        <v>61</v>
      </c>
      <c r="N568" t="s">
        <v>60</v>
      </c>
      <c r="O568" t="s">
        <v>45</v>
      </c>
      <c r="P568" t="s">
        <v>46</v>
      </c>
      <c r="Q568" t="s">
        <v>44</v>
      </c>
      <c r="R568">
        <v>0</v>
      </c>
      <c r="S568">
        <v>1</v>
      </c>
      <c r="T568">
        <v>1</v>
      </c>
      <c r="U568">
        <v>0</v>
      </c>
      <c r="V568">
        <v>1</v>
      </c>
      <c r="W568">
        <v>0</v>
      </c>
      <c r="X568">
        <v>1</v>
      </c>
      <c r="Y568">
        <v>0</v>
      </c>
      <c r="Z568">
        <v>0</v>
      </c>
      <c r="AA568">
        <v>1</v>
      </c>
      <c r="AB568">
        <v>0</v>
      </c>
      <c r="AC568">
        <v>0</v>
      </c>
      <c r="AD568">
        <v>0</v>
      </c>
      <c r="AE568">
        <v>0</v>
      </c>
    </row>
    <row r="569" spans="1:31" x14ac:dyDescent="0.2">
      <c r="A569" t="s">
        <v>230</v>
      </c>
      <c r="B569" t="s">
        <v>32</v>
      </c>
      <c r="C569">
        <v>30</v>
      </c>
      <c r="D569" t="s">
        <v>78</v>
      </c>
      <c r="E569" t="s">
        <v>52</v>
      </c>
      <c r="F569" t="s">
        <v>74</v>
      </c>
      <c r="G569">
        <v>3843</v>
      </c>
      <c r="H569">
        <v>0</v>
      </c>
      <c r="I569">
        <v>1</v>
      </c>
      <c r="J569">
        <v>0</v>
      </c>
      <c r="K569">
        <v>0</v>
      </c>
      <c r="L569" t="s">
        <v>35</v>
      </c>
      <c r="M569" t="s">
        <v>35</v>
      </c>
      <c r="N569" t="s">
        <v>35</v>
      </c>
      <c r="O569" t="s">
        <v>35</v>
      </c>
      <c r="P569" t="s">
        <v>35</v>
      </c>
      <c r="Q569" t="s">
        <v>35</v>
      </c>
      <c r="R569" t="s">
        <v>35</v>
      </c>
      <c r="S569">
        <v>1</v>
      </c>
      <c r="T569">
        <v>1</v>
      </c>
      <c r="U569">
        <v>0</v>
      </c>
      <c r="V569">
        <v>1</v>
      </c>
      <c r="W569">
        <v>0</v>
      </c>
      <c r="X569">
        <v>1</v>
      </c>
      <c r="Y569">
        <v>0</v>
      </c>
      <c r="Z569">
        <v>0</v>
      </c>
      <c r="AA569">
        <v>1</v>
      </c>
      <c r="AB569">
        <v>0</v>
      </c>
      <c r="AC569">
        <v>0</v>
      </c>
      <c r="AD569">
        <v>0</v>
      </c>
      <c r="AE569">
        <v>0</v>
      </c>
    </row>
    <row r="570" spans="1:31" x14ac:dyDescent="0.2">
      <c r="A570" t="s">
        <v>230</v>
      </c>
      <c r="B570" t="s">
        <v>32</v>
      </c>
      <c r="C570">
        <v>30</v>
      </c>
      <c r="D570" t="s">
        <v>78</v>
      </c>
      <c r="E570" t="s">
        <v>39</v>
      </c>
      <c r="F570" t="s">
        <v>47</v>
      </c>
      <c r="G570">
        <v>4461</v>
      </c>
      <c r="H570">
        <v>0</v>
      </c>
      <c r="I570">
        <v>1</v>
      </c>
      <c r="J570">
        <v>0</v>
      </c>
      <c r="K570">
        <v>0</v>
      </c>
      <c r="L570" t="s">
        <v>50</v>
      </c>
      <c r="M570" t="s">
        <v>79</v>
      </c>
      <c r="N570" t="s">
        <v>95</v>
      </c>
      <c r="O570" t="s">
        <v>51</v>
      </c>
      <c r="P570" t="s">
        <v>45</v>
      </c>
      <c r="Q570" t="s">
        <v>68</v>
      </c>
      <c r="R570">
        <v>1</v>
      </c>
      <c r="S570">
        <v>0</v>
      </c>
      <c r="T570">
        <v>0</v>
      </c>
      <c r="U570">
        <v>0</v>
      </c>
      <c r="V570">
        <v>1</v>
      </c>
      <c r="W570">
        <v>0</v>
      </c>
      <c r="X570">
        <v>1</v>
      </c>
      <c r="Y570">
        <v>0</v>
      </c>
      <c r="Z570">
        <v>0</v>
      </c>
      <c r="AA570">
        <v>0</v>
      </c>
      <c r="AB570">
        <v>0</v>
      </c>
      <c r="AC570">
        <v>1</v>
      </c>
      <c r="AD570">
        <v>0</v>
      </c>
      <c r="AE570">
        <v>0</v>
      </c>
    </row>
    <row r="571" spans="1:31" x14ac:dyDescent="0.2">
      <c r="A571" t="s">
        <v>230</v>
      </c>
      <c r="B571" t="s">
        <v>32</v>
      </c>
      <c r="C571">
        <v>30</v>
      </c>
      <c r="D571" t="s">
        <v>78</v>
      </c>
      <c r="E571" t="s">
        <v>39</v>
      </c>
      <c r="F571" t="s">
        <v>70</v>
      </c>
      <c r="G571">
        <v>8213</v>
      </c>
      <c r="H571">
        <v>0</v>
      </c>
      <c r="I571">
        <v>0</v>
      </c>
      <c r="J571">
        <v>1</v>
      </c>
      <c r="K571">
        <v>0</v>
      </c>
      <c r="L571" t="s">
        <v>93</v>
      </c>
      <c r="M571" t="s">
        <v>73</v>
      </c>
      <c r="N571" t="s">
        <v>71</v>
      </c>
      <c r="O571" t="s">
        <v>68</v>
      </c>
      <c r="P571" t="s">
        <v>44</v>
      </c>
      <c r="Q571" t="s">
        <v>45</v>
      </c>
      <c r="R571">
        <v>1</v>
      </c>
      <c r="S571">
        <v>1</v>
      </c>
      <c r="T571">
        <v>0</v>
      </c>
      <c r="U571">
        <v>0</v>
      </c>
      <c r="V571">
        <v>1</v>
      </c>
      <c r="W571">
        <v>0</v>
      </c>
      <c r="X571">
        <v>1</v>
      </c>
      <c r="Y571">
        <v>0</v>
      </c>
      <c r="Z571">
        <v>0</v>
      </c>
      <c r="AA571">
        <v>0</v>
      </c>
      <c r="AB571">
        <v>0</v>
      </c>
      <c r="AC571">
        <v>1</v>
      </c>
      <c r="AD571">
        <v>0</v>
      </c>
      <c r="AE571">
        <v>0</v>
      </c>
    </row>
    <row r="572" spans="1:31" x14ac:dyDescent="0.2">
      <c r="A572" t="s">
        <v>230</v>
      </c>
      <c r="B572" t="s">
        <v>32</v>
      </c>
      <c r="C572">
        <v>30</v>
      </c>
      <c r="D572" t="s">
        <v>78</v>
      </c>
      <c r="E572" t="s">
        <v>52</v>
      </c>
      <c r="F572" t="s">
        <v>69</v>
      </c>
      <c r="G572">
        <v>4222</v>
      </c>
      <c r="H572">
        <v>0</v>
      </c>
      <c r="I572">
        <v>0</v>
      </c>
      <c r="J572">
        <v>1</v>
      </c>
      <c r="K572">
        <v>0</v>
      </c>
      <c r="L572" t="s">
        <v>35</v>
      </c>
      <c r="M572" t="s">
        <v>35</v>
      </c>
      <c r="N572" t="s">
        <v>35</v>
      </c>
      <c r="O572" t="s">
        <v>35</v>
      </c>
      <c r="P572" t="s">
        <v>35</v>
      </c>
      <c r="Q572" t="s">
        <v>35</v>
      </c>
      <c r="R572" t="s">
        <v>35</v>
      </c>
      <c r="S572">
        <v>1</v>
      </c>
      <c r="T572">
        <v>0</v>
      </c>
      <c r="U572">
        <v>0</v>
      </c>
      <c r="V572">
        <v>1</v>
      </c>
      <c r="W572">
        <v>0</v>
      </c>
      <c r="X572">
        <v>1</v>
      </c>
      <c r="Y572">
        <v>0</v>
      </c>
      <c r="Z572">
        <v>0</v>
      </c>
      <c r="AA572">
        <v>0</v>
      </c>
      <c r="AB572">
        <v>0</v>
      </c>
      <c r="AC572">
        <v>1</v>
      </c>
      <c r="AD572">
        <v>0</v>
      </c>
      <c r="AE572">
        <v>0</v>
      </c>
    </row>
    <row r="573" spans="1:31" x14ac:dyDescent="0.2">
      <c r="A573" t="s">
        <v>230</v>
      </c>
      <c r="B573" t="s">
        <v>32</v>
      </c>
      <c r="C573">
        <v>30</v>
      </c>
      <c r="D573" t="s">
        <v>78</v>
      </c>
      <c r="E573" t="s">
        <v>39</v>
      </c>
      <c r="F573" t="s">
        <v>63</v>
      </c>
      <c r="G573">
        <v>6699</v>
      </c>
      <c r="H573">
        <v>0</v>
      </c>
      <c r="I573">
        <v>0</v>
      </c>
      <c r="J573">
        <v>1</v>
      </c>
      <c r="K573">
        <v>0</v>
      </c>
      <c r="L573" t="s">
        <v>64</v>
      </c>
      <c r="M573" t="s">
        <v>66</v>
      </c>
      <c r="N573" t="s">
        <v>85</v>
      </c>
      <c r="O573" t="s">
        <v>67</v>
      </c>
      <c r="P573" t="s">
        <v>45</v>
      </c>
      <c r="Q573" t="s">
        <v>51</v>
      </c>
      <c r="R573">
        <v>0</v>
      </c>
      <c r="S573">
        <v>0</v>
      </c>
      <c r="T573">
        <v>0</v>
      </c>
      <c r="U573">
        <v>1</v>
      </c>
      <c r="V573">
        <v>1</v>
      </c>
      <c r="W573">
        <v>0</v>
      </c>
      <c r="X573">
        <v>1</v>
      </c>
      <c r="Y573">
        <v>0</v>
      </c>
      <c r="Z573">
        <v>0</v>
      </c>
      <c r="AA573">
        <v>0</v>
      </c>
      <c r="AB573">
        <v>0</v>
      </c>
      <c r="AC573">
        <v>0</v>
      </c>
      <c r="AD573">
        <v>0</v>
      </c>
      <c r="AE573">
        <v>0</v>
      </c>
    </row>
    <row r="574" spans="1:31" x14ac:dyDescent="0.2">
      <c r="A574" t="s">
        <v>230</v>
      </c>
      <c r="B574" t="s">
        <v>32</v>
      </c>
      <c r="C574">
        <v>30</v>
      </c>
      <c r="D574" t="s">
        <v>78</v>
      </c>
      <c r="E574" t="s">
        <v>52</v>
      </c>
      <c r="F574" t="s">
        <v>58</v>
      </c>
      <c r="G574">
        <v>10224</v>
      </c>
      <c r="H574">
        <v>0</v>
      </c>
      <c r="I574">
        <v>1</v>
      </c>
      <c r="J574">
        <v>0</v>
      </c>
      <c r="K574">
        <v>0</v>
      </c>
      <c r="L574" t="s">
        <v>35</v>
      </c>
      <c r="M574" t="s">
        <v>35</v>
      </c>
      <c r="N574" t="s">
        <v>35</v>
      </c>
      <c r="O574" t="s">
        <v>35</v>
      </c>
      <c r="P574" t="s">
        <v>35</v>
      </c>
      <c r="Q574" t="s">
        <v>35</v>
      </c>
      <c r="R574" t="s">
        <v>35</v>
      </c>
      <c r="S574">
        <v>0</v>
      </c>
      <c r="T574">
        <v>0</v>
      </c>
      <c r="U574">
        <v>1</v>
      </c>
      <c r="V574">
        <v>1</v>
      </c>
      <c r="W574">
        <v>0</v>
      </c>
      <c r="X574">
        <v>1</v>
      </c>
      <c r="Y574">
        <v>0</v>
      </c>
      <c r="Z574">
        <v>0</v>
      </c>
      <c r="AA574">
        <v>0</v>
      </c>
      <c r="AB574">
        <v>0</v>
      </c>
      <c r="AC574">
        <v>0</v>
      </c>
      <c r="AD574">
        <v>0</v>
      </c>
      <c r="AE574">
        <v>0</v>
      </c>
    </row>
    <row r="575" spans="1:31" x14ac:dyDescent="0.2">
      <c r="A575" t="s">
        <v>230</v>
      </c>
      <c r="B575" t="s">
        <v>32</v>
      </c>
      <c r="C575">
        <v>30</v>
      </c>
      <c r="D575" t="s">
        <v>78</v>
      </c>
      <c r="E575" t="s">
        <v>75</v>
      </c>
      <c r="F575" t="s">
        <v>35</v>
      </c>
      <c r="G575">
        <v>279010</v>
      </c>
      <c r="H575" t="s">
        <v>231</v>
      </c>
      <c r="I575" t="s">
        <v>100</v>
      </c>
      <c r="J575" t="s">
        <v>232</v>
      </c>
      <c r="K575" t="s">
        <v>35</v>
      </c>
      <c r="L575" t="s">
        <v>35</v>
      </c>
      <c r="M575" t="s">
        <v>35</v>
      </c>
      <c r="N575" t="s">
        <v>35</v>
      </c>
      <c r="O575" t="s">
        <v>35</v>
      </c>
      <c r="P575" t="s">
        <v>35</v>
      </c>
      <c r="Q575" t="s">
        <v>35</v>
      </c>
      <c r="R575" t="s">
        <v>35</v>
      </c>
      <c r="S575" t="s">
        <v>35</v>
      </c>
      <c r="T575" t="s">
        <v>35</v>
      </c>
      <c r="U575" t="s">
        <v>35</v>
      </c>
      <c r="V575" t="s">
        <v>35</v>
      </c>
      <c r="W575" t="s">
        <v>35</v>
      </c>
      <c r="X575" t="s">
        <v>35</v>
      </c>
      <c r="Y575" t="s">
        <v>35</v>
      </c>
      <c r="Z575" t="s">
        <v>35</v>
      </c>
      <c r="AA575" t="s">
        <v>35</v>
      </c>
      <c r="AB575" t="s">
        <v>35</v>
      </c>
      <c r="AC575" t="s">
        <v>35</v>
      </c>
      <c r="AD575" t="s">
        <v>35</v>
      </c>
      <c r="AE575" t="s">
        <v>35</v>
      </c>
    </row>
    <row r="576" spans="1:31" x14ac:dyDescent="0.2">
      <c r="A576" t="s">
        <v>233</v>
      </c>
      <c r="B576" t="s">
        <v>32</v>
      </c>
      <c r="C576">
        <v>35</v>
      </c>
      <c r="D576" t="s">
        <v>33</v>
      </c>
      <c r="E576" t="s">
        <v>34</v>
      </c>
      <c r="F576" t="s">
        <v>35</v>
      </c>
      <c r="G576">
        <v>41695</v>
      </c>
      <c r="H576" t="s">
        <v>35</v>
      </c>
      <c r="I576" t="s">
        <v>35</v>
      </c>
      <c r="J576" t="s">
        <v>35</v>
      </c>
      <c r="K576" t="s">
        <v>35</v>
      </c>
      <c r="L576" t="s">
        <v>35</v>
      </c>
      <c r="M576" t="s">
        <v>35</v>
      </c>
      <c r="N576" t="s">
        <v>35</v>
      </c>
      <c r="O576" t="s">
        <v>35</v>
      </c>
      <c r="P576" t="s">
        <v>35</v>
      </c>
      <c r="Q576" t="s">
        <v>35</v>
      </c>
      <c r="R576" t="s">
        <v>35</v>
      </c>
      <c r="S576" t="s">
        <v>35</v>
      </c>
      <c r="T576" t="s">
        <v>35</v>
      </c>
      <c r="U576" t="s">
        <v>35</v>
      </c>
      <c r="V576" t="s">
        <v>35</v>
      </c>
      <c r="W576" t="s">
        <v>35</v>
      </c>
      <c r="X576" t="s">
        <v>35</v>
      </c>
      <c r="Y576" t="s">
        <v>35</v>
      </c>
      <c r="Z576" t="s">
        <v>35</v>
      </c>
      <c r="AA576" t="s">
        <v>35</v>
      </c>
      <c r="AB576" t="s">
        <v>35</v>
      </c>
      <c r="AC576" t="s">
        <v>35</v>
      </c>
      <c r="AD576" t="s">
        <v>35</v>
      </c>
      <c r="AE576" t="s">
        <v>35</v>
      </c>
    </row>
    <row r="577" spans="1:31" x14ac:dyDescent="0.2">
      <c r="A577" t="s">
        <v>233</v>
      </c>
      <c r="B577" t="s">
        <v>32</v>
      </c>
      <c r="C577">
        <v>35</v>
      </c>
      <c r="D577" t="s">
        <v>33</v>
      </c>
      <c r="E577" t="s">
        <v>36</v>
      </c>
      <c r="F577" t="s">
        <v>38</v>
      </c>
      <c r="G577">
        <v>67488</v>
      </c>
      <c r="H577">
        <v>1</v>
      </c>
      <c r="I577">
        <v>1</v>
      </c>
      <c r="J577">
        <v>0</v>
      </c>
      <c r="K577">
        <v>0</v>
      </c>
      <c r="L577" t="s">
        <v>35</v>
      </c>
      <c r="M577" t="s">
        <v>35</v>
      </c>
      <c r="N577" t="s">
        <v>35</v>
      </c>
      <c r="O577" t="s">
        <v>35</v>
      </c>
      <c r="P577" t="s">
        <v>35</v>
      </c>
      <c r="Q577" t="s">
        <v>35</v>
      </c>
      <c r="R577" t="s">
        <v>35</v>
      </c>
      <c r="S577" t="s">
        <v>35</v>
      </c>
      <c r="T577" t="s">
        <v>35</v>
      </c>
      <c r="U577" t="s">
        <v>35</v>
      </c>
      <c r="V577" t="s">
        <v>35</v>
      </c>
      <c r="W577" t="s">
        <v>35</v>
      </c>
      <c r="X577" t="s">
        <v>35</v>
      </c>
      <c r="Y577" t="s">
        <v>35</v>
      </c>
      <c r="Z577" t="s">
        <v>35</v>
      </c>
      <c r="AA577" t="s">
        <v>35</v>
      </c>
      <c r="AB577" t="s">
        <v>35</v>
      </c>
      <c r="AC577" t="s">
        <v>35</v>
      </c>
      <c r="AD577" t="s">
        <v>35</v>
      </c>
      <c r="AE577" t="s">
        <v>35</v>
      </c>
    </row>
    <row r="578" spans="1:31" x14ac:dyDescent="0.2">
      <c r="A578" t="s">
        <v>233</v>
      </c>
      <c r="B578" t="s">
        <v>32</v>
      </c>
      <c r="C578">
        <v>35</v>
      </c>
      <c r="D578" t="s">
        <v>33</v>
      </c>
      <c r="E578" t="s">
        <v>36</v>
      </c>
      <c r="F578" t="s">
        <v>37</v>
      </c>
      <c r="G578">
        <v>21589</v>
      </c>
      <c r="H578">
        <v>1</v>
      </c>
      <c r="I578">
        <v>1</v>
      </c>
      <c r="J578">
        <v>1</v>
      </c>
      <c r="K578">
        <v>0</v>
      </c>
      <c r="L578" t="s">
        <v>35</v>
      </c>
      <c r="M578" t="s">
        <v>35</v>
      </c>
      <c r="N578" t="s">
        <v>35</v>
      </c>
      <c r="O578" t="s">
        <v>35</v>
      </c>
      <c r="P578" t="s">
        <v>35</v>
      </c>
      <c r="Q578" t="s">
        <v>35</v>
      </c>
      <c r="R578" t="s">
        <v>35</v>
      </c>
      <c r="S578" t="s">
        <v>35</v>
      </c>
      <c r="T578" t="s">
        <v>35</v>
      </c>
      <c r="U578" t="s">
        <v>35</v>
      </c>
      <c r="V578" t="s">
        <v>35</v>
      </c>
      <c r="W578" t="s">
        <v>35</v>
      </c>
      <c r="X578" t="s">
        <v>35</v>
      </c>
      <c r="Y578" t="s">
        <v>35</v>
      </c>
      <c r="Z578" t="s">
        <v>35</v>
      </c>
      <c r="AA578" t="s">
        <v>35</v>
      </c>
      <c r="AB578" t="s">
        <v>35</v>
      </c>
      <c r="AC578" t="s">
        <v>35</v>
      </c>
      <c r="AD578" t="s">
        <v>35</v>
      </c>
      <c r="AE578" t="s">
        <v>35</v>
      </c>
    </row>
    <row r="579" spans="1:31" x14ac:dyDescent="0.2">
      <c r="A579" t="s">
        <v>233</v>
      </c>
      <c r="B579" t="s">
        <v>32</v>
      </c>
      <c r="C579">
        <v>35</v>
      </c>
      <c r="D579" t="s">
        <v>33</v>
      </c>
      <c r="E579" t="s">
        <v>39</v>
      </c>
      <c r="F579" t="s">
        <v>40</v>
      </c>
      <c r="G579">
        <v>106597</v>
      </c>
      <c r="H579">
        <v>1</v>
      </c>
      <c r="I579">
        <v>1</v>
      </c>
      <c r="J579">
        <v>0</v>
      </c>
      <c r="K579">
        <v>0</v>
      </c>
      <c r="L579" t="s">
        <v>42</v>
      </c>
      <c r="M579" t="s">
        <v>81</v>
      </c>
      <c r="N579" t="s">
        <v>43</v>
      </c>
      <c r="O579" t="s">
        <v>45</v>
      </c>
      <c r="P579" t="s">
        <v>67</v>
      </c>
      <c r="Q579" t="s">
        <v>46</v>
      </c>
      <c r="R579">
        <v>0</v>
      </c>
      <c r="S579">
        <v>0</v>
      </c>
      <c r="T579">
        <v>1</v>
      </c>
      <c r="U579">
        <v>1</v>
      </c>
      <c r="V579">
        <v>1</v>
      </c>
      <c r="W579">
        <v>0</v>
      </c>
      <c r="X579">
        <v>1</v>
      </c>
      <c r="Y579">
        <v>0</v>
      </c>
      <c r="Z579">
        <v>0</v>
      </c>
      <c r="AA579">
        <v>0</v>
      </c>
      <c r="AB579">
        <v>1</v>
      </c>
      <c r="AC579">
        <v>1</v>
      </c>
      <c r="AD579">
        <v>0</v>
      </c>
      <c r="AE579">
        <v>0</v>
      </c>
    </row>
    <row r="580" spans="1:31" x14ac:dyDescent="0.2">
      <c r="A580" t="s">
        <v>233</v>
      </c>
      <c r="B580" t="s">
        <v>32</v>
      </c>
      <c r="C580">
        <v>35</v>
      </c>
      <c r="D580" t="s">
        <v>33</v>
      </c>
      <c r="E580" t="s">
        <v>52</v>
      </c>
      <c r="F580" t="s">
        <v>69</v>
      </c>
      <c r="G580">
        <v>41849</v>
      </c>
      <c r="H580">
        <v>1</v>
      </c>
      <c r="I580">
        <v>1</v>
      </c>
      <c r="J580">
        <v>0</v>
      </c>
      <c r="K580">
        <v>0</v>
      </c>
      <c r="L580" t="s">
        <v>35</v>
      </c>
      <c r="M580" t="s">
        <v>35</v>
      </c>
      <c r="N580" t="s">
        <v>35</v>
      </c>
      <c r="O580" t="s">
        <v>35</v>
      </c>
      <c r="P580" t="s">
        <v>35</v>
      </c>
      <c r="Q580" t="s">
        <v>35</v>
      </c>
      <c r="R580" t="s">
        <v>35</v>
      </c>
      <c r="S580">
        <v>0</v>
      </c>
      <c r="T580">
        <v>1</v>
      </c>
      <c r="U580">
        <v>1</v>
      </c>
      <c r="V580">
        <v>1</v>
      </c>
      <c r="W580">
        <v>0</v>
      </c>
      <c r="X580">
        <v>1</v>
      </c>
      <c r="Y580">
        <v>0</v>
      </c>
      <c r="Z580">
        <v>0</v>
      </c>
      <c r="AA580">
        <v>0</v>
      </c>
      <c r="AB580">
        <v>1</v>
      </c>
      <c r="AC580">
        <v>1</v>
      </c>
      <c r="AD580">
        <v>0</v>
      </c>
      <c r="AE580">
        <v>0</v>
      </c>
    </row>
    <row r="581" spans="1:31" x14ac:dyDescent="0.2">
      <c r="A581" t="s">
        <v>233</v>
      </c>
      <c r="B581" t="s">
        <v>32</v>
      </c>
      <c r="C581">
        <v>35</v>
      </c>
      <c r="D581" t="s">
        <v>33</v>
      </c>
      <c r="E581" t="s">
        <v>39</v>
      </c>
      <c r="F581" t="s">
        <v>59</v>
      </c>
      <c r="G581">
        <v>21429</v>
      </c>
      <c r="H581">
        <v>0</v>
      </c>
      <c r="I581">
        <v>1</v>
      </c>
      <c r="J581">
        <v>0</v>
      </c>
      <c r="K581">
        <v>0</v>
      </c>
      <c r="L581" t="s">
        <v>61</v>
      </c>
      <c r="M581" t="s">
        <v>62</v>
      </c>
      <c r="N581" t="s">
        <v>83</v>
      </c>
      <c r="O581" t="s">
        <v>46</v>
      </c>
      <c r="P581" t="s">
        <v>45</v>
      </c>
      <c r="Q581" t="s">
        <v>51</v>
      </c>
      <c r="R581">
        <v>0</v>
      </c>
      <c r="S581">
        <v>0</v>
      </c>
      <c r="T581">
        <v>1</v>
      </c>
      <c r="U581">
        <v>0</v>
      </c>
      <c r="V581">
        <v>1</v>
      </c>
      <c r="W581">
        <v>0</v>
      </c>
      <c r="X581">
        <v>1</v>
      </c>
      <c r="Y581">
        <v>0</v>
      </c>
      <c r="Z581">
        <v>0</v>
      </c>
      <c r="AA581">
        <v>0</v>
      </c>
      <c r="AB581">
        <v>0</v>
      </c>
      <c r="AC581">
        <v>1</v>
      </c>
      <c r="AD581">
        <v>0</v>
      </c>
      <c r="AE581">
        <v>0</v>
      </c>
    </row>
    <row r="582" spans="1:31" x14ac:dyDescent="0.2">
      <c r="A582" t="s">
        <v>233</v>
      </c>
      <c r="B582" t="s">
        <v>32</v>
      </c>
      <c r="C582">
        <v>35</v>
      </c>
      <c r="D582" t="s">
        <v>33</v>
      </c>
      <c r="E582" t="s">
        <v>39</v>
      </c>
      <c r="F582" t="s">
        <v>70</v>
      </c>
      <c r="G582">
        <v>8682</v>
      </c>
      <c r="H582">
        <v>0</v>
      </c>
      <c r="I582">
        <v>1</v>
      </c>
      <c r="J582">
        <v>0</v>
      </c>
      <c r="K582">
        <v>0</v>
      </c>
      <c r="L582" t="s">
        <v>72</v>
      </c>
      <c r="M582" t="s">
        <v>92</v>
      </c>
      <c r="N582" t="s">
        <v>73</v>
      </c>
      <c r="O582" t="s">
        <v>67</v>
      </c>
      <c r="P582" t="s">
        <v>51</v>
      </c>
      <c r="Q582" t="s">
        <v>44</v>
      </c>
      <c r="R582">
        <v>0</v>
      </c>
      <c r="S582">
        <v>1</v>
      </c>
      <c r="T582">
        <v>0</v>
      </c>
      <c r="U582">
        <v>1</v>
      </c>
      <c r="V582">
        <v>0</v>
      </c>
      <c r="W582">
        <v>0</v>
      </c>
      <c r="X582">
        <v>1</v>
      </c>
      <c r="Y582">
        <v>0</v>
      </c>
      <c r="Z582">
        <v>0</v>
      </c>
      <c r="AA582">
        <v>0</v>
      </c>
      <c r="AB582">
        <v>0</v>
      </c>
      <c r="AC582">
        <v>0</v>
      </c>
      <c r="AD582">
        <v>0</v>
      </c>
      <c r="AE582">
        <v>0</v>
      </c>
    </row>
    <row r="583" spans="1:31" x14ac:dyDescent="0.2">
      <c r="A583" t="s">
        <v>233</v>
      </c>
      <c r="B583" t="s">
        <v>32</v>
      </c>
      <c r="C583">
        <v>35</v>
      </c>
      <c r="D583" t="s">
        <v>33</v>
      </c>
      <c r="E583" t="s">
        <v>52</v>
      </c>
      <c r="F583" t="s">
        <v>74</v>
      </c>
      <c r="G583">
        <v>11255</v>
      </c>
      <c r="H583">
        <v>0</v>
      </c>
      <c r="I583">
        <v>1</v>
      </c>
      <c r="J583">
        <v>0</v>
      </c>
      <c r="K583">
        <v>0</v>
      </c>
      <c r="L583" t="s">
        <v>35</v>
      </c>
      <c r="M583" t="s">
        <v>35</v>
      </c>
      <c r="N583" t="s">
        <v>35</v>
      </c>
      <c r="O583" t="s">
        <v>35</v>
      </c>
      <c r="P583" t="s">
        <v>35</v>
      </c>
      <c r="Q583" t="s">
        <v>35</v>
      </c>
      <c r="R583" t="s">
        <v>35</v>
      </c>
      <c r="S583">
        <v>1</v>
      </c>
      <c r="T583">
        <v>0</v>
      </c>
      <c r="U583">
        <v>1</v>
      </c>
      <c r="V583">
        <v>0</v>
      </c>
      <c r="W583">
        <v>0</v>
      </c>
      <c r="X583">
        <v>1</v>
      </c>
      <c r="Y583">
        <v>0</v>
      </c>
      <c r="Z583">
        <v>0</v>
      </c>
      <c r="AA583">
        <v>0</v>
      </c>
      <c r="AB583">
        <v>0</v>
      </c>
      <c r="AC583">
        <v>0</v>
      </c>
      <c r="AD583">
        <v>0</v>
      </c>
      <c r="AE583">
        <v>0</v>
      </c>
    </row>
    <row r="584" spans="1:31" x14ac:dyDescent="0.2">
      <c r="A584" t="s">
        <v>233</v>
      </c>
      <c r="B584" t="s">
        <v>32</v>
      </c>
      <c r="C584">
        <v>35</v>
      </c>
      <c r="D584" t="s">
        <v>33</v>
      </c>
      <c r="E584" t="s">
        <v>39</v>
      </c>
      <c r="F584" t="s">
        <v>63</v>
      </c>
      <c r="G584">
        <v>17957</v>
      </c>
      <c r="H584">
        <v>1</v>
      </c>
      <c r="I584">
        <v>1</v>
      </c>
      <c r="J584">
        <v>0</v>
      </c>
      <c r="K584">
        <v>0</v>
      </c>
      <c r="L584" t="s">
        <v>85</v>
      </c>
      <c r="M584" t="s">
        <v>84</v>
      </c>
      <c r="N584" t="s">
        <v>66</v>
      </c>
      <c r="O584" t="s">
        <v>51</v>
      </c>
      <c r="P584" t="s">
        <v>46</v>
      </c>
      <c r="Q584" t="s">
        <v>45</v>
      </c>
      <c r="R584">
        <v>0</v>
      </c>
      <c r="S584">
        <v>0</v>
      </c>
      <c r="T584">
        <v>1</v>
      </c>
      <c r="U584">
        <v>0</v>
      </c>
      <c r="V584">
        <v>1</v>
      </c>
      <c r="W584">
        <v>0</v>
      </c>
      <c r="X584">
        <v>1</v>
      </c>
      <c r="Y584">
        <v>0</v>
      </c>
      <c r="Z584">
        <v>0</v>
      </c>
      <c r="AA584">
        <v>1</v>
      </c>
      <c r="AB584">
        <v>0</v>
      </c>
      <c r="AC584">
        <v>0</v>
      </c>
      <c r="AD584">
        <v>0</v>
      </c>
      <c r="AE584">
        <v>0</v>
      </c>
    </row>
    <row r="585" spans="1:31" x14ac:dyDescent="0.2">
      <c r="A585" t="s">
        <v>233</v>
      </c>
      <c r="B585" t="s">
        <v>32</v>
      </c>
      <c r="C585">
        <v>35</v>
      </c>
      <c r="D585" t="s">
        <v>33</v>
      </c>
      <c r="E585" t="s">
        <v>52</v>
      </c>
      <c r="F585" t="s">
        <v>58</v>
      </c>
      <c r="G585">
        <v>14512</v>
      </c>
      <c r="H585">
        <v>1</v>
      </c>
      <c r="I585">
        <v>1</v>
      </c>
      <c r="J585">
        <v>0</v>
      </c>
      <c r="K585">
        <v>0</v>
      </c>
      <c r="L585" t="s">
        <v>35</v>
      </c>
      <c r="M585" t="s">
        <v>35</v>
      </c>
      <c r="N585" t="s">
        <v>35</v>
      </c>
      <c r="O585" t="s">
        <v>35</v>
      </c>
      <c r="P585" t="s">
        <v>35</v>
      </c>
      <c r="Q585" t="s">
        <v>35</v>
      </c>
      <c r="R585" t="s">
        <v>35</v>
      </c>
      <c r="S585">
        <v>0</v>
      </c>
      <c r="T585">
        <v>1</v>
      </c>
      <c r="U585">
        <v>0</v>
      </c>
      <c r="V585">
        <v>1</v>
      </c>
      <c r="W585">
        <v>0</v>
      </c>
      <c r="X585">
        <v>1</v>
      </c>
      <c r="Y585">
        <v>0</v>
      </c>
      <c r="Z585">
        <v>0</v>
      </c>
      <c r="AA585">
        <v>1</v>
      </c>
      <c r="AB585">
        <v>0</v>
      </c>
      <c r="AC585">
        <v>0</v>
      </c>
      <c r="AD585">
        <v>0</v>
      </c>
      <c r="AE585">
        <v>0</v>
      </c>
    </row>
    <row r="586" spans="1:31" x14ac:dyDescent="0.2">
      <c r="A586" t="s">
        <v>233</v>
      </c>
      <c r="B586" t="s">
        <v>32</v>
      </c>
      <c r="C586">
        <v>35</v>
      </c>
      <c r="D586" t="s">
        <v>33</v>
      </c>
      <c r="E586" t="s">
        <v>39</v>
      </c>
      <c r="F586" t="s">
        <v>54</v>
      </c>
      <c r="G586">
        <v>18280</v>
      </c>
      <c r="H586">
        <v>0</v>
      </c>
      <c r="I586">
        <v>1</v>
      </c>
      <c r="J586">
        <v>0</v>
      </c>
      <c r="K586">
        <v>0</v>
      </c>
      <c r="L586" t="s">
        <v>56</v>
      </c>
      <c r="M586" t="s">
        <v>122</v>
      </c>
      <c r="N586" t="s">
        <v>57</v>
      </c>
      <c r="O586" t="s">
        <v>45</v>
      </c>
      <c r="P586" t="s">
        <v>68</v>
      </c>
      <c r="Q586" t="s">
        <v>46</v>
      </c>
      <c r="R586">
        <v>1</v>
      </c>
      <c r="S586">
        <v>0</v>
      </c>
      <c r="T586">
        <v>1</v>
      </c>
      <c r="U586">
        <v>0</v>
      </c>
      <c r="V586">
        <v>1</v>
      </c>
      <c r="W586">
        <v>0</v>
      </c>
      <c r="X586">
        <v>1</v>
      </c>
      <c r="Y586">
        <v>1</v>
      </c>
      <c r="Z586">
        <v>0</v>
      </c>
      <c r="AA586">
        <v>0</v>
      </c>
      <c r="AB586">
        <v>0</v>
      </c>
      <c r="AC586">
        <v>0</v>
      </c>
      <c r="AD586">
        <v>0</v>
      </c>
      <c r="AE586">
        <v>0</v>
      </c>
    </row>
    <row r="587" spans="1:31" x14ac:dyDescent="0.2">
      <c r="A587" t="s">
        <v>233</v>
      </c>
      <c r="B587" t="s">
        <v>32</v>
      </c>
      <c r="C587">
        <v>35</v>
      </c>
      <c r="D587" t="s">
        <v>33</v>
      </c>
      <c r="E587" t="s">
        <v>39</v>
      </c>
      <c r="F587" t="s">
        <v>47</v>
      </c>
      <c r="G587">
        <v>6206</v>
      </c>
      <c r="H587">
        <v>0</v>
      </c>
      <c r="I587">
        <v>0</v>
      </c>
      <c r="J587">
        <v>1</v>
      </c>
      <c r="K587">
        <v>0</v>
      </c>
      <c r="L587" t="s">
        <v>49</v>
      </c>
      <c r="M587" t="s">
        <v>48</v>
      </c>
      <c r="N587" t="s">
        <v>79</v>
      </c>
      <c r="O587" t="s">
        <v>44</v>
      </c>
      <c r="P587" t="s">
        <v>46</v>
      </c>
      <c r="Q587" t="s">
        <v>45</v>
      </c>
      <c r="R587">
        <v>0</v>
      </c>
      <c r="S587">
        <v>1</v>
      </c>
      <c r="T587">
        <v>1</v>
      </c>
      <c r="U587">
        <v>0</v>
      </c>
      <c r="V587">
        <v>1</v>
      </c>
      <c r="W587">
        <v>0</v>
      </c>
      <c r="X587">
        <v>1</v>
      </c>
      <c r="Y587">
        <v>0</v>
      </c>
      <c r="Z587">
        <v>0</v>
      </c>
      <c r="AA587">
        <v>0</v>
      </c>
      <c r="AB587">
        <v>0</v>
      </c>
      <c r="AC587">
        <v>1</v>
      </c>
      <c r="AD587">
        <v>0</v>
      </c>
      <c r="AE587">
        <v>0</v>
      </c>
    </row>
    <row r="588" spans="1:31" x14ac:dyDescent="0.2">
      <c r="A588" t="s">
        <v>233</v>
      </c>
      <c r="B588" t="s">
        <v>32</v>
      </c>
      <c r="C588">
        <v>35</v>
      </c>
      <c r="D588" t="s">
        <v>33</v>
      </c>
      <c r="E588" t="s">
        <v>52</v>
      </c>
      <c r="F588" t="s">
        <v>53</v>
      </c>
      <c r="G588">
        <v>9423</v>
      </c>
      <c r="H588">
        <v>0</v>
      </c>
      <c r="I588">
        <v>1</v>
      </c>
      <c r="J588">
        <v>0</v>
      </c>
      <c r="K588">
        <v>0</v>
      </c>
      <c r="L588" t="s">
        <v>35</v>
      </c>
      <c r="M588" t="s">
        <v>35</v>
      </c>
      <c r="N588" t="s">
        <v>35</v>
      </c>
      <c r="O588" t="s">
        <v>35</v>
      </c>
      <c r="P588" t="s">
        <v>35</v>
      </c>
      <c r="Q588" t="s">
        <v>35</v>
      </c>
      <c r="R588" t="s">
        <v>35</v>
      </c>
      <c r="S588">
        <v>1</v>
      </c>
      <c r="T588">
        <v>1</v>
      </c>
      <c r="U588">
        <v>0</v>
      </c>
      <c r="V588">
        <v>1</v>
      </c>
      <c r="W588">
        <v>0</v>
      </c>
      <c r="X588">
        <v>1</v>
      </c>
      <c r="Y588">
        <v>0</v>
      </c>
      <c r="Z588">
        <v>0</v>
      </c>
      <c r="AA588">
        <v>0</v>
      </c>
      <c r="AB588">
        <v>0</v>
      </c>
      <c r="AC588">
        <v>1</v>
      </c>
      <c r="AD588">
        <v>0</v>
      </c>
      <c r="AE588">
        <v>0</v>
      </c>
    </row>
    <row r="589" spans="1:31" x14ac:dyDescent="0.2">
      <c r="A589" t="s">
        <v>233</v>
      </c>
      <c r="B589" t="s">
        <v>32</v>
      </c>
      <c r="C589">
        <v>35</v>
      </c>
      <c r="D589" t="s">
        <v>33</v>
      </c>
      <c r="E589" t="s">
        <v>75</v>
      </c>
      <c r="F589" t="s">
        <v>35</v>
      </c>
      <c r="G589">
        <v>502341</v>
      </c>
      <c r="H589" t="s">
        <v>234</v>
      </c>
      <c r="I589" t="s">
        <v>235</v>
      </c>
      <c r="J589" t="s">
        <v>236</v>
      </c>
      <c r="K589" t="s">
        <v>35</v>
      </c>
      <c r="L589" t="s">
        <v>35</v>
      </c>
      <c r="M589" t="s">
        <v>35</v>
      </c>
      <c r="N589" t="s">
        <v>35</v>
      </c>
      <c r="O589" t="s">
        <v>35</v>
      </c>
      <c r="P589" t="s">
        <v>35</v>
      </c>
      <c r="Q589" t="s">
        <v>35</v>
      </c>
      <c r="R589" t="s">
        <v>35</v>
      </c>
      <c r="S589" t="s">
        <v>35</v>
      </c>
      <c r="T589" t="s">
        <v>35</v>
      </c>
      <c r="U589" t="s">
        <v>35</v>
      </c>
      <c r="V589" t="s">
        <v>35</v>
      </c>
      <c r="W589" t="s">
        <v>35</v>
      </c>
      <c r="X589" t="s">
        <v>35</v>
      </c>
      <c r="Y589" t="s">
        <v>35</v>
      </c>
      <c r="Z589" t="s">
        <v>35</v>
      </c>
      <c r="AA589" t="s">
        <v>35</v>
      </c>
      <c r="AB589" t="s">
        <v>35</v>
      </c>
      <c r="AC589" t="s">
        <v>35</v>
      </c>
      <c r="AD589" t="s">
        <v>35</v>
      </c>
      <c r="AE589" t="s">
        <v>35</v>
      </c>
    </row>
    <row r="590" spans="1:31" x14ac:dyDescent="0.2">
      <c r="A590" t="s">
        <v>237</v>
      </c>
      <c r="B590" t="s">
        <v>207</v>
      </c>
      <c r="C590">
        <v>34</v>
      </c>
      <c r="D590" t="s">
        <v>78</v>
      </c>
      <c r="E590" t="s">
        <v>34</v>
      </c>
      <c r="F590" t="s">
        <v>35</v>
      </c>
      <c r="G590">
        <v>37078</v>
      </c>
      <c r="H590" t="s">
        <v>35</v>
      </c>
      <c r="I590" t="s">
        <v>35</v>
      </c>
      <c r="J590" t="s">
        <v>35</v>
      </c>
      <c r="K590" t="s">
        <v>35</v>
      </c>
      <c r="L590" t="s">
        <v>35</v>
      </c>
      <c r="M590" t="s">
        <v>35</v>
      </c>
      <c r="N590" t="s">
        <v>35</v>
      </c>
      <c r="O590" t="s">
        <v>35</v>
      </c>
      <c r="P590" t="s">
        <v>35</v>
      </c>
      <c r="Q590" t="s">
        <v>35</v>
      </c>
      <c r="R590" t="s">
        <v>35</v>
      </c>
      <c r="S590" t="s">
        <v>35</v>
      </c>
      <c r="T590" t="s">
        <v>35</v>
      </c>
      <c r="U590" t="s">
        <v>35</v>
      </c>
      <c r="V590" t="s">
        <v>35</v>
      </c>
      <c r="W590" t="s">
        <v>35</v>
      </c>
      <c r="X590" t="s">
        <v>35</v>
      </c>
      <c r="Y590" t="s">
        <v>35</v>
      </c>
      <c r="Z590" t="s">
        <v>35</v>
      </c>
      <c r="AA590" t="s">
        <v>35</v>
      </c>
      <c r="AB590" t="s">
        <v>35</v>
      </c>
      <c r="AC590" t="s">
        <v>35</v>
      </c>
      <c r="AD590" t="s">
        <v>35</v>
      </c>
      <c r="AE590" t="s">
        <v>35</v>
      </c>
    </row>
    <row r="591" spans="1:31" x14ac:dyDescent="0.2">
      <c r="A591" t="s">
        <v>237</v>
      </c>
      <c r="B591" t="s">
        <v>207</v>
      </c>
      <c r="C591">
        <v>34</v>
      </c>
      <c r="D591" t="s">
        <v>78</v>
      </c>
      <c r="E591" t="s">
        <v>36</v>
      </c>
      <c r="F591" t="s">
        <v>38</v>
      </c>
      <c r="G591">
        <v>49209</v>
      </c>
      <c r="H591">
        <v>0</v>
      </c>
      <c r="I591">
        <v>0</v>
      </c>
      <c r="J591">
        <v>0</v>
      </c>
      <c r="K591">
        <v>1</v>
      </c>
      <c r="L591" t="s">
        <v>35</v>
      </c>
      <c r="M591" t="s">
        <v>35</v>
      </c>
      <c r="N591" t="s">
        <v>35</v>
      </c>
      <c r="O591" t="s">
        <v>35</v>
      </c>
      <c r="P591" t="s">
        <v>35</v>
      </c>
      <c r="Q591" t="s">
        <v>35</v>
      </c>
      <c r="R591" t="s">
        <v>35</v>
      </c>
      <c r="S591" t="s">
        <v>35</v>
      </c>
      <c r="T591" t="s">
        <v>35</v>
      </c>
      <c r="U591" t="s">
        <v>35</v>
      </c>
      <c r="V591" t="s">
        <v>35</v>
      </c>
      <c r="W591" t="s">
        <v>35</v>
      </c>
      <c r="X591" t="s">
        <v>35</v>
      </c>
      <c r="Y591" t="s">
        <v>35</v>
      </c>
      <c r="Z591" t="s">
        <v>35</v>
      </c>
      <c r="AA591" t="s">
        <v>35</v>
      </c>
      <c r="AB591" t="s">
        <v>35</v>
      </c>
      <c r="AC591" t="s">
        <v>35</v>
      </c>
      <c r="AD591" t="s">
        <v>35</v>
      </c>
      <c r="AE591" t="s">
        <v>35</v>
      </c>
    </row>
    <row r="592" spans="1:31" x14ac:dyDescent="0.2">
      <c r="A592" t="s">
        <v>237</v>
      </c>
      <c r="B592" t="s">
        <v>207</v>
      </c>
      <c r="C592">
        <v>34</v>
      </c>
      <c r="D592" t="s">
        <v>78</v>
      </c>
      <c r="E592" t="s">
        <v>36</v>
      </c>
      <c r="F592" t="s">
        <v>37</v>
      </c>
      <c r="G592">
        <v>60560</v>
      </c>
      <c r="H592">
        <v>0</v>
      </c>
      <c r="I592">
        <v>0</v>
      </c>
      <c r="J592">
        <v>0</v>
      </c>
      <c r="K592">
        <v>1</v>
      </c>
      <c r="L592" t="s">
        <v>35</v>
      </c>
      <c r="M592" t="s">
        <v>35</v>
      </c>
      <c r="N592" t="s">
        <v>35</v>
      </c>
      <c r="O592" t="s">
        <v>35</v>
      </c>
      <c r="P592" t="s">
        <v>35</v>
      </c>
      <c r="Q592" t="s">
        <v>35</v>
      </c>
      <c r="R592" t="s">
        <v>35</v>
      </c>
      <c r="S592" t="s">
        <v>35</v>
      </c>
      <c r="T592" t="s">
        <v>35</v>
      </c>
      <c r="U592" t="s">
        <v>35</v>
      </c>
      <c r="V592" t="s">
        <v>35</v>
      </c>
      <c r="W592" t="s">
        <v>35</v>
      </c>
      <c r="X592" t="s">
        <v>35</v>
      </c>
      <c r="Y592" t="s">
        <v>35</v>
      </c>
      <c r="Z592" t="s">
        <v>35</v>
      </c>
      <c r="AA592" t="s">
        <v>35</v>
      </c>
      <c r="AB592" t="s">
        <v>35</v>
      </c>
      <c r="AC592" t="s">
        <v>35</v>
      </c>
      <c r="AD592" t="s">
        <v>35</v>
      </c>
      <c r="AE592" t="s">
        <v>35</v>
      </c>
    </row>
    <row r="593" spans="1:31" x14ac:dyDescent="0.2">
      <c r="A593" t="s">
        <v>237</v>
      </c>
      <c r="B593" t="s">
        <v>207</v>
      </c>
      <c r="C593">
        <v>34</v>
      </c>
      <c r="D593" t="s">
        <v>78</v>
      </c>
      <c r="E593" t="s">
        <v>39</v>
      </c>
      <c r="F593" t="s">
        <v>40</v>
      </c>
      <c r="G593">
        <v>69833</v>
      </c>
      <c r="H593">
        <v>1</v>
      </c>
      <c r="I593">
        <v>1</v>
      </c>
      <c r="J593">
        <v>1</v>
      </c>
      <c r="K593">
        <v>0</v>
      </c>
      <c r="L593" t="s">
        <v>81</v>
      </c>
      <c r="M593" t="s">
        <v>42</v>
      </c>
      <c r="N593" t="s">
        <v>91</v>
      </c>
      <c r="O593" t="s">
        <v>67</v>
      </c>
      <c r="P593" t="s">
        <v>45</v>
      </c>
      <c r="Q593" t="s">
        <v>51</v>
      </c>
      <c r="R593">
        <v>0</v>
      </c>
      <c r="S593">
        <v>0</v>
      </c>
      <c r="T593">
        <v>0</v>
      </c>
      <c r="U593">
        <v>1</v>
      </c>
      <c r="V593">
        <v>1</v>
      </c>
      <c r="W593">
        <v>0</v>
      </c>
      <c r="X593">
        <v>1</v>
      </c>
      <c r="Y593">
        <v>0</v>
      </c>
      <c r="Z593">
        <v>0</v>
      </c>
      <c r="AA593">
        <v>0</v>
      </c>
      <c r="AB593">
        <v>1</v>
      </c>
      <c r="AC593">
        <v>1</v>
      </c>
      <c r="AD593">
        <v>0</v>
      </c>
      <c r="AE593">
        <v>0</v>
      </c>
    </row>
    <row r="594" spans="1:31" x14ac:dyDescent="0.2">
      <c r="A594" t="s">
        <v>237</v>
      </c>
      <c r="B594" t="s">
        <v>207</v>
      </c>
      <c r="C594">
        <v>34</v>
      </c>
      <c r="D594" t="s">
        <v>78</v>
      </c>
      <c r="E594" t="s">
        <v>39</v>
      </c>
      <c r="F594" t="s">
        <v>70</v>
      </c>
      <c r="G594">
        <v>59838</v>
      </c>
      <c r="H594">
        <v>1</v>
      </c>
      <c r="I594">
        <v>1</v>
      </c>
      <c r="J594">
        <v>1</v>
      </c>
      <c r="K594">
        <v>0</v>
      </c>
      <c r="L594" t="s">
        <v>86</v>
      </c>
      <c r="M594" t="s">
        <v>73</v>
      </c>
      <c r="N594" t="s">
        <v>72</v>
      </c>
      <c r="O594" t="s">
        <v>46</v>
      </c>
      <c r="P594" t="s">
        <v>44</v>
      </c>
      <c r="Q594" t="s">
        <v>67</v>
      </c>
      <c r="R594">
        <v>0</v>
      </c>
      <c r="S594">
        <v>1</v>
      </c>
      <c r="T594">
        <v>1</v>
      </c>
      <c r="U594">
        <v>1</v>
      </c>
      <c r="V594">
        <v>0</v>
      </c>
      <c r="W594">
        <v>0</v>
      </c>
      <c r="X594">
        <v>1</v>
      </c>
      <c r="Y594">
        <v>0</v>
      </c>
      <c r="Z594">
        <v>1</v>
      </c>
      <c r="AA594">
        <v>1</v>
      </c>
      <c r="AB594">
        <v>1</v>
      </c>
      <c r="AC594">
        <v>0</v>
      </c>
      <c r="AD594">
        <v>0</v>
      </c>
      <c r="AE594">
        <v>0</v>
      </c>
    </row>
    <row r="595" spans="1:31" x14ac:dyDescent="0.2">
      <c r="A595" t="s">
        <v>237</v>
      </c>
      <c r="B595" t="s">
        <v>207</v>
      </c>
      <c r="C595">
        <v>34</v>
      </c>
      <c r="D595" t="s">
        <v>78</v>
      </c>
      <c r="E595" t="s">
        <v>52</v>
      </c>
      <c r="F595" t="s">
        <v>74</v>
      </c>
      <c r="G595">
        <v>28031</v>
      </c>
      <c r="H595">
        <v>1</v>
      </c>
      <c r="I595">
        <v>0</v>
      </c>
      <c r="J595">
        <v>0</v>
      </c>
      <c r="K595">
        <v>0</v>
      </c>
      <c r="L595" t="s">
        <v>35</v>
      </c>
      <c r="M595" t="s">
        <v>35</v>
      </c>
      <c r="N595" t="s">
        <v>35</v>
      </c>
      <c r="O595" t="s">
        <v>35</v>
      </c>
      <c r="P595" t="s">
        <v>35</v>
      </c>
      <c r="Q595" t="s">
        <v>35</v>
      </c>
      <c r="R595" t="s">
        <v>35</v>
      </c>
      <c r="S595">
        <v>1</v>
      </c>
      <c r="T595">
        <v>1</v>
      </c>
      <c r="U595">
        <v>1</v>
      </c>
      <c r="V595">
        <v>0</v>
      </c>
      <c r="W595">
        <v>0</v>
      </c>
      <c r="X595">
        <v>1</v>
      </c>
      <c r="Y595">
        <v>0</v>
      </c>
      <c r="Z595">
        <v>1</v>
      </c>
      <c r="AA595">
        <v>1</v>
      </c>
      <c r="AB595">
        <v>1</v>
      </c>
      <c r="AC595">
        <v>0</v>
      </c>
      <c r="AD595">
        <v>0</v>
      </c>
      <c r="AE595">
        <v>0</v>
      </c>
    </row>
    <row r="596" spans="1:31" x14ac:dyDescent="0.2">
      <c r="A596" t="s">
        <v>237</v>
      </c>
      <c r="B596" t="s">
        <v>207</v>
      </c>
      <c r="C596">
        <v>34</v>
      </c>
      <c r="D596" t="s">
        <v>78</v>
      </c>
      <c r="E596" t="s">
        <v>39</v>
      </c>
      <c r="F596" t="s">
        <v>59</v>
      </c>
      <c r="G596">
        <v>26132</v>
      </c>
      <c r="H596">
        <v>1</v>
      </c>
      <c r="I596">
        <v>1</v>
      </c>
      <c r="J596">
        <v>1</v>
      </c>
      <c r="K596">
        <v>0</v>
      </c>
      <c r="L596" t="s">
        <v>62</v>
      </c>
      <c r="M596" t="s">
        <v>61</v>
      </c>
      <c r="N596" t="s">
        <v>99</v>
      </c>
      <c r="O596" t="s">
        <v>45</v>
      </c>
      <c r="P596" t="s">
        <v>46</v>
      </c>
      <c r="Q596" t="s">
        <v>67</v>
      </c>
      <c r="R596">
        <v>0</v>
      </c>
      <c r="S596">
        <v>0</v>
      </c>
      <c r="T596">
        <v>1</v>
      </c>
      <c r="U596">
        <v>1</v>
      </c>
      <c r="V596">
        <v>1</v>
      </c>
      <c r="W596">
        <v>0</v>
      </c>
      <c r="X596">
        <v>1</v>
      </c>
      <c r="Y596">
        <v>0</v>
      </c>
      <c r="Z596">
        <v>0</v>
      </c>
      <c r="AA596">
        <v>1</v>
      </c>
      <c r="AB596">
        <v>1</v>
      </c>
      <c r="AC596">
        <v>1</v>
      </c>
      <c r="AD596">
        <v>0</v>
      </c>
      <c r="AE596">
        <v>0</v>
      </c>
    </row>
    <row r="597" spans="1:31" x14ac:dyDescent="0.2">
      <c r="A597" t="s">
        <v>237</v>
      </c>
      <c r="B597" t="s">
        <v>207</v>
      </c>
      <c r="C597">
        <v>34</v>
      </c>
      <c r="D597" t="s">
        <v>78</v>
      </c>
      <c r="E597" t="s">
        <v>39</v>
      </c>
      <c r="F597" t="s">
        <v>47</v>
      </c>
      <c r="G597">
        <v>27980</v>
      </c>
      <c r="H597">
        <v>0</v>
      </c>
      <c r="I597">
        <v>0</v>
      </c>
      <c r="J597">
        <v>0</v>
      </c>
      <c r="K597">
        <v>1</v>
      </c>
      <c r="L597" t="s">
        <v>80</v>
      </c>
      <c r="M597" t="s">
        <v>79</v>
      </c>
      <c r="N597" t="s">
        <v>50</v>
      </c>
      <c r="O597" t="s">
        <v>67</v>
      </c>
      <c r="P597" t="s">
        <v>45</v>
      </c>
      <c r="Q597" t="s">
        <v>51</v>
      </c>
      <c r="R597">
        <v>0</v>
      </c>
      <c r="S597">
        <v>0</v>
      </c>
      <c r="T597">
        <v>0</v>
      </c>
      <c r="U597">
        <v>1</v>
      </c>
      <c r="V597">
        <v>1</v>
      </c>
      <c r="W597">
        <v>0</v>
      </c>
      <c r="X597">
        <v>1</v>
      </c>
      <c r="Y597">
        <v>0</v>
      </c>
      <c r="Z597">
        <v>0</v>
      </c>
      <c r="AA597">
        <v>0</v>
      </c>
      <c r="AB597">
        <v>0</v>
      </c>
      <c r="AC597">
        <v>0</v>
      </c>
      <c r="AD597">
        <v>0</v>
      </c>
      <c r="AE597">
        <v>1</v>
      </c>
    </row>
    <row r="598" spans="1:31" x14ac:dyDescent="0.2">
      <c r="A598" t="s">
        <v>237</v>
      </c>
      <c r="B598" t="s">
        <v>207</v>
      </c>
      <c r="C598">
        <v>34</v>
      </c>
      <c r="D598" t="s">
        <v>78</v>
      </c>
      <c r="E598" t="s">
        <v>52</v>
      </c>
      <c r="F598" t="s">
        <v>53</v>
      </c>
      <c r="G598">
        <v>31461</v>
      </c>
      <c r="H598">
        <v>0</v>
      </c>
      <c r="I598">
        <v>0</v>
      </c>
      <c r="J598">
        <v>0</v>
      </c>
      <c r="K598">
        <v>1</v>
      </c>
      <c r="L598" t="s">
        <v>35</v>
      </c>
      <c r="M598" t="s">
        <v>35</v>
      </c>
      <c r="N598" t="s">
        <v>35</v>
      </c>
      <c r="O598" t="s">
        <v>35</v>
      </c>
      <c r="P598" t="s">
        <v>35</v>
      </c>
      <c r="Q598" t="s">
        <v>35</v>
      </c>
      <c r="R598" t="s">
        <v>35</v>
      </c>
      <c r="S598">
        <v>0</v>
      </c>
      <c r="T598">
        <v>0</v>
      </c>
      <c r="U598">
        <v>1</v>
      </c>
      <c r="V598">
        <v>1</v>
      </c>
      <c r="W598">
        <v>0</v>
      </c>
      <c r="X598">
        <v>1</v>
      </c>
      <c r="Y598">
        <v>0</v>
      </c>
      <c r="Z598">
        <v>0</v>
      </c>
      <c r="AA598">
        <v>0</v>
      </c>
      <c r="AB598">
        <v>0</v>
      </c>
      <c r="AC598">
        <v>0</v>
      </c>
      <c r="AD598">
        <v>0</v>
      </c>
      <c r="AE598">
        <v>1</v>
      </c>
    </row>
    <row r="599" spans="1:31" x14ac:dyDescent="0.2">
      <c r="A599" t="s">
        <v>237</v>
      </c>
      <c r="B599" t="s">
        <v>207</v>
      </c>
      <c r="C599">
        <v>34</v>
      </c>
      <c r="D599" t="s">
        <v>78</v>
      </c>
      <c r="E599" t="s">
        <v>39</v>
      </c>
      <c r="F599" t="s">
        <v>63</v>
      </c>
      <c r="G599">
        <v>54201</v>
      </c>
      <c r="H599">
        <v>1</v>
      </c>
      <c r="I599">
        <v>1</v>
      </c>
      <c r="J599">
        <v>1</v>
      </c>
      <c r="K599">
        <v>0</v>
      </c>
      <c r="L599" t="s">
        <v>90</v>
      </c>
      <c r="M599" t="s">
        <v>84</v>
      </c>
      <c r="N599" t="s">
        <v>66</v>
      </c>
      <c r="O599" t="s">
        <v>44</v>
      </c>
      <c r="P599" t="s">
        <v>46</v>
      </c>
      <c r="Q599" t="s">
        <v>45</v>
      </c>
      <c r="R599">
        <v>0</v>
      </c>
      <c r="S599">
        <v>1</v>
      </c>
      <c r="T599">
        <v>1</v>
      </c>
      <c r="U599">
        <v>0</v>
      </c>
      <c r="V599">
        <v>1</v>
      </c>
      <c r="W599">
        <v>0</v>
      </c>
      <c r="X599">
        <v>1</v>
      </c>
      <c r="Y599">
        <v>0</v>
      </c>
      <c r="Z599">
        <v>1</v>
      </c>
      <c r="AA599">
        <v>1</v>
      </c>
      <c r="AB599">
        <v>0</v>
      </c>
      <c r="AC599">
        <v>1</v>
      </c>
      <c r="AD599">
        <v>0</v>
      </c>
      <c r="AE599">
        <v>0</v>
      </c>
    </row>
    <row r="600" spans="1:31" x14ac:dyDescent="0.2">
      <c r="A600" t="s">
        <v>237</v>
      </c>
      <c r="B600" t="s">
        <v>207</v>
      </c>
      <c r="C600">
        <v>34</v>
      </c>
      <c r="D600" t="s">
        <v>78</v>
      </c>
      <c r="E600" t="s">
        <v>52</v>
      </c>
      <c r="F600" t="s">
        <v>58</v>
      </c>
      <c r="G600">
        <v>33830</v>
      </c>
      <c r="H600">
        <v>1</v>
      </c>
      <c r="I600">
        <v>0</v>
      </c>
      <c r="J600">
        <v>0</v>
      </c>
      <c r="K600">
        <v>0</v>
      </c>
      <c r="L600" t="s">
        <v>35</v>
      </c>
      <c r="M600" t="s">
        <v>35</v>
      </c>
      <c r="N600" t="s">
        <v>35</v>
      </c>
      <c r="O600" t="s">
        <v>35</v>
      </c>
      <c r="P600" t="s">
        <v>35</v>
      </c>
      <c r="Q600" t="s">
        <v>35</v>
      </c>
      <c r="R600" t="s">
        <v>35</v>
      </c>
      <c r="S600">
        <v>1</v>
      </c>
      <c r="T600">
        <v>1</v>
      </c>
      <c r="U600">
        <v>0</v>
      </c>
      <c r="V600">
        <v>1</v>
      </c>
      <c r="W600">
        <v>0</v>
      </c>
      <c r="X600">
        <v>1</v>
      </c>
      <c r="Y600">
        <v>0</v>
      </c>
      <c r="Z600">
        <v>1</v>
      </c>
      <c r="AA600">
        <v>1</v>
      </c>
      <c r="AB600">
        <v>0</v>
      </c>
      <c r="AC600">
        <v>1</v>
      </c>
      <c r="AD600">
        <v>0</v>
      </c>
      <c r="AE600">
        <v>0</v>
      </c>
    </row>
    <row r="601" spans="1:31" x14ac:dyDescent="0.2">
      <c r="A601" t="s">
        <v>237</v>
      </c>
      <c r="B601" t="s">
        <v>207</v>
      </c>
      <c r="C601">
        <v>34</v>
      </c>
      <c r="D601" t="s">
        <v>78</v>
      </c>
      <c r="E601" t="s">
        <v>39</v>
      </c>
      <c r="F601" t="s">
        <v>54</v>
      </c>
      <c r="G601">
        <v>28087</v>
      </c>
      <c r="H601">
        <v>1</v>
      </c>
      <c r="I601">
        <v>1</v>
      </c>
      <c r="J601">
        <v>1</v>
      </c>
      <c r="K601">
        <v>0</v>
      </c>
      <c r="L601" t="s">
        <v>57</v>
      </c>
      <c r="M601" t="s">
        <v>55</v>
      </c>
      <c r="N601" t="s">
        <v>89</v>
      </c>
      <c r="O601" t="s">
        <v>46</v>
      </c>
      <c r="P601" t="s">
        <v>44</v>
      </c>
      <c r="Q601" t="s">
        <v>67</v>
      </c>
      <c r="R601">
        <v>0</v>
      </c>
      <c r="S601">
        <v>1</v>
      </c>
      <c r="T601">
        <v>1</v>
      </c>
      <c r="U601">
        <v>1</v>
      </c>
      <c r="V601">
        <v>0</v>
      </c>
      <c r="W601">
        <v>0</v>
      </c>
      <c r="X601">
        <v>1</v>
      </c>
      <c r="Y601">
        <v>0</v>
      </c>
      <c r="Z601">
        <v>1</v>
      </c>
      <c r="AA601">
        <v>1</v>
      </c>
      <c r="AB601">
        <v>1</v>
      </c>
      <c r="AC601">
        <v>0</v>
      </c>
      <c r="AD601">
        <v>0</v>
      </c>
      <c r="AE601">
        <v>0</v>
      </c>
    </row>
    <row r="602" spans="1:31" x14ac:dyDescent="0.2">
      <c r="A602" t="s">
        <v>237</v>
      </c>
      <c r="B602" t="s">
        <v>207</v>
      </c>
      <c r="C602">
        <v>34</v>
      </c>
      <c r="D602" t="s">
        <v>78</v>
      </c>
      <c r="E602" t="s">
        <v>52</v>
      </c>
      <c r="F602" t="s">
        <v>69</v>
      </c>
      <c r="G602">
        <v>30029</v>
      </c>
      <c r="H602">
        <v>0</v>
      </c>
      <c r="I602">
        <v>0</v>
      </c>
      <c r="J602">
        <v>0</v>
      </c>
      <c r="K602">
        <v>1</v>
      </c>
      <c r="L602" t="s">
        <v>35</v>
      </c>
      <c r="M602" t="s">
        <v>35</v>
      </c>
      <c r="N602" t="s">
        <v>35</v>
      </c>
      <c r="O602" t="s">
        <v>35</v>
      </c>
      <c r="P602" t="s">
        <v>35</v>
      </c>
      <c r="Q602" t="s">
        <v>35</v>
      </c>
      <c r="R602" t="s">
        <v>35</v>
      </c>
      <c r="S602">
        <v>1</v>
      </c>
      <c r="T602">
        <v>1</v>
      </c>
      <c r="U602">
        <v>1</v>
      </c>
      <c r="V602">
        <v>0</v>
      </c>
      <c r="W602">
        <v>0</v>
      </c>
      <c r="X602">
        <v>1</v>
      </c>
      <c r="Y602">
        <v>0</v>
      </c>
      <c r="Z602">
        <v>1</v>
      </c>
      <c r="AA602">
        <v>1</v>
      </c>
      <c r="AB602">
        <v>1</v>
      </c>
      <c r="AC602">
        <v>0</v>
      </c>
      <c r="AD602">
        <v>0</v>
      </c>
      <c r="AE602">
        <v>0</v>
      </c>
    </row>
    <row r="603" spans="1:31" x14ac:dyDescent="0.2">
      <c r="A603" t="s">
        <v>237</v>
      </c>
      <c r="B603" t="s">
        <v>207</v>
      </c>
      <c r="C603">
        <v>34</v>
      </c>
      <c r="D603" t="s">
        <v>78</v>
      </c>
      <c r="E603" t="s">
        <v>75</v>
      </c>
      <c r="F603" t="s">
        <v>35</v>
      </c>
      <c r="G603">
        <v>131511</v>
      </c>
      <c r="H603" t="s">
        <v>238</v>
      </c>
      <c r="I603" t="s">
        <v>105</v>
      </c>
      <c r="J603" t="s">
        <v>239</v>
      </c>
      <c r="K603" t="s">
        <v>35</v>
      </c>
      <c r="L603" t="s">
        <v>35</v>
      </c>
      <c r="M603" t="s">
        <v>35</v>
      </c>
      <c r="N603" t="s">
        <v>35</v>
      </c>
      <c r="O603" t="s">
        <v>35</v>
      </c>
      <c r="P603" t="s">
        <v>35</v>
      </c>
      <c r="Q603" t="s">
        <v>35</v>
      </c>
      <c r="R603" t="s">
        <v>35</v>
      </c>
      <c r="S603" t="s">
        <v>35</v>
      </c>
      <c r="T603" t="s">
        <v>35</v>
      </c>
      <c r="U603" t="s">
        <v>35</v>
      </c>
      <c r="V603" t="s">
        <v>35</v>
      </c>
      <c r="W603" t="s">
        <v>35</v>
      </c>
      <c r="X603" t="s">
        <v>35</v>
      </c>
      <c r="Y603" t="s">
        <v>35</v>
      </c>
      <c r="Z603" t="s">
        <v>35</v>
      </c>
      <c r="AA603" t="s">
        <v>35</v>
      </c>
      <c r="AB603" t="s">
        <v>35</v>
      </c>
      <c r="AC603" t="s">
        <v>35</v>
      </c>
      <c r="AD603" t="s">
        <v>35</v>
      </c>
      <c r="AE603" t="s">
        <v>35</v>
      </c>
    </row>
    <row r="604" spans="1:31" x14ac:dyDescent="0.2">
      <c r="A604" t="s">
        <v>240</v>
      </c>
      <c r="B604" t="s">
        <v>107</v>
      </c>
      <c r="C604">
        <v>40</v>
      </c>
      <c r="D604" t="s">
        <v>78</v>
      </c>
      <c r="E604" t="s">
        <v>34</v>
      </c>
      <c r="F604" t="s">
        <v>35</v>
      </c>
      <c r="G604">
        <v>42851</v>
      </c>
      <c r="H604" t="s">
        <v>35</v>
      </c>
      <c r="I604" t="s">
        <v>35</v>
      </c>
      <c r="J604" t="s">
        <v>35</v>
      </c>
      <c r="K604" t="s">
        <v>35</v>
      </c>
      <c r="L604" t="s">
        <v>35</v>
      </c>
      <c r="M604" t="s">
        <v>35</v>
      </c>
      <c r="N604" t="s">
        <v>35</v>
      </c>
      <c r="O604" t="s">
        <v>35</v>
      </c>
      <c r="P604" t="s">
        <v>35</v>
      </c>
      <c r="Q604" t="s">
        <v>35</v>
      </c>
      <c r="R604" t="s">
        <v>35</v>
      </c>
      <c r="S604" t="s">
        <v>35</v>
      </c>
      <c r="T604" t="s">
        <v>35</v>
      </c>
      <c r="U604" t="s">
        <v>35</v>
      </c>
      <c r="V604" t="s">
        <v>35</v>
      </c>
      <c r="W604" t="s">
        <v>35</v>
      </c>
      <c r="X604" t="s">
        <v>35</v>
      </c>
      <c r="Y604" t="s">
        <v>35</v>
      </c>
      <c r="Z604" t="s">
        <v>35</v>
      </c>
      <c r="AA604" t="s">
        <v>35</v>
      </c>
      <c r="AB604" t="s">
        <v>35</v>
      </c>
      <c r="AC604" t="s">
        <v>35</v>
      </c>
      <c r="AD604" t="s">
        <v>35</v>
      </c>
      <c r="AE604" t="s">
        <v>35</v>
      </c>
    </row>
    <row r="605" spans="1:31" x14ac:dyDescent="0.2">
      <c r="A605" t="s">
        <v>240</v>
      </c>
      <c r="B605" t="s">
        <v>107</v>
      </c>
      <c r="C605">
        <v>40</v>
      </c>
      <c r="D605" t="s">
        <v>78</v>
      </c>
      <c r="E605" t="s">
        <v>36</v>
      </c>
      <c r="F605" t="s">
        <v>37</v>
      </c>
      <c r="G605">
        <v>56702</v>
      </c>
      <c r="H605">
        <v>0</v>
      </c>
      <c r="I605">
        <v>0</v>
      </c>
      <c r="J605">
        <v>1</v>
      </c>
      <c r="K605">
        <v>0</v>
      </c>
      <c r="L605" t="s">
        <v>35</v>
      </c>
      <c r="M605" t="s">
        <v>35</v>
      </c>
      <c r="N605" t="s">
        <v>35</v>
      </c>
      <c r="O605" t="s">
        <v>35</v>
      </c>
      <c r="P605" t="s">
        <v>35</v>
      </c>
      <c r="Q605" t="s">
        <v>35</v>
      </c>
      <c r="R605" t="s">
        <v>35</v>
      </c>
      <c r="S605" t="s">
        <v>35</v>
      </c>
      <c r="T605" t="s">
        <v>35</v>
      </c>
      <c r="U605" t="s">
        <v>35</v>
      </c>
      <c r="V605" t="s">
        <v>35</v>
      </c>
      <c r="W605" t="s">
        <v>35</v>
      </c>
      <c r="X605" t="s">
        <v>35</v>
      </c>
      <c r="Y605" t="s">
        <v>35</v>
      </c>
      <c r="Z605" t="s">
        <v>35</v>
      </c>
      <c r="AA605" t="s">
        <v>35</v>
      </c>
      <c r="AB605" t="s">
        <v>35</v>
      </c>
      <c r="AC605" t="s">
        <v>35</v>
      </c>
      <c r="AD605" t="s">
        <v>35</v>
      </c>
      <c r="AE605" t="s">
        <v>35</v>
      </c>
    </row>
    <row r="606" spans="1:31" x14ac:dyDescent="0.2">
      <c r="A606" t="s">
        <v>240</v>
      </c>
      <c r="B606" t="s">
        <v>107</v>
      </c>
      <c r="C606">
        <v>40</v>
      </c>
      <c r="D606" t="s">
        <v>78</v>
      </c>
      <c r="E606" t="s">
        <v>36</v>
      </c>
      <c r="F606" t="s">
        <v>38</v>
      </c>
      <c r="G606">
        <v>58060</v>
      </c>
      <c r="H606">
        <v>0</v>
      </c>
      <c r="I606">
        <v>1</v>
      </c>
      <c r="J606">
        <v>0</v>
      </c>
      <c r="K606">
        <v>0</v>
      </c>
      <c r="L606" t="s">
        <v>35</v>
      </c>
      <c r="M606" t="s">
        <v>35</v>
      </c>
      <c r="N606" t="s">
        <v>35</v>
      </c>
      <c r="O606" t="s">
        <v>35</v>
      </c>
      <c r="P606" t="s">
        <v>35</v>
      </c>
      <c r="Q606" t="s">
        <v>35</v>
      </c>
      <c r="R606" t="s">
        <v>35</v>
      </c>
      <c r="S606" t="s">
        <v>35</v>
      </c>
      <c r="T606" t="s">
        <v>35</v>
      </c>
      <c r="U606" t="s">
        <v>35</v>
      </c>
      <c r="V606" t="s">
        <v>35</v>
      </c>
      <c r="W606" t="s">
        <v>35</v>
      </c>
      <c r="X606" t="s">
        <v>35</v>
      </c>
      <c r="Y606" t="s">
        <v>35</v>
      </c>
      <c r="Z606" t="s">
        <v>35</v>
      </c>
      <c r="AA606" t="s">
        <v>35</v>
      </c>
      <c r="AB606" t="s">
        <v>35</v>
      </c>
      <c r="AC606" t="s">
        <v>35</v>
      </c>
      <c r="AD606" t="s">
        <v>35</v>
      </c>
      <c r="AE606" t="s">
        <v>35</v>
      </c>
    </row>
    <row r="607" spans="1:31" x14ac:dyDescent="0.2">
      <c r="A607" t="s">
        <v>240</v>
      </c>
      <c r="B607" t="s">
        <v>107</v>
      </c>
      <c r="C607">
        <v>40</v>
      </c>
      <c r="D607" t="s">
        <v>78</v>
      </c>
      <c r="E607" t="s">
        <v>39</v>
      </c>
      <c r="F607" t="s">
        <v>70</v>
      </c>
      <c r="G607">
        <v>235265</v>
      </c>
      <c r="H607">
        <v>0</v>
      </c>
      <c r="I607">
        <v>1</v>
      </c>
      <c r="J607">
        <v>0</v>
      </c>
      <c r="K607">
        <v>0</v>
      </c>
      <c r="L607" t="s">
        <v>71</v>
      </c>
      <c r="M607" t="s">
        <v>73</v>
      </c>
      <c r="N607" t="s">
        <v>72</v>
      </c>
      <c r="O607" t="s">
        <v>45</v>
      </c>
      <c r="P607" t="s">
        <v>44</v>
      </c>
      <c r="Q607" t="s">
        <v>67</v>
      </c>
      <c r="R607">
        <v>0</v>
      </c>
      <c r="S607">
        <v>1</v>
      </c>
      <c r="T607">
        <v>0</v>
      </c>
      <c r="U607">
        <v>1</v>
      </c>
      <c r="V607">
        <v>1</v>
      </c>
      <c r="W607">
        <v>0</v>
      </c>
      <c r="X607">
        <v>1</v>
      </c>
      <c r="Y607">
        <v>0</v>
      </c>
      <c r="Z607">
        <v>1</v>
      </c>
      <c r="AA607">
        <v>0</v>
      </c>
      <c r="AB607">
        <v>0</v>
      </c>
      <c r="AC607">
        <v>0</v>
      </c>
      <c r="AD607">
        <v>0</v>
      </c>
      <c r="AE607">
        <v>0</v>
      </c>
    </row>
    <row r="608" spans="1:31" x14ac:dyDescent="0.2">
      <c r="A608" t="s">
        <v>240</v>
      </c>
      <c r="B608" t="s">
        <v>107</v>
      </c>
      <c r="C608">
        <v>40</v>
      </c>
      <c r="D608" t="s">
        <v>78</v>
      </c>
      <c r="E608" t="s">
        <v>39</v>
      </c>
      <c r="F608" t="s">
        <v>54</v>
      </c>
      <c r="G608">
        <v>72552</v>
      </c>
      <c r="H608">
        <v>1</v>
      </c>
      <c r="I608">
        <v>1</v>
      </c>
      <c r="J608">
        <v>1</v>
      </c>
      <c r="K608">
        <v>0</v>
      </c>
      <c r="L608" t="s">
        <v>55</v>
      </c>
      <c r="M608" t="s">
        <v>88</v>
      </c>
      <c r="N608" t="s">
        <v>89</v>
      </c>
      <c r="O608" t="s">
        <v>44</v>
      </c>
      <c r="P608" t="s">
        <v>51</v>
      </c>
      <c r="Q608" t="s">
        <v>67</v>
      </c>
      <c r="R608">
        <v>0</v>
      </c>
      <c r="S608">
        <v>1</v>
      </c>
      <c r="T608">
        <v>0</v>
      </c>
      <c r="U608">
        <v>1</v>
      </c>
      <c r="V608">
        <v>0</v>
      </c>
      <c r="W608">
        <v>0</v>
      </c>
      <c r="X608">
        <v>1</v>
      </c>
      <c r="Y608">
        <v>0</v>
      </c>
      <c r="Z608">
        <v>1</v>
      </c>
      <c r="AA608">
        <v>0</v>
      </c>
      <c r="AB608">
        <v>1</v>
      </c>
      <c r="AC608">
        <v>0</v>
      </c>
      <c r="AD608">
        <v>0</v>
      </c>
      <c r="AE608">
        <v>0</v>
      </c>
    </row>
    <row r="609" spans="1:31" x14ac:dyDescent="0.2">
      <c r="A609" t="s">
        <v>240</v>
      </c>
      <c r="B609" t="s">
        <v>107</v>
      </c>
      <c r="C609">
        <v>40</v>
      </c>
      <c r="D609" t="s">
        <v>78</v>
      </c>
      <c r="E609" t="s">
        <v>52</v>
      </c>
      <c r="F609" t="s">
        <v>53</v>
      </c>
      <c r="G609">
        <v>14094</v>
      </c>
      <c r="H609">
        <v>0</v>
      </c>
      <c r="I609">
        <v>1</v>
      </c>
      <c r="J609">
        <v>0</v>
      </c>
      <c r="K609">
        <v>0</v>
      </c>
      <c r="L609" t="s">
        <v>35</v>
      </c>
      <c r="M609" t="s">
        <v>35</v>
      </c>
      <c r="N609" t="s">
        <v>35</v>
      </c>
      <c r="O609" t="s">
        <v>35</v>
      </c>
      <c r="P609" t="s">
        <v>35</v>
      </c>
      <c r="Q609" t="s">
        <v>35</v>
      </c>
      <c r="R609" t="s">
        <v>35</v>
      </c>
      <c r="S609">
        <v>1</v>
      </c>
      <c r="T609">
        <v>0</v>
      </c>
      <c r="U609">
        <v>1</v>
      </c>
      <c r="V609">
        <v>0</v>
      </c>
      <c r="W609">
        <v>0</v>
      </c>
      <c r="X609">
        <v>1</v>
      </c>
      <c r="Y609">
        <v>0</v>
      </c>
      <c r="Z609">
        <v>1</v>
      </c>
      <c r="AA609">
        <v>0</v>
      </c>
      <c r="AB609">
        <v>1</v>
      </c>
      <c r="AC609">
        <v>0</v>
      </c>
      <c r="AD609">
        <v>0</v>
      </c>
      <c r="AE609">
        <v>0</v>
      </c>
    </row>
    <row r="610" spans="1:31" x14ac:dyDescent="0.2">
      <c r="A610" t="s">
        <v>240</v>
      </c>
      <c r="B610" t="s">
        <v>107</v>
      </c>
      <c r="C610">
        <v>40</v>
      </c>
      <c r="D610" t="s">
        <v>78</v>
      </c>
      <c r="E610" t="s">
        <v>39</v>
      </c>
      <c r="F610" t="s">
        <v>59</v>
      </c>
      <c r="G610">
        <v>9770</v>
      </c>
      <c r="H610">
        <v>0</v>
      </c>
      <c r="I610">
        <v>0</v>
      </c>
      <c r="J610">
        <v>1</v>
      </c>
      <c r="K610">
        <v>0</v>
      </c>
      <c r="L610" t="s">
        <v>60</v>
      </c>
      <c r="M610" t="s">
        <v>62</v>
      </c>
      <c r="N610" t="s">
        <v>99</v>
      </c>
      <c r="O610" t="s">
        <v>44</v>
      </c>
      <c r="P610" t="s">
        <v>45</v>
      </c>
      <c r="Q610" t="s">
        <v>67</v>
      </c>
      <c r="R610">
        <v>0</v>
      </c>
      <c r="S610">
        <v>1</v>
      </c>
      <c r="T610">
        <v>0</v>
      </c>
      <c r="U610">
        <v>1</v>
      </c>
      <c r="V610">
        <v>1</v>
      </c>
      <c r="W610">
        <v>0</v>
      </c>
      <c r="X610">
        <v>1</v>
      </c>
      <c r="Y610">
        <v>0</v>
      </c>
      <c r="Z610">
        <v>0</v>
      </c>
      <c r="AA610">
        <v>0</v>
      </c>
      <c r="AB610">
        <v>1</v>
      </c>
      <c r="AC610">
        <v>0</v>
      </c>
      <c r="AD610">
        <v>0</v>
      </c>
      <c r="AE610">
        <v>0</v>
      </c>
    </row>
    <row r="611" spans="1:31" x14ac:dyDescent="0.2">
      <c r="A611" t="s">
        <v>240</v>
      </c>
      <c r="B611" t="s">
        <v>107</v>
      </c>
      <c r="C611">
        <v>40</v>
      </c>
      <c r="D611" t="s">
        <v>78</v>
      </c>
      <c r="E611" t="s">
        <v>39</v>
      </c>
      <c r="F611" t="s">
        <v>63</v>
      </c>
      <c r="G611">
        <v>9526</v>
      </c>
      <c r="H611">
        <v>1</v>
      </c>
      <c r="I611">
        <v>0</v>
      </c>
      <c r="J611">
        <v>0</v>
      </c>
      <c r="K611">
        <v>0</v>
      </c>
      <c r="L611" t="s">
        <v>90</v>
      </c>
      <c r="M611" t="s">
        <v>84</v>
      </c>
      <c r="N611" t="s">
        <v>65</v>
      </c>
      <c r="O611" t="s">
        <v>44</v>
      </c>
      <c r="P611" t="s">
        <v>46</v>
      </c>
      <c r="Q611" t="s">
        <v>68</v>
      </c>
      <c r="R611">
        <v>1</v>
      </c>
      <c r="S611">
        <v>1</v>
      </c>
      <c r="T611">
        <v>1</v>
      </c>
      <c r="U611">
        <v>0</v>
      </c>
      <c r="V611">
        <v>0</v>
      </c>
      <c r="W611">
        <v>0</v>
      </c>
      <c r="X611">
        <v>1</v>
      </c>
      <c r="Y611">
        <v>0</v>
      </c>
      <c r="Z611">
        <v>1</v>
      </c>
      <c r="AA611">
        <v>0</v>
      </c>
      <c r="AB611">
        <v>0</v>
      </c>
      <c r="AC611">
        <v>0</v>
      </c>
      <c r="AD611">
        <v>0</v>
      </c>
      <c r="AE611">
        <v>0</v>
      </c>
    </row>
    <row r="612" spans="1:31" x14ac:dyDescent="0.2">
      <c r="A612" t="s">
        <v>240</v>
      </c>
      <c r="B612" t="s">
        <v>107</v>
      </c>
      <c r="C612">
        <v>40</v>
      </c>
      <c r="D612" t="s">
        <v>78</v>
      </c>
      <c r="E612" t="s">
        <v>52</v>
      </c>
      <c r="F612" t="s">
        <v>58</v>
      </c>
      <c r="G612">
        <v>9655</v>
      </c>
      <c r="H612">
        <v>0</v>
      </c>
      <c r="I612">
        <v>1</v>
      </c>
      <c r="J612">
        <v>0</v>
      </c>
      <c r="K612">
        <v>0</v>
      </c>
      <c r="L612" t="s">
        <v>35</v>
      </c>
      <c r="M612" t="s">
        <v>35</v>
      </c>
      <c r="N612" t="s">
        <v>35</v>
      </c>
      <c r="O612" t="s">
        <v>35</v>
      </c>
      <c r="P612" t="s">
        <v>35</v>
      </c>
      <c r="Q612" t="s">
        <v>35</v>
      </c>
      <c r="R612" t="s">
        <v>35</v>
      </c>
      <c r="S612">
        <v>1</v>
      </c>
      <c r="T612">
        <v>1</v>
      </c>
      <c r="U612">
        <v>0</v>
      </c>
      <c r="V612">
        <v>0</v>
      </c>
      <c r="W612">
        <v>0</v>
      </c>
      <c r="X612">
        <v>1</v>
      </c>
      <c r="Y612">
        <v>0</v>
      </c>
      <c r="Z612">
        <v>1</v>
      </c>
      <c r="AA612">
        <v>0</v>
      </c>
      <c r="AB612">
        <v>0</v>
      </c>
      <c r="AC612">
        <v>0</v>
      </c>
      <c r="AD612">
        <v>0</v>
      </c>
      <c r="AE612">
        <v>0</v>
      </c>
    </row>
    <row r="613" spans="1:31" x14ac:dyDescent="0.2">
      <c r="A613" t="s">
        <v>240</v>
      </c>
      <c r="B613" t="s">
        <v>107</v>
      </c>
      <c r="C613">
        <v>40</v>
      </c>
      <c r="D613" t="s">
        <v>78</v>
      </c>
      <c r="E613" t="s">
        <v>39</v>
      </c>
      <c r="F613" t="s">
        <v>47</v>
      </c>
      <c r="G613">
        <v>18617</v>
      </c>
      <c r="H613">
        <v>0</v>
      </c>
      <c r="I613">
        <v>1</v>
      </c>
      <c r="J613">
        <v>0</v>
      </c>
      <c r="K613">
        <v>0</v>
      </c>
      <c r="L613" t="s">
        <v>50</v>
      </c>
      <c r="M613" t="s">
        <v>49</v>
      </c>
      <c r="N613" t="s">
        <v>79</v>
      </c>
      <c r="O613" t="s">
        <v>51</v>
      </c>
      <c r="P613" t="s">
        <v>44</v>
      </c>
      <c r="Q613" t="s">
        <v>45</v>
      </c>
      <c r="R613">
        <v>0</v>
      </c>
      <c r="S613">
        <v>1</v>
      </c>
      <c r="T613">
        <v>0</v>
      </c>
      <c r="U613">
        <v>0</v>
      </c>
      <c r="V613">
        <v>1</v>
      </c>
      <c r="W613">
        <v>0</v>
      </c>
      <c r="X613">
        <v>1</v>
      </c>
      <c r="Y613">
        <v>0</v>
      </c>
      <c r="Z613">
        <v>1</v>
      </c>
      <c r="AA613">
        <v>0</v>
      </c>
      <c r="AB613">
        <v>0</v>
      </c>
      <c r="AC613">
        <v>0</v>
      </c>
      <c r="AD613">
        <v>0</v>
      </c>
      <c r="AE613">
        <v>0</v>
      </c>
    </row>
    <row r="614" spans="1:31" x14ac:dyDescent="0.2">
      <c r="A614" t="s">
        <v>240</v>
      </c>
      <c r="B614" t="s">
        <v>107</v>
      </c>
      <c r="C614">
        <v>40</v>
      </c>
      <c r="D614" t="s">
        <v>78</v>
      </c>
      <c r="E614" t="s">
        <v>52</v>
      </c>
      <c r="F614" t="s">
        <v>74</v>
      </c>
      <c r="G614">
        <v>44457</v>
      </c>
      <c r="H614">
        <v>1</v>
      </c>
      <c r="I614">
        <v>0</v>
      </c>
      <c r="J614">
        <v>0</v>
      </c>
      <c r="K614">
        <v>0</v>
      </c>
      <c r="L614" t="s">
        <v>35</v>
      </c>
      <c r="M614" t="s">
        <v>35</v>
      </c>
      <c r="N614" t="s">
        <v>35</v>
      </c>
      <c r="O614" t="s">
        <v>35</v>
      </c>
      <c r="P614" t="s">
        <v>35</v>
      </c>
      <c r="Q614" t="s">
        <v>35</v>
      </c>
      <c r="R614" t="s">
        <v>35</v>
      </c>
      <c r="S614">
        <v>1</v>
      </c>
      <c r="T614">
        <v>0</v>
      </c>
      <c r="U614">
        <v>0</v>
      </c>
      <c r="V614">
        <v>1</v>
      </c>
      <c r="W614">
        <v>0</v>
      </c>
      <c r="X614">
        <v>1</v>
      </c>
      <c r="Y614">
        <v>0</v>
      </c>
      <c r="Z614">
        <v>1</v>
      </c>
      <c r="AA614">
        <v>0</v>
      </c>
      <c r="AB614">
        <v>0</v>
      </c>
      <c r="AC614">
        <v>0</v>
      </c>
      <c r="AD614">
        <v>0</v>
      </c>
      <c r="AE614">
        <v>0</v>
      </c>
    </row>
    <row r="615" spans="1:31" x14ac:dyDescent="0.2">
      <c r="A615" t="s">
        <v>240</v>
      </c>
      <c r="B615" t="s">
        <v>107</v>
      </c>
      <c r="C615">
        <v>40</v>
      </c>
      <c r="D615" t="s">
        <v>78</v>
      </c>
      <c r="E615" t="s">
        <v>39</v>
      </c>
      <c r="F615" t="s">
        <v>40</v>
      </c>
      <c r="G615">
        <v>91577</v>
      </c>
      <c r="H615">
        <v>1</v>
      </c>
      <c r="I615">
        <v>0</v>
      </c>
      <c r="J615">
        <v>0</v>
      </c>
      <c r="K615">
        <v>0</v>
      </c>
      <c r="L615" t="s">
        <v>42</v>
      </c>
      <c r="M615" t="s">
        <v>41</v>
      </c>
      <c r="N615" t="s">
        <v>81</v>
      </c>
      <c r="O615" t="s">
        <v>45</v>
      </c>
      <c r="P615" t="s">
        <v>44</v>
      </c>
      <c r="Q615" t="s">
        <v>67</v>
      </c>
      <c r="R615">
        <v>0</v>
      </c>
      <c r="S615">
        <v>1</v>
      </c>
      <c r="T615">
        <v>0</v>
      </c>
      <c r="U615">
        <v>1</v>
      </c>
      <c r="V615">
        <v>1</v>
      </c>
      <c r="W615">
        <v>0</v>
      </c>
      <c r="X615">
        <v>1</v>
      </c>
      <c r="Y615">
        <v>0</v>
      </c>
      <c r="Z615">
        <v>0</v>
      </c>
      <c r="AA615">
        <v>0</v>
      </c>
      <c r="AB615">
        <v>0</v>
      </c>
      <c r="AC615">
        <v>1</v>
      </c>
      <c r="AD615">
        <v>0</v>
      </c>
      <c r="AE615">
        <v>0</v>
      </c>
    </row>
    <row r="616" spans="1:31" x14ac:dyDescent="0.2">
      <c r="A616" t="s">
        <v>240</v>
      </c>
      <c r="B616" t="s">
        <v>107</v>
      </c>
      <c r="C616">
        <v>40</v>
      </c>
      <c r="D616" t="s">
        <v>78</v>
      </c>
      <c r="E616" t="s">
        <v>52</v>
      </c>
      <c r="F616" t="s">
        <v>69</v>
      </c>
      <c r="G616">
        <v>29877</v>
      </c>
      <c r="H616">
        <v>0</v>
      </c>
      <c r="I616">
        <v>1</v>
      </c>
      <c r="J616">
        <v>0</v>
      </c>
      <c r="K616">
        <v>0</v>
      </c>
      <c r="L616" t="s">
        <v>35</v>
      </c>
      <c r="M616" t="s">
        <v>35</v>
      </c>
      <c r="N616" t="s">
        <v>35</v>
      </c>
      <c r="O616" t="s">
        <v>35</v>
      </c>
      <c r="P616" t="s">
        <v>35</v>
      </c>
      <c r="Q616" t="s">
        <v>35</v>
      </c>
      <c r="R616" t="s">
        <v>35</v>
      </c>
      <c r="S616">
        <v>1</v>
      </c>
      <c r="T616">
        <v>0</v>
      </c>
      <c r="U616">
        <v>1</v>
      </c>
      <c r="V616">
        <v>1</v>
      </c>
      <c r="W616">
        <v>0</v>
      </c>
      <c r="X616">
        <v>1</v>
      </c>
      <c r="Y616">
        <v>0</v>
      </c>
      <c r="Z616">
        <v>0</v>
      </c>
      <c r="AA616">
        <v>0</v>
      </c>
      <c r="AB616">
        <v>0</v>
      </c>
      <c r="AC616">
        <v>1</v>
      </c>
      <c r="AD616">
        <v>0</v>
      </c>
      <c r="AE616">
        <v>0</v>
      </c>
    </row>
    <row r="617" spans="1:31" x14ac:dyDescent="0.2">
      <c r="A617" t="s">
        <v>240</v>
      </c>
      <c r="B617" t="s">
        <v>107</v>
      </c>
      <c r="C617">
        <v>40</v>
      </c>
      <c r="D617" t="s">
        <v>78</v>
      </c>
      <c r="E617" t="s">
        <v>75</v>
      </c>
      <c r="F617" t="s">
        <v>35</v>
      </c>
      <c r="G617">
        <v>146257</v>
      </c>
      <c r="H617" t="s">
        <v>241</v>
      </c>
      <c r="I617" t="s">
        <v>116</v>
      </c>
      <c r="J617" t="s">
        <v>242</v>
      </c>
      <c r="K617" t="s">
        <v>35</v>
      </c>
      <c r="L617" t="s">
        <v>35</v>
      </c>
      <c r="M617" t="s">
        <v>35</v>
      </c>
      <c r="N617" t="s">
        <v>35</v>
      </c>
      <c r="O617" t="s">
        <v>35</v>
      </c>
      <c r="P617" t="s">
        <v>35</v>
      </c>
      <c r="Q617" t="s">
        <v>35</v>
      </c>
      <c r="R617" t="s">
        <v>35</v>
      </c>
      <c r="S617" t="s">
        <v>35</v>
      </c>
      <c r="T617" t="s">
        <v>35</v>
      </c>
      <c r="U617" t="s">
        <v>35</v>
      </c>
      <c r="V617" t="s">
        <v>35</v>
      </c>
      <c r="W617" t="s">
        <v>35</v>
      </c>
      <c r="X617" t="s">
        <v>35</v>
      </c>
      <c r="Y617" t="s">
        <v>35</v>
      </c>
      <c r="Z617" t="s">
        <v>35</v>
      </c>
      <c r="AA617" t="s">
        <v>35</v>
      </c>
      <c r="AB617" t="s">
        <v>35</v>
      </c>
      <c r="AC617" t="s">
        <v>35</v>
      </c>
      <c r="AD617" t="s">
        <v>35</v>
      </c>
      <c r="AE617" t="s">
        <v>35</v>
      </c>
    </row>
    <row r="618" spans="1:31" x14ac:dyDescent="0.2">
      <c r="A618" t="s">
        <v>243</v>
      </c>
      <c r="B618" t="s">
        <v>102</v>
      </c>
      <c r="C618">
        <v>31</v>
      </c>
      <c r="D618" t="s">
        <v>33</v>
      </c>
      <c r="E618" t="s">
        <v>34</v>
      </c>
      <c r="F618" t="s">
        <v>35</v>
      </c>
      <c r="G618">
        <v>31531</v>
      </c>
      <c r="H618" t="s">
        <v>35</v>
      </c>
      <c r="I618" t="s">
        <v>35</v>
      </c>
      <c r="J618" t="s">
        <v>35</v>
      </c>
      <c r="K618" t="s">
        <v>35</v>
      </c>
      <c r="L618" t="s">
        <v>35</v>
      </c>
      <c r="M618" t="s">
        <v>35</v>
      </c>
      <c r="N618" t="s">
        <v>35</v>
      </c>
      <c r="O618" t="s">
        <v>35</v>
      </c>
      <c r="P618" t="s">
        <v>35</v>
      </c>
      <c r="Q618" t="s">
        <v>35</v>
      </c>
      <c r="R618" t="s">
        <v>35</v>
      </c>
      <c r="S618" t="s">
        <v>35</v>
      </c>
      <c r="T618" t="s">
        <v>35</v>
      </c>
      <c r="U618" t="s">
        <v>35</v>
      </c>
      <c r="V618" t="s">
        <v>35</v>
      </c>
      <c r="W618" t="s">
        <v>35</v>
      </c>
      <c r="X618" t="s">
        <v>35</v>
      </c>
      <c r="Y618" t="s">
        <v>35</v>
      </c>
      <c r="Z618" t="s">
        <v>35</v>
      </c>
      <c r="AA618" t="s">
        <v>35</v>
      </c>
      <c r="AB618" t="s">
        <v>35</v>
      </c>
      <c r="AC618" t="s">
        <v>35</v>
      </c>
      <c r="AD618" t="s">
        <v>35</v>
      </c>
      <c r="AE618" t="s">
        <v>35</v>
      </c>
    </row>
    <row r="619" spans="1:31" x14ac:dyDescent="0.2">
      <c r="A619" t="s">
        <v>243</v>
      </c>
      <c r="B619" t="s">
        <v>102</v>
      </c>
      <c r="C619">
        <v>31</v>
      </c>
      <c r="D619" t="s">
        <v>33</v>
      </c>
      <c r="E619" t="s">
        <v>36</v>
      </c>
      <c r="F619" t="s">
        <v>38</v>
      </c>
      <c r="G619">
        <v>59373</v>
      </c>
      <c r="H619">
        <v>0</v>
      </c>
      <c r="I619">
        <v>0</v>
      </c>
      <c r="J619">
        <v>0</v>
      </c>
      <c r="K619">
        <v>1</v>
      </c>
      <c r="L619" t="s">
        <v>35</v>
      </c>
      <c r="M619" t="s">
        <v>35</v>
      </c>
      <c r="N619" t="s">
        <v>35</v>
      </c>
      <c r="O619" t="s">
        <v>35</v>
      </c>
      <c r="P619" t="s">
        <v>35</v>
      </c>
      <c r="Q619" t="s">
        <v>35</v>
      </c>
      <c r="R619" t="s">
        <v>35</v>
      </c>
      <c r="S619" t="s">
        <v>35</v>
      </c>
      <c r="T619" t="s">
        <v>35</v>
      </c>
      <c r="U619" t="s">
        <v>35</v>
      </c>
      <c r="V619" t="s">
        <v>35</v>
      </c>
      <c r="W619" t="s">
        <v>35</v>
      </c>
      <c r="X619" t="s">
        <v>35</v>
      </c>
      <c r="Y619" t="s">
        <v>35</v>
      </c>
      <c r="Z619" t="s">
        <v>35</v>
      </c>
      <c r="AA619" t="s">
        <v>35</v>
      </c>
      <c r="AB619" t="s">
        <v>35</v>
      </c>
      <c r="AC619" t="s">
        <v>35</v>
      </c>
      <c r="AD619" t="s">
        <v>35</v>
      </c>
      <c r="AE619" t="s">
        <v>35</v>
      </c>
    </row>
    <row r="620" spans="1:31" x14ac:dyDescent="0.2">
      <c r="A620" t="s">
        <v>243</v>
      </c>
      <c r="B620" t="s">
        <v>102</v>
      </c>
      <c r="C620">
        <v>31</v>
      </c>
      <c r="D620" t="s">
        <v>33</v>
      </c>
      <c r="E620" t="s">
        <v>36</v>
      </c>
      <c r="F620" t="s">
        <v>37</v>
      </c>
      <c r="G620">
        <v>58597</v>
      </c>
      <c r="H620">
        <v>0</v>
      </c>
      <c r="I620">
        <v>0</v>
      </c>
      <c r="J620">
        <v>1</v>
      </c>
      <c r="K620">
        <v>0</v>
      </c>
      <c r="L620" t="s">
        <v>35</v>
      </c>
      <c r="M620" t="s">
        <v>35</v>
      </c>
      <c r="N620" t="s">
        <v>35</v>
      </c>
      <c r="O620" t="s">
        <v>35</v>
      </c>
      <c r="P620" t="s">
        <v>35</v>
      </c>
      <c r="Q620" t="s">
        <v>35</v>
      </c>
      <c r="R620" t="s">
        <v>35</v>
      </c>
      <c r="S620" t="s">
        <v>35</v>
      </c>
      <c r="T620" t="s">
        <v>35</v>
      </c>
      <c r="U620" t="s">
        <v>35</v>
      </c>
      <c r="V620" t="s">
        <v>35</v>
      </c>
      <c r="W620" t="s">
        <v>35</v>
      </c>
      <c r="X620" t="s">
        <v>35</v>
      </c>
      <c r="Y620" t="s">
        <v>35</v>
      </c>
      <c r="Z620" t="s">
        <v>35</v>
      </c>
      <c r="AA620" t="s">
        <v>35</v>
      </c>
      <c r="AB620" t="s">
        <v>35</v>
      </c>
      <c r="AC620" t="s">
        <v>35</v>
      </c>
      <c r="AD620" t="s">
        <v>35</v>
      </c>
      <c r="AE620" t="s">
        <v>35</v>
      </c>
    </row>
    <row r="621" spans="1:31" x14ac:dyDescent="0.2">
      <c r="A621" t="s">
        <v>243</v>
      </c>
      <c r="B621" t="s">
        <v>102</v>
      </c>
      <c r="C621">
        <v>31</v>
      </c>
      <c r="D621" t="s">
        <v>33</v>
      </c>
      <c r="E621" t="s">
        <v>39</v>
      </c>
      <c r="F621" t="s">
        <v>40</v>
      </c>
      <c r="G621">
        <v>39805</v>
      </c>
      <c r="H621">
        <v>0</v>
      </c>
      <c r="I621">
        <v>1</v>
      </c>
      <c r="J621">
        <v>0</v>
      </c>
      <c r="K621">
        <v>0</v>
      </c>
      <c r="L621" t="s">
        <v>43</v>
      </c>
      <c r="M621" t="s">
        <v>41</v>
      </c>
      <c r="N621" t="s">
        <v>91</v>
      </c>
      <c r="O621" t="s">
        <v>46</v>
      </c>
      <c r="P621" t="s">
        <v>44</v>
      </c>
      <c r="Q621" t="s">
        <v>51</v>
      </c>
      <c r="R621">
        <v>0</v>
      </c>
      <c r="S621">
        <v>1</v>
      </c>
      <c r="T621">
        <v>1</v>
      </c>
      <c r="U621">
        <v>0</v>
      </c>
      <c r="V621">
        <v>0</v>
      </c>
      <c r="W621">
        <v>0</v>
      </c>
      <c r="X621">
        <v>1</v>
      </c>
      <c r="Y621">
        <v>0</v>
      </c>
      <c r="Z621">
        <v>1</v>
      </c>
      <c r="AA621">
        <v>0</v>
      </c>
      <c r="AB621">
        <v>0</v>
      </c>
      <c r="AC621">
        <v>0</v>
      </c>
      <c r="AD621">
        <v>0</v>
      </c>
      <c r="AE621">
        <v>0</v>
      </c>
    </row>
    <row r="622" spans="1:31" x14ac:dyDescent="0.2">
      <c r="A622" t="s">
        <v>243</v>
      </c>
      <c r="B622" t="s">
        <v>102</v>
      </c>
      <c r="C622">
        <v>31</v>
      </c>
      <c r="D622" t="s">
        <v>33</v>
      </c>
      <c r="E622" t="s">
        <v>39</v>
      </c>
      <c r="F622" t="s">
        <v>70</v>
      </c>
      <c r="G622">
        <v>73008</v>
      </c>
      <c r="H622">
        <v>0</v>
      </c>
      <c r="I622">
        <v>1</v>
      </c>
      <c r="J622">
        <v>1</v>
      </c>
      <c r="K622">
        <v>0</v>
      </c>
      <c r="L622" t="s">
        <v>92</v>
      </c>
      <c r="M622" t="s">
        <v>73</v>
      </c>
      <c r="N622" t="s">
        <v>93</v>
      </c>
      <c r="O622" t="s">
        <v>51</v>
      </c>
      <c r="P622" t="s">
        <v>44</v>
      </c>
      <c r="Q622" t="s">
        <v>68</v>
      </c>
      <c r="R622">
        <v>1</v>
      </c>
      <c r="S622">
        <v>1</v>
      </c>
      <c r="T622">
        <v>0</v>
      </c>
      <c r="U622">
        <v>0</v>
      </c>
      <c r="V622">
        <v>0</v>
      </c>
      <c r="W622">
        <v>0</v>
      </c>
      <c r="X622">
        <v>1</v>
      </c>
      <c r="Y622">
        <v>1</v>
      </c>
      <c r="Z622">
        <v>1</v>
      </c>
      <c r="AA622">
        <v>0</v>
      </c>
      <c r="AB622">
        <v>0</v>
      </c>
      <c r="AC622">
        <v>0</v>
      </c>
      <c r="AD622">
        <v>0</v>
      </c>
      <c r="AE622">
        <v>0</v>
      </c>
    </row>
    <row r="623" spans="1:31" x14ac:dyDescent="0.2">
      <c r="A623" t="s">
        <v>243</v>
      </c>
      <c r="B623" t="s">
        <v>102</v>
      </c>
      <c r="C623">
        <v>31</v>
      </c>
      <c r="D623" t="s">
        <v>33</v>
      </c>
      <c r="E623" t="s">
        <v>52</v>
      </c>
      <c r="F623" t="s">
        <v>74</v>
      </c>
      <c r="G623">
        <v>37400</v>
      </c>
      <c r="H623">
        <v>1</v>
      </c>
      <c r="I623">
        <v>0</v>
      </c>
      <c r="J623">
        <v>0</v>
      </c>
      <c r="K623">
        <v>0</v>
      </c>
      <c r="L623" t="s">
        <v>35</v>
      </c>
      <c r="M623" t="s">
        <v>35</v>
      </c>
      <c r="N623" t="s">
        <v>35</v>
      </c>
      <c r="O623" t="s">
        <v>35</v>
      </c>
      <c r="P623" t="s">
        <v>35</v>
      </c>
      <c r="Q623" t="s">
        <v>35</v>
      </c>
      <c r="R623" t="s">
        <v>35</v>
      </c>
      <c r="S623">
        <v>1</v>
      </c>
      <c r="T623">
        <v>0</v>
      </c>
      <c r="U623">
        <v>0</v>
      </c>
      <c r="V623">
        <v>0</v>
      </c>
      <c r="W623">
        <v>0</v>
      </c>
      <c r="X623">
        <v>1</v>
      </c>
      <c r="Y623">
        <v>1</v>
      </c>
      <c r="Z623">
        <v>1</v>
      </c>
      <c r="AA623">
        <v>0</v>
      </c>
      <c r="AB623">
        <v>0</v>
      </c>
      <c r="AC623">
        <v>0</v>
      </c>
      <c r="AD623">
        <v>0</v>
      </c>
      <c r="AE623">
        <v>0</v>
      </c>
    </row>
    <row r="624" spans="1:31" x14ac:dyDescent="0.2">
      <c r="A624" t="s">
        <v>243</v>
      </c>
      <c r="B624" t="s">
        <v>102</v>
      </c>
      <c r="C624">
        <v>31</v>
      </c>
      <c r="D624" t="s">
        <v>33</v>
      </c>
      <c r="E624" t="s">
        <v>39</v>
      </c>
      <c r="F624" t="s">
        <v>54</v>
      </c>
      <c r="G624">
        <v>16805</v>
      </c>
      <c r="H624">
        <v>0</v>
      </c>
      <c r="I624">
        <v>1</v>
      </c>
      <c r="J624">
        <v>1</v>
      </c>
      <c r="K624">
        <v>0</v>
      </c>
      <c r="L624" t="s">
        <v>56</v>
      </c>
      <c r="M624" t="s">
        <v>55</v>
      </c>
      <c r="N624" t="s">
        <v>89</v>
      </c>
      <c r="O624" t="s">
        <v>45</v>
      </c>
      <c r="P624" t="s">
        <v>44</v>
      </c>
      <c r="Q624" t="s">
        <v>67</v>
      </c>
      <c r="R624">
        <v>0</v>
      </c>
      <c r="S624">
        <v>1</v>
      </c>
      <c r="T624">
        <v>0</v>
      </c>
      <c r="U624">
        <v>1</v>
      </c>
      <c r="V624">
        <v>1</v>
      </c>
      <c r="W624">
        <v>0</v>
      </c>
      <c r="X624">
        <v>1</v>
      </c>
      <c r="Y624">
        <v>0</v>
      </c>
      <c r="Z624">
        <v>1</v>
      </c>
      <c r="AA624">
        <v>0</v>
      </c>
      <c r="AB624">
        <v>1</v>
      </c>
      <c r="AC624">
        <v>0</v>
      </c>
      <c r="AD624">
        <v>0</v>
      </c>
      <c r="AE624">
        <v>0</v>
      </c>
    </row>
    <row r="625" spans="1:31" x14ac:dyDescent="0.2">
      <c r="A625" t="s">
        <v>243</v>
      </c>
      <c r="B625" t="s">
        <v>102</v>
      </c>
      <c r="C625">
        <v>31</v>
      </c>
      <c r="D625" t="s">
        <v>33</v>
      </c>
      <c r="E625" t="s">
        <v>52</v>
      </c>
      <c r="F625" t="s">
        <v>58</v>
      </c>
      <c r="G625">
        <v>33558</v>
      </c>
      <c r="H625">
        <v>1</v>
      </c>
      <c r="I625">
        <v>1</v>
      </c>
      <c r="J625">
        <v>0</v>
      </c>
      <c r="K625">
        <v>0</v>
      </c>
      <c r="L625" t="s">
        <v>35</v>
      </c>
      <c r="M625" t="s">
        <v>35</v>
      </c>
      <c r="N625" t="s">
        <v>35</v>
      </c>
      <c r="O625" t="s">
        <v>35</v>
      </c>
      <c r="P625" t="s">
        <v>35</v>
      </c>
      <c r="Q625" t="s">
        <v>35</v>
      </c>
      <c r="R625" t="s">
        <v>35</v>
      </c>
      <c r="S625">
        <v>1</v>
      </c>
      <c r="T625">
        <v>0</v>
      </c>
      <c r="U625">
        <v>1</v>
      </c>
      <c r="V625">
        <v>1</v>
      </c>
      <c r="W625">
        <v>0</v>
      </c>
      <c r="X625">
        <v>1</v>
      </c>
      <c r="Y625">
        <v>0</v>
      </c>
      <c r="Z625">
        <v>1</v>
      </c>
      <c r="AA625">
        <v>0</v>
      </c>
      <c r="AB625">
        <v>1</v>
      </c>
      <c r="AC625">
        <v>0</v>
      </c>
      <c r="AD625">
        <v>0</v>
      </c>
      <c r="AE625">
        <v>0</v>
      </c>
    </row>
    <row r="626" spans="1:31" x14ac:dyDescent="0.2">
      <c r="A626" t="s">
        <v>243</v>
      </c>
      <c r="B626" t="s">
        <v>102</v>
      </c>
      <c r="C626">
        <v>31</v>
      </c>
      <c r="D626" t="s">
        <v>33</v>
      </c>
      <c r="E626" t="s">
        <v>39</v>
      </c>
      <c r="F626" t="s">
        <v>47</v>
      </c>
      <c r="G626">
        <v>30877</v>
      </c>
      <c r="H626">
        <v>0</v>
      </c>
      <c r="I626">
        <v>0</v>
      </c>
      <c r="J626">
        <v>0</v>
      </c>
      <c r="K626">
        <v>1</v>
      </c>
      <c r="L626" t="s">
        <v>80</v>
      </c>
      <c r="M626" t="s">
        <v>49</v>
      </c>
      <c r="N626" t="s">
        <v>48</v>
      </c>
      <c r="O626" t="s">
        <v>67</v>
      </c>
      <c r="P626" t="s">
        <v>44</v>
      </c>
      <c r="Q626" t="s">
        <v>46</v>
      </c>
      <c r="R626">
        <v>0</v>
      </c>
      <c r="S626">
        <v>1</v>
      </c>
      <c r="T626">
        <v>1</v>
      </c>
      <c r="U626">
        <v>1</v>
      </c>
      <c r="V626">
        <v>0</v>
      </c>
      <c r="W626">
        <v>0</v>
      </c>
      <c r="X626">
        <v>1</v>
      </c>
      <c r="Y626">
        <v>0</v>
      </c>
      <c r="Z626">
        <v>0</v>
      </c>
      <c r="AA626">
        <v>0</v>
      </c>
      <c r="AB626">
        <v>0</v>
      </c>
      <c r="AC626">
        <v>0</v>
      </c>
      <c r="AD626">
        <v>0</v>
      </c>
      <c r="AE626">
        <v>1</v>
      </c>
    </row>
    <row r="627" spans="1:31" x14ac:dyDescent="0.2">
      <c r="A627" t="s">
        <v>243</v>
      </c>
      <c r="B627" t="s">
        <v>102</v>
      </c>
      <c r="C627">
        <v>31</v>
      </c>
      <c r="D627" t="s">
        <v>33</v>
      </c>
      <c r="E627" t="s">
        <v>39</v>
      </c>
      <c r="F627" t="s">
        <v>59</v>
      </c>
      <c r="G627">
        <v>119003</v>
      </c>
      <c r="H627">
        <v>0</v>
      </c>
      <c r="I627">
        <v>1</v>
      </c>
      <c r="J627">
        <v>0</v>
      </c>
      <c r="K627">
        <v>0</v>
      </c>
      <c r="L627" t="s">
        <v>61</v>
      </c>
      <c r="M627" t="s">
        <v>99</v>
      </c>
      <c r="N627" t="s">
        <v>83</v>
      </c>
      <c r="O627" t="s">
        <v>46</v>
      </c>
      <c r="P627" t="s">
        <v>67</v>
      </c>
      <c r="Q627" t="s">
        <v>51</v>
      </c>
      <c r="R627">
        <v>0</v>
      </c>
      <c r="S627">
        <v>0</v>
      </c>
      <c r="T627">
        <v>1</v>
      </c>
      <c r="U627">
        <v>1</v>
      </c>
      <c r="V627">
        <v>0</v>
      </c>
      <c r="W627">
        <v>0</v>
      </c>
      <c r="X627">
        <v>1</v>
      </c>
      <c r="Y627">
        <v>0</v>
      </c>
      <c r="Z627">
        <v>0</v>
      </c>
      <c r="AA627">
        <v>0</v>
      </c>
      <c r="AB627">
        <v>1</v>
      </c>
      <c r="AC627">
        <v>0</v>
      </c>
      <c r="AD627">
        <v>0</v>
      </c>
      <c r="AE627">
        <v>0</v>
      </c>
    </row>
    <row r="628" spans="1:31" x14ac:dyDescent="0.2">
      <c r="A628" t="s">
        <v>243</v>
      </c>
      <c r="B628" t="s">
        <v>102</v>
      </c>
      <c r="C628">
        <v>31</v>
      </c>
      <c r="D628" t="s">
        <v>33</v>
      </c>
      <c r="E628" t="s">
        <v>52</v>
      </c>
      <c r="F628" t="s">
        <v>69</v>
      </c>
      <c r="G628">
        <v>26788</v>
      </c>
      <c r="H628">
        <v>0</v>
      </c>
      <c r="I628">
        <v>1</v>
      </c>
      <c r="J628">
        <v>0</v>
      </c>
      <c r="K628">
        <v>0</v>
      </c>
      <c r="L628" t="s">
        <v>35</v>
      </c>
      <c r="M628" t="s">
        <v>35</v>
      </c>
      <c r="N628" t="s">
        <v>35</v>
      </c>
      <c r="O628" t="s">
        <v>35</v>
      </c>
      <c r="P628" t="s">
        <v>35</v>
      </c>
      <c r="Q628" t="s">
        <v>35</v>
      </c>
      <c r="R628" t="s">
        <v>35</v>
      </c>
      <c r="S628">
        <v>0</v>
      </c>
      <c r="T628">
        <v>1</v>
      </c>
      <c r="U628">
        <v>1</v>
      </c>
      <c r="V628">
        <v>0</v>
      </c>
      <c r="W628">
        <v>0</v>
      </c>
      <c r="X628">
        <v>1</v>
      </c>
      <c r="Y628">
        <v>0</v>
      </c>
      <c r="Z628">
        <v>0</v>
      </c>
      <c r="AA628">
        <v>0</v>
      </c>
      <c r="AB628">
        <v>1</v>
      </c>
      <c r="AC628">
        <v>0</v>
      </c>
      <c r="AD628">
        <v>0</v>
      </c>
      <c r="AE628">
        <v>0</v>
      </c>
    </row>
    <row r="629" spans="1:31" x14ac:dyDescent="0.2">
      <c r="A629" t="s">
        <v>243</v>
      </c>
      <c r="B629" t="s">
        <v>102</v>
      </c>
      <c r="C629">
        <v>31</v>
      </c>
      <c r="D629" t="s">
        <v>33</v>
      </c>
      <c r="E629" t="s">
        <v>39</v>
      </c>
      <c r="F629" t="s">
        <v>63</v>
      </c>
      <c r="G629">
        <v>61427</v>
      </c>
      <c r="H629">
        <v>0</v>
      </c>
      <c r="I629">
        <v>0</v>
      </c>
      <c r="J629">
        <v>0</v>
      </c>
      <c r="K629">
        <v>1</v>
      </c>
      <c r="L629" t="s">
        <v>84</v>
      </c>
      <c r="M629" t="s">
        <v>64</v>
      </c>
      <c r="N629" t="s">
        <v>90</v>
      </c>
      <c r="O629" t="s">
        <v>46</v>
      </c>
      <c r="P629" t="s">
        <v>67</v>
      </c>
      <c r="Q629" t="s">
        <v>44</v>
      </c>
      <c r="R629">
        <v>0</v>
      </c>
      <c r="S629">
        <v>1</v>
      </c>
      <c r="T629">
        <v>1</v>
      </c>
      <c r="U629">
        <v>1</v>
      </c>
      <c r="V629">
        <v>0</v>
      </c>
      <c r="W629">
        <v>0</v>
      </c>
      <c r="X629">
        <v>1</v>
      </c>
      <c r="Y629">
        <v>0</v>
      </c>
      <c r="Z629">
        <v>0</v>
      </c>
      <c r="AA629">
        <v>0</v>
      </c>
      <c r="AB629">
        <v>0</v>
      </c>
      <c r="AC629">
        <v>0</v>
      </c>
      <c r="AD629">
        <v>0</v>
      </c>
      <c r="AE629">
        <v>1</v>
      </c>
    </row>
    <row r="630" spans="1:31" x14ac:dyDescent="0.2">
      <c r="A630" t="s">
        <v>243</v>
      </c>
      <c r="B630" t="s">
        <v>102</v>
      </c>
      <c r="C630">
        <v>31</v>
      </c>
      <c r="D630" t="s">
        <v>33</v>
      </c>
      <c r="E630" t="s">
        <v>52</v>
      </c>
      <c r="F630" t="s">
        <v>53</v>
      </c>
      <c r="G630">
        <v>25295</v>
      </c>
      <c r="H630">
        <v>0</v>
      </c>
      <c r="I630">
        <v>0</v>
      </c>
      <c r="J630">
        <v>0</v>
      </c>
      <c r="K630">
        <v>1</v>
      </c>
      <c r="L630" t="s">
        <v>35</v>
      </c>
      <c r="M630" t="s">
        <v>35</v>
      </c>
      <c r="N630" t="s">
        <v>35</v>
      </c>
      <c r="O630" t="s">
        <v>35</v>
      </c>
      <c r="P630" t="s">
        <v>35</v>
      </c>
      <c r="Q630" t="s">
        <v>35</v>
      </c>
      <c r="R630" t="s">
        <v>35</v>
      </c>
      <c r="S630">
        <v>1</v>
      </c>
      <c r="T630">
        <v>1</v>
      </c>
      <c r="U630">
        <v>1</v>
      </c>
      <c r="V630">
        <v>0</v>
      </c>
      <c r="W630">
        <v>0</v>
      </c>
      <c r="X630">
        <v>1</v>
      </c>
      <c r="Y630">
        <v>0</v>
      </c>
      <c r="Z630">
        <v>0</v>
      </c>
      <c r="AA630">
        <v>0</v>
      </c>
      <c r="AB630">
        <v>0</v>
      </c>
      <c r="AC630">
        <v>0</v>
      </c>
      <c r="AD630">
        <v>0</v>
      </c>
      <c r="AE630">
        <v>1</v>
      </c>
    </row>
    <row r="631" spans="1:31" x14ac:dyDescent="0.2">
      <c r="A631" t="s">
        <v>243</v>
      </c>
      <c r="B631" t="s">
        <v>102</v>
      </c>
      <c r="C631">
        <v>31</v>
      </c>
      <c r="D631" t="s">
        <v>33</v>
      </c>
      <c r="E631" t="s">
        <v>75</v>
      </c>
      <c r="F631" t="s">
        <v>35</v>
      </c>
      <c r="G631">
        <v>351807</v>
      </c>
      <c r="H631" t="s">
        <v>244</v>
      </c>
      <c r="I631" t="s">
        <v>245</v>
      </c>
      <c r="K631" t="s">
        <v>35</v>
      </c>
      <c r="L631" t="s">
        <v>35</v>
      </c>
      <c r="M631" t="s">
        <v>35</v>
      </c>
      <c r="N631" t="s">
        <v>35</v>
      </c>
      <c r="O631" t="s">
        <v>35</v>
      </c>
      <c r="P631" t="s">
        <v>35</v>
      </c>
      <c r="Q631" t="s">
        <v>35</v>
      </c>
      <c r="R631" t="s">
        <v>35</v>
      </c>
      <c r="S631" t="s">
        <v>35</v>
      </c>
      <c r="T631" t="s">
        <v>35</v>
      </c>
      <c r="U631" t="s">
        <v>35</v>
      </c>
      <c r="V631" t="s">
        <v>35</v>
      </c>
      <c r="W631" t="s">
        <v>35</v>
      </c>
      <c r="X631" t="s">
        <v>35</v>
      </c>
      <c r="Y631" t="s">
        <v>35</v>
      </c>
      <c r="Z631" t="s">
        <v>35</v>
      </c>
      <c r="AA631" t="s">
        <v>35</v>
      </c>
      <c r="AB631" t="s">
        <v>35</v>
      </c>
      <c r="AC631" t="s">
        <v>35</v>
      </c>
      <c r="AD631" t="s">
        <v>35</v>
      </c>
      <c r="AE631" t="s">
        <v>35</v>
      </c>
    </row>
    <row r="632" spans="1:31" x14ac:dyDescent="0.2">
      <c r="A632" t="s">
        <v>246</v>
      </c>
      <c r="B632" t="s">
        <v>102</v>
      </c>
      <c r="C632">
        <v>29</v>
      </c>
      <c r="D632" t="s">
        <v>78</v>
      </c>
      <c r="E632" t="s">
        <v>34</v>
      </c>
      <c r="F632" t="s">
        <v>35</v>
      </c>
      <c r="G632">
        <v>176206</v>
      </c>
      <c r="H632" t="s">
        <v>35</v>
      </c>
      <c r="I632" t="s">
        <v>35</v>
      </c>
      <c r="J632" t="s">
        <v>35</v>
      </c>
      <c r="K632" t="s">
        <v>35</v>
      </c>
      <c r="L632" t="s">
        <v>35</v>
      </c>
      <c r="M632" t="s">
        <v>35</v>
      </c>
      <c r="N632" t="s">
        <v>35</v>
      </c>
      <c r="O632" t="s">
        <v>35</v>
      </c>
      <c r="P632" t="s">
        <v>35</v>
      </c>
      <c r="Q632" t="s">
        <v>35</v>
      </c>
      <c r="R632" t="s">
        <v>35</v>
      </c>
      <c r="S632" t="s">
        <v>35</v>
      </c>
      <c r="T632" t="s">
        <v>35</v>
      </c>
      <c r="U632" t="s">
        <v>35</v>
      </c>
      <c r="V632" t="s">
        <v>35</v>
      </c>
      <c r="W632" t="s">
        <v>35</v>
      </c>
      <c r="X632" t="s">
        <v>35</v>
      </c>
      <c r="Y632" t="s">
        <v>35</v>
      </c>
      <c r="Z632" t="s">
        <v>35</v>
      </c>
      <c r="AA632" t="s">
        <v>35</v>
      </c>
      <c r="AB632" t="s">
        <v>35</v>
      </c>
      <c r="AC632" t="s">
        <v>35</v>
      </c>
      <c r="AD632" t="s">
        <v>35</v>
      </c>
      <c r="AE632" t="s">
        <v>35</v>
      </c>
    </row>
    <row r="633" spans="1:31" x14ac:dyDescent="0.2">
      <c r="A633" t="s">
        <v>246</v>
      </c>
      <c r="B633" t="s">
        <v>102</v>
      </c>
      <c r="C633">
        <v>29</v>
      </c>
      <c r="D633" t="s">
        <v>78</v>
      </c>
      <c r="E633" t="s">
        <v>36</v>
      </c>
      <c r="F633" t="s">
        <v>37</v>
      </c>
      <c r="G633">
        <v>43383</v>
      </c>
      <c r="H633">
        <v>0</v>
      </c>
      <c r="I633">
        <v>0</v>
      </c>
      <c r="J633">
        <v>1</v>
      </c>
      <c r="K633">
        <v>0</v>
      </c>
      <c r="L633" t="s">
        <v>35</v>
      </c>
      <c r="M633" t="s">
        <v>35</v>
      </c>
      <c r="N633" t="s">
        <v>35</v>
      </c>
      <c r="O633" t="s">
        <v>35</v>
      </c>
      <c r="P633" t="s">
        <v>35</v>
      </c>
      <c r="Q633" t="s">
        <v>35</v>
      </c>
      <c r="R633" t="s">
        <v>35</v>
      </c>
      <c r="S633" t="s">
        <v>35</v>
      </c>
      <c r="T633" t="s">
        <v>35</v>
      </c>
      <c r="U633" t="s">
        <v>35</v>
      </c>
      <c r="V633" t="s">
        <v>35</v>
      </c>
      <c r="W633" t="s">
        <v>35</v>
      </c>
      <c r="X633" t="s">
        <v>35</v>
      </c>
      <c r="Y633" t="s">
        <v>35</v>
      </c>
      <c r="Z633" t="s">
        <v>35</v>
      </c>
      <c r="AA633" t="s">
        <v>35</v>
      </c>
      <c r="AB633" t="s">
        <v>35</v>
      </c>
      <c r="AC633" t="s">
        <v>35</v>
      </c>
      <c r="AD633" t="s">
        <v>35</v>
      </c>
      <c r="AE633" t="s">
        <v>35</v>
      </c>
    </row>
    <row r="634" spans="1:31" x14ac:dyDescent="0.2">
      <c r="A634" t="s">
        <v>246</v>
      </c>
      <c r="B634" t="s">
        <v>102</v>
      </c>
      <c r="C634">
        <v>29</v>
      </c>
      <c r="D634" t="s">
        <v>78</v>
      </c>
      <c r="E634" t="s">
        <v>36</v>
      </c>
      <c r="F634" t="s">
        <v>38</v>
      </c>
      <c r="G634">
        <v>37896</v>
      </c>
      <c r="H634">
        <v>0</v>
      </c>
      <c r="I634">
        <v>0</v>
      </c>
      <c r="J634">
        <v>0</v>
      </c>
      <c r="K634">
        <v>1</v>
      </c>
      <c r="L634" t="s">
        <v>35</v>
      </c>
      <c r="M634" t="s">
        <v>35</v>
      </c>
      <c r="N634" t="s">
        <v>35</v>
      </c>
      <c r="O634" t="s">
        <v>35</v>
      </c>
      <c r="P634" t="s">
        <v>35</v>
      </c>
      <c r="Q634" t="s">
        <v>35</v>
      </c>
      <c r="R634" t="s">
        <v>35</v>
      </c>
      <c r="S634" t="s">
        <v>35</v>
      </c>
      <c r="T634" t="s">
        <v>35</v>
      </c>
      <c r="U634" t="s">
        <v>35</v>
      </c>
      <c r="V634" t="s">
        <v>35</v>
      </c>
      <c r="W634" t="s">
        <v>35</v>
      </c>
      <c r="X634" t="s">
        <v>35</v>
      </c>
      <c r="Y634" t="s">
        <v>35</v>
      </c>
      <c r="Z634" t="s">
        <v>35</v>
      </c>
      <c r="AA634" t="s">
        <v>35</v>
      </c>
      <c r="AB634" t="s">
        <v>35</v>
      </c>
      <c r="AC634" t="s">
        <v>35</v>
      </c>
      <c r="AD634" t="s">
        <v>35</v>
      </c>
      <c r="AE634" t="s">
        <v>35</v>
      </c>
    </row>
    <row r="635" spans="1:31" x14ac:dyDescent="0.2">
      <c r="A635" t="s">
        <v>246</v>
      </c>
      <c r="B635" t="s">
        <v>102</v>
      </c>
      <c r="C635">
        <v>29</v>
      </c>
      <c r="D635" t="s">
        <v>78</v>
      </c>
      <c r="E635" t="s">
        <v>39</v>
      </c>
      <c r="F635" t="s">
        <v>70</v>
      </c>
      <c r="G635">
        <v>101767</v>
      </c>
      <c r="H635">
        <v>0</v>
      </c>
      <c r="I635">
        <v>0</v>
      </c>
      <c r="J635">
        <v>0</v>
      </c>
      <c r="K635">
        <v>1</v>
      </c>
      <c r="L635" t="s">
        <v>86</v>
      </c>
      <c r="M635" t="s">
        <v>72</v>
      </c>
      <c r="N635" t="s">
        <v>71</v>
      </c>
      <c r="O635" t="s">
        <v>46</v>
      </c>
      <c r="P635" t="s">
        <v>67</v>
      </c>
      <c r="Q635" t="s">
        <v>45</v>
      </c>
      <c r="R635">
        <v>0</v>
      </c>
      <c r="S635">
        <v>0</v>
      </c>
      <c r="T635">
        <v>1</v>
      </c>
      <c r="U635">
        <v>1</v>
      </c>
      <c r="V635">
        <v>1</v>
      </c>
      <c r="W635">
        <v>0</v>
      </c>
      <c r="X635">
        <v>1</v>
      </c>
      <c r="Y635">
        <v>0</v>
      </c>
      <c r="Z635">
        <v>0</v>
      </c>
      <c r="AA635">
        <v>0</v>
      </c>
      <c r="AB635">
        <v>0</v>
      </c>
      <c r="AC635">
        <v>0</v>
      </c>
      <c r="AD635">
        <v>0</v>
      </c>
      <c r="AE635">
        <v>1</v>
      </c>
    </row>
    <row r="636" spans="1:31" x14ac:dyDescent="0.2">
      <c r="A636" t="s">
        <v>246</v>
      </c>
      <c r="B636" t="s">
        <v>102</v>
      </c>
      <c r="C636">
        <v>29</v>
      </c>
      <c r="D636" t="s">
        <v>78</v>
      </c>
      <c r="E636" t="s">
        <v>39</v>
      </c>
      <c r="F636" t="s">
        <v>59</v>
      </c>
      <c r="G636">
        <v>46061</v>
      </c>
      <c r="H636">
        <v>1</v>
      </c>
      <c r="I636">
        <v>1</v>
      </c>
      <c r="J636">
        <v>1</v>
      </c>
      <c r="K636">
        <v>0</v>
      </c>
      <c r="L636" t="s">
        <v>60</v>
      </c>
      <c r="M636" t="s">
        <v>99</v>
      </c>
      <c r="N636" t="s">
        <v>62</v>
      </c>
      <c r="O636" t="s">
        <v>44</v>
      </c>
      <c r="P636" t="s">
        <v>67</v>
      </c>
      <c r="Q636" t="s">
        <v>45</v>
      </c>
      <c r="R636">
        <v>0</v>
      </c>
      <c r="S636">
        <v>1</v>
      </c>
      <c r="T636">
        <v>0</v>
      </c>
      <c r="U636">
        <v>1</v>
      </c>
      <c r="V636">
        <v>1</v>
      </c>
      <c r="W636">
        <v>0</v>
      </c>
      <c r="X636">
        <v>1</v>
      </c>
      <c r="Y636">
        <v>0</v>
      </c>
      <c r="Z636">
        <v>1</v>
      </c>
      <c r="AA636">
        <v>0</v>
      </c>
      <c r="AB636">
        <v>1</v>
      </c>
      <c r="AC636">
        <v>1</v>
      </c>
      <c r="AD636">
        <v>0</v>
      </c>
      <c r="AE636">
        <v>0</v>
      </c>
    </row>
    <row r="637" spans="1:31" x14ac:dyDescent="0.2">
      <c r="A637" t="s">
        <v>246</v>
      </c>
      <c r="B637" t="s">
        <v>102</v>
      </c>
      <c r="C637">
        <v>29</v>
      </c>
      <c r="D637" t="s">
        <v>78</v>
      </c>
      <c r="E637" t="s">
        <v>52</v>
      </c>
      <c r="F637" t="s">
        <v>53</v>
      </c>
      <c r="G637">
        <v>53968</v>
      </c>
      <c r="H637">
        <v>0</v>
      </c>
      <c r="I637">
        <v>0</v>
      </c>
      <c r="J637">
        <v>1</v>
      </c>
      <c r="K637">
        <v>0</v>
      </c>
      <c r="L637" t="s">
        <v>35</v>
      </c>
      <c r="M637" t="s">
        <v>35</v>
      </c>
      <c r="N637" t="s">
        <v>35</v>
      </c>
      <c r="O637" t="s">
        <v>35</v>
      </c>
      <c r="P637" t="s">
        <v>35</v>
      </c>
      <c r="Q637" t="s">
        <v>35</v>
      </c>
      <c r="R637" t="s">
        <v>35</v>
      </c>
      <c r="S637">
        <v>1</v>
      </c>
      <c r="T637">
        <v>0</v>
      </c>
      <c r="U637">
        <v>1</v>
      </c>
      <c r="V637">
        <v>1</v>
      </c>
      <c r="W637">
        <v>0</v>
      </c>
      <c r="X637">
        <v>1</v>
      </c>
      <c r="Y637">
        <v>0</v>
      </c>
      <c r="Z637">
        <v>1</v>
      </c>
      <c r="AA637">
        <v>0</v>
      </c>
      <c r="AB637">
        <v>1</v>
      </c>
      <c r="AC637">
        <v>1</v>
      </c>
      <c r="AD637">
        <v>0</v>
      </c>
      <c r="AE637">
        <v>0</v>
      </c>
    </row>
    <row r="638" spans="1:31" x14ac:dyDescent="0.2">
      <c r="A638" t="s">
        <v>246</v>
      </c>
      <c r="B638" t="s">
        <v>102</v>
      </c>
      <c r="C638">
        <v>29</v>
      </c>
      <c r="D638" t="s">
        <v>78</v>
      </c>
      <c r="E638" t="s">
        <v>39</v>
      </c>
      <c r="F638" t="s">
        <v>63</v>
      </c>
      <c r="G638">
        <v>46282</v>
      </c>
      <c r="H638">
        <v>0</v>
      </c>
      <c r="I638">
        <v>0</v>
      </c>
      <c r="J638">
        <v>0</v>
      </c>
      <c r="K638">
        <v>1</v>
      </c>
      <c r="L638" t="s">
        <v>64</v>
      </c>
      <c r="M638" t="s">
        <v>85</v>
      </c>
      <c r="N638" t="s">
        <v>84</v>
      </c>
      <c r="O638" t="s">
        <v>67</v>
      </c>
      <c r="P638" t="s">
        <v>51</v>
      </c>
      <c r="Q638" t="s">
        <v>46</v>
      </c>
      <c r="R638">
        <v>0</v>
      </c>
      <c r="S638">
        <v>0</v>
      </c>
      <c r="T638">
        <v>1</v>
      </c>
      <c r="U638">
        <v>1</v>
      </c>
      <c r="V638">
        <v>0</v>
      </c>
      <c r="W638">
        <v>0</v>
      </c>
      <c r="X638">
        <v>1</v>
      </c>
      <c r="Y638">
        <v>0</v>
      </c>
      <c r="Z638">
        <v>0</v>
      </c>
      <c r="AA638">
        <v>0</v>
      </c>
      <c r="AB638">
        <v>0</v>
      </c>
      <c r="AC638">
        <v>0</v>
      </c>
      <c r="AD638">
        <v>0</v>
      </c>
      <c r="AE638">
        <v>1</v>
      </c>
    </row>
    <row r="639" spans="1:31" x14ac:dyDescent="0.2">
      <c r="A639" t="s">
        <v>246</v>
      </c>
      <c r="B639" t="s">
        <v>102</v>
      </c>
      <c r="C639">
        <v>29</v>
      </c>
      <c r="D639" t="s">
        <v>78</v>
      </c>
      <c r="E639" t="s">
        <v>52</v>
      </c>
      <c r="F639" t="s">
        <v>69</v>
      </c>
      <c r="G639">
        <v>37714</v>
      </c>
      <c r="H639">
        <v>0</v>
      </c>
      <c r="I639">
        <v>0</v>
      </c>
      <c r="J639">
        <v>1</v>
      </c>
      <c r="K639">
        <v>0</v>
      </c>
      <c r="L639" t="s">
        <v>35</v>
      </c>
      <c r="M639" t="s">
        <v>35</v>
      </c>
      <c r="N639" t="s">
        <v>35</v>
      </c>
      <c r="O639" t="s">
        <v>35</v>
      </c>
      <c r="P639" t="s">
        <v>35</v>
      </c>
      <c r="Q639" t="s">
        <v>35</v>
      </c>
      <c r="R639" t="s">
        <v>35</v>
      </c>
      <c r="S639">
        <v>0</v>
      </c>
      <c r="T639">
        <v>1</v>
      </c>
      <c r="U639">
        <v>1</v>
      </c>
      <c r="V639">
        <v>0</v>
      </c>
      <c r="W639">
        <v>0</v>
      </c>
      <c r="X639">
        <v>1</v>
      </c>
      <c r="Y639">
        <v>0</v>
      </c>
      <c r="Z639">
        <v>0</v>
      </c>
      <c r="AA639">
        <v>0</v>
      </c>
      <c r="AB639">
        <v>0</v>
      </c>
      <c r="AC639">
        <v>0</v>
      </c>
      <c r="AD639">
        <v>0</v>
      </c>
      <c r="AE639">
        <v>1</v>
      </c>
    </row>
    <row r="640" spans="1:31" x14ac:dyDescent="0.2">
      <c r="A640" t="s">
        <v>246</v>
      </c>
      <c r="B640" t="s">
        <v>102</v>
      </c>
      <c r="C640">
        <v>29</v>
      </c>
      <c r="D640" t="s">
        <v>78</v>
      </c>
      <c r="E640" t="s">
        <v>39</v>
      </c>
      <c r="F640" t="s">
        <v>47</v>
      </c>
      <c r="G640">
        <v>51582</v>
      </c>
      <c r="H640">
        <v>0</v>
      </c>
      <c r="I640">
        <v>0</v>
      </c>
      <c r="J640">
        <v>0</v>
      </c>
      <c r="K640">
        <v>1</v>
      </c>
      <c r="L640" t="s">
        <v>48</v>
      </c>
      <c r="M640" t="s">
        <v>49</v>
      </c>
      <c r="N640" t="s">
        <v>79</v>
      </c>
      <c r="O640" t="s">
        <v>46</v>
      </c>
      <c r="P640" t="s">
        <v>44</v>
      </c>
      <c r="Q640" t="s">
        <v>45</v>
      </c>
      <c r="R640">
        <v>0</v>
      </c>
      <c r="S640">
        <v>1</v>
      </c>
      <c r="T640">
        <v>1</v>
      </c>
      <c r="U640">
        <v>0</v>
      </c>
      <c r="V640">
        <v>1</v>
      </c>
      <c r="W640">
        <v>0</v>
      </c>
      <c r="X640">
        <v>1</v>
      </c>
      <c r="Y640">
        <v>0</v>
      </c>
      <c r="Z640">
        <v>0</v>
      </c>
      <c r="AA640">
        <v>0</v>
      </c>
      <c r="AB640">
        <v>0</v>
      </c>
      <c r="AC640">
        <v>0</v>
      </c>
      <c r="AD640">
        <v>0</v>
      </c>
      <c r="AE640">
        <v>1</v>
      </c>
    </row>
    <row r="641" spans="1:31" x14ac:dyDescent="0.2">
      <c r="A641" t="s">
        <v>246</v>
      </c>
      <c r="B641" t="s">
        <v>102</v>
      </c>
      <c r="C641">
        <v>29</v>
      </c>
      <c r="D641" t="s">
        <v>78</v>
      </c>
      <c r="E641" t="s">
        <v>39</v>
      </c>
      <c r="F641" t="s">
        <v>54</v>
      </c>
      <c r="G641">
        <v>35810</v>
      </c>
      <c r="H641">
        <v>0</v>
      </c>
      <c r="I641">
        <v>0</v>
      </c>
      <c r="J641">
        <v>0</v>
      </c>
      <c r="K641">
        <v>1</v>
      </c>
      <c r="L641" t="s">
        <v>88</v>
      </c>
      <c r="M641" t="s">
        <v>89</v>
      </c>
      <c r="N641" t="s">
        <v>57</v>
      </c>
      <c r="O641" t="s">
        <v>51</v>
      </c>
      <c r="P641" t="s">
        <v>67</v>
      </c>
      <c r="Q641" t="s">
        <v>46</v>
      </c>
      <c r="R641">
        <v>0</v>
      </c>
      <c r="S641">
        <v>0</v>
      </c>
      <c r="T641">
        <v>1</v>
      </c>
      <c r="U641">
        <v>1</v>
      </c>
      <c r="V641">
        <v>0</v>
      </c>
      <c r="W641">
        <v>0</v>
      </c>
      <c r="X641">
        <v>1</v>
      </c>
      <c r="Y641">
        <v>0</v>
      </c>
      <c r="Z641">
        <v>0</v>
      </c>
      <c r="AA641">
        <v>0</v>
      </c>
      <c r="AB641">
        <v>0</v>
      </c>
      <c r="AC641">
        <v>0</v>
      </c>
      <c r="AD641">
        <v>0</v>
      </c>
      <c r="AE641">
        <v>1</v>
      </c>
    </row>
    <row r="642" spans="1:31" x14ac:dyDescent="0.2">
      <c r="A642" t="s">
        <v>246</v>
      </c>
      <c r="B642" t="s">
        <v>102</v>
      </c>
      <c r="C642">
        <v>29</v>
      </c>
      <c r="D642" t="s">
        <v>78</v>
      </c>
      <c r="E642" t="s">
        <v>52</v>
      </c>
      <c r="F642" t="s">
        <v>58</v>
      </c>
      <c r="G642">
        <v>27847</v>
      </c>
      <c r="H642">
        <v>1</v>
      </c>
      <c r="I642">
        <v>0</v>
      </c>
      <c r="J642">
        <v>0</v>
      </c>
      <c r="K642">
        <v>0</v>
      </c>
      <c r="L642" t="s">
        <v>35</v>
      </c>
      <c r="M642" t="s">
        <v>35</v>
      </c>
      <c r="N642" t="s">
        <v>35</v>
      </c>
      <c r="O642" t="s">
        <v>35</v>
      </c>
      <c r="P642" t="s">
        <v>35</v>
      </c>
      <c r="Q642" t="s">
        <v>35</v>
      </c>
      <c r="R642" t="s">
        <v>35</v>
      </c>
      <c r="S642">
        <v>0</v>
      </c>
      <c r="T642">
        <v>1</v>
      </c>
      <c r="U642">
        <v>1</v>
      </c>
      <c r="V642">
        <v>0</v>
      </c>
      <c r="W642">
        <v>0</v>
      </c>
      <c r="X642">
        <v>1</v>
      </c>
      <c r="Y642">
        <v>0</v>
      </c>
      <c r="Z642">
        <v>0</v>
      </c>
      <c r="AA642">
        <v>0</v>
      </c>
      <c r="AB642">
        <v>0</v>
      </c>
      <c r="AC642">
        <v>0</v>
      </c>
      <c r="AD642">
        <v>0</v>
      </c>
      <c r="AE642">
        <v>1</v>
      </c>
    </row>
    <row r="643" spans="1:31" x14ac:dyDescent="0.2">
      <c r="A643" t="s">
        <v>246</v>
      </c>
      <c r="B643" t="s">
        <v>102</v>
      </c>
      <c r="C643">
        <v>29</v>
      </c>
      <c r="D643" t="s">
        <v>78</v>
      </c>
      <c r="E643" t="s">
        <v>39</v>
      </c>
      <c r="F643" t="s">
        <v>40</v>
      </c>
      <c r="G643">
        <v>14307</v>
      </c>
      <c r="H643">
        <v>0</v>
      </c>
      <c r="I643">
        <v>0</v>
      </c>
      <c r="J643">
        <v>0</v>
      </c>
      <c r="K643">
        <v>1</v>
      </c>
      <c r="L643" t="s">
        <v>91</v>
      </c>
      <c r="M643" t="s">
        <v>42</v>
      </c>
      <c r="N643" t="s">
        <v>81</v>
      </c>
      <c r="O643" t="s">
        <v>51</v>
      </c>
      <c r="P643" t="s">
        <v>45</v>
      </c>
      <c r="Q643" t="s">
        <v>67</v>
      </c>
      <c r="R643">
        <v>0</v>
      </c>
      <c r="S643">
        <v>0</v>
      </c>
      <c r="T643">
        <v>0</v>
      </c>
      <c r="U643">
        <v>1</v>
      </c>
      <c r="V643">
        <v>1</v>
      </c>
      <c r="W643">
        <v>0</v>
      </c>
      <c r="X643">
        <v>1</v>
      </c>
      <c r="Y643">
        <v>0</v>
      </c>
      <c r="Z643">
        <v>0</v>
      </c>
      <c r="AA643">
        <v>0</v>
      </c>
      <c r="AB643">
        <v>0</v>
      </c>
      <c r="AC643">
        <v>0</v>
      </c>
      <c r="AD643">
        <v>0</v>
      </c>
      <c r="AE643">
        <v>1</v>
      </c>
    </row>
    <row r="644" spans="1:31" x14ac:dyDescent="0.2">
      <c r="A644" t="s">
        <v>246</v>
      </c>
      <c r="B644" t="s">
        <v>102</v>
      </c>
      <c r="C644">
        <v>29</v>
      </c>
      <c r="D644" t="s">
        <v>78</v>
      </c>
      <c r="E644" t="s">
        <v>52</v>
      </c>
      <c r="F644" t="s">
        <v>74</v>
      </c>
      <c r="G644">
        <v>28998</v>
      </c>
      <c r="H644">
        <v>1</v>
      </c>
      <c r="I644">
        <v>0</v>
      </c>
      <c r="J644">
        <v>0</v>
      </c>
      <c r="K644">
        <v>0</v>
      </c>
      <c r="L644" t="s">
        <v>35</v>
      </c>
      <c r="M644" t="s">
        <v>35</v>
      </c>
      <c r="N644" t="s">
        <v>35</v>
      </c>
      <c r="O644" t="s">
        <v>35</v>
      </c>
      <c r="P644" t="s">
        <v>35</v>
      </c>
      <c r="Q644" t="s">
        <v>35</v>
      </c>
      <c r="R644" t="s">
        <v>35</v>
      </c>
      <c r="S644">
        <v>0</v>
      </c>
      <c r="T644">
        <v>0</v>
      </c>
      <c r="U644">
        <v>1</v>
      </c>
      <c r="V644">
        <v>1</v>
      </c>
      <c r="W644">
        <v>0</v>
      </c>
      <c r="X644">
        <v>1</v>
      </c>
      <c r="Y644">
        <v>0</v>
      </c>
      <c r="Z644">
        <v>0</v>
      </c>
      <c r="AA644">
        <v>0</v>
      </c>
      <c r="AB644">
        <v>0</v>
      </c>
      <c r="AC644">
        <v>0</v>
      </c>
      <c r="AD644">
        <v>0</v>
      </c>
      <c r="AE644">
        <v>1</v>
      </c>
    </row>
    <row r="645" spans="1:31" x14ac:dyDescent="0.2">
      <c r="A645" t="s">
        <v>246</v>
      </c>
      <c r="B645" t="s">
        <v>102</v>
      </c>
      <c r="C645">
        <v>29</v>
      </c>
      <c r="D645" t="s">
        <v>78</v>
      </c>
      <c r="E645" t="s">
        <v>75</v>
      </c>
      <c r="F645" t="s">
        <v>35</v>
      </c>
      <c r="G645">
        <v>77872</v>
      </c>
      <c r="H645" t="s">
        <v>247</v>
      </c>
      <c r="I645" t="s">
        <v>248</v>
      </c>
      <c r="J645" t="s">
        <v>181</v>
      </c>
      <c r="K645" t="s">
        <v>35</v>
      </c>
      <c r="L645" t="s">
        <v>35</v>
      </c>
      <c r="M645" t="s">
        <v>35</v>
      </c>
      <c r="N645" t="s">
        <v>35</v>
      </c>
      <c r="O645" t="s">
        <v>35</v>
      </c>
      <c r="P645" t="s">
        <v>35</v>
      </c>
      <c r="Q645" t="s">
        <v>35</v>
      </c>
      <c r="R645" t="s">
        <v>35</v>
      </c>
      <c r="S645" t="s">
        <v>35</v>
      </c>
      <c r="T645" t="s">
        <v>35</v>
      </c>
      <c r="U645" t="s">
        <v>35</v>
      </c>
      <c r="V645" t="s">
        <v>35</v>
      </c>
      <c r="W645" t="s">
        <v>35</v>
      </c>
      <c r="X645" t="s">
        <v>35</v>
      </c>
      <c r="Y645" t="s">
        <v>35</v>
      </c>
      <c r="Z645" t="s">
        <v>35</v>
      </c>
      <c r="AA645" t="s">
        <v>35</v>
      </c>
      <c r="AB645" t="s">
        <v>35</v>
      </c>
      <c r="AC645" t="s">
        <v>35</v>
      </c>
      <c r="AD645" t="s">
        <v>35</v>
      </c>
      <c r="AE645" t="s">
        <v>35</v>
      </c>
    </row>
    <row r="646" spans="1:31" x14ac:dyDescent="0.2">
      <c r="A646" t="s">
        <v>249</v>
      </c>
      <c r="B646" t="s">
        <v>32</v>
      </c>
      <c r="C646">
        <v>35</v>
      </c>
      <c r="D646" t="s">
        <v>78</v>
      </c>
      <c r="E646" t="s">
        <v>34</v>
      </c>
      <c r="F646" t="s">
        <v>35</v>
      </c>
      <c r="G646">
        <v>41964</v>
      </c>
      <c r="H646" t="s">
        <v>35</v>
      </c>
      <c r="I646" t="s">
        <v>35</v>
      </c>
      <c r="J646" t="s">
        <v>35</v>
      </c>
      <c r="K646" t="s">
        <v>35</v>
      </c>
      <c r="L646" t="s">
        <v>35</v>
      </c>
      <c r="M646" t="s">
        <v>35</v>
      </c>
      <c r="N646" t="s">
        <v>35</v>
      </c>
      <c r="O646" t="s">
        <v>35</v>
      </c>
      <c r="P646" t="s">
        <v>35</v>
      </c>
      <c r="Q646" t="s">
        <v>35</v>
      </c>
      <c r="R646" t="s">
        <v>35</v>
      </c>
      <c r="S646" t="s">
        <v>35</v>
      </c>
      <c r="T646" t="s">
        <v>35</v>
      </c>
      <c r="U646" t="s">
        <v>35</v>
      </c>
      <c r="V646" t="s">
        <v>35</v>
      </c>
      <c r="W646" t="s">
        <v>35</v>
      </c>
      <c r="X646" t="s">
        <v>35</v>
      </c>
      <c r="Y646" t="s">
        <v>35</v>
      </c>
      <c r="Z646" t="s">
        <v>35</v>
      </c>
      <c r="AA646" t="s">
        <v>35</v>
      </c>
      <c r="AB646" t="s">
        <v>35</v>
      </c>
      <c r="AC646" t="s">
        <v>35</v>
      </c>
      <c r="AD646" t="s">
        <v>35</v>
      </c>
      <c r="AE646" t="s">
        <v>35</v>
      </c>
    </row>
    <row r="647" spans="1:31" x14ac:dyDescent="0.2">
      <c r="A647" t="s">
        <v>249</v>
      </c>
      <c r="B647" t="s">
        <v>32</v>
      </c>
      <c r="C647">
        <v>35</v>
      </c>
      <c r="D647" t="s">
        <v>78</v>
      </c>
      <c r="E647" t="s">
        <v>36</v>
      </c>
      <c r="F647" t="s">
        <v>37</v>
      </c>
      <c r="G647">
        <v>52040</v>
      </c>
      <c r="H647">
        <v>0</v>
      </c>
      <c r="I647">
        <v>0</v>
      </c>
      <c r="J647">
        <v>1</v>
      </c>
      <c r="K647">
        <v>0</v>
      </c>
      <c r="L647" t="s">
        <v>35</v>
      </c>
      <c r="M647" t="s">
        <v>35</v>
      </c>
      <c r="N647" t="s">
        <v>35</v>
      </c>
      <c r="O647" t="s">
        <v>35</v>
      </c>
      <c r="P647" t="s">
        <v>35</v>
      </c>
      <c r="Q647" t="s">
        <v>35</v>
      </c>
      <c r="R647" t="s">
        <v>35</v>
      </c>
      <c r="S647" t="s">
        <v>35</v>
      </c>
      <c r="T647" t="s">
        <v>35</v>
      </c>
      <c r="U647" t="s">
        <v>35</v>
      </c>
      <c r="V647" t="s">
        <v>35</v>
      </c>
      <c r="W647" t="s">
        <v>35</v>
      </c>
      <c r="X647" t="s">
        <v>35</v>
      </c>
      <c r="Y647" t="s">
        <v>35</v>
      </c>
      <c r="Z647" t="s">
        <v>35</v>
      </c>
      <c r="AA647" t="s">
        <v>35</v>
      </c>
      <c r="AB647" t="s">
        <v>35</v>
      </c>
      <c r="AC647" t="s">
        <v>35</v>
      </c>
      <c r="AD647" t="s">
        <v>35</v>
      </c>
      <c r="AE647" t="s">
        <v>35</v>
      </c>
    </row>
    <row r="648" spans="1:31" x14ac:dyDescent="0.2">
      <c r="A648" t="s">
        <v>249</v>
      </c>
      <c r="B648" t="s">
        <v>32</v>
      </c>
      <c r="C648">
        <v>35</v>
      </c>
      <c r="D648" t="s">
        <v>78</v>
      </c>
      <c r="E648" t="s">
        <v>36</v>
      </c>
      <c r="F648" t="s">
        <v>38</v>
      </c>
      <c r="G648">
        <v>53865</v>
      </c>
      <c r="H648">
        <v>0</v>
      </c>
      <c r="I648">
        <v>0</v>
      </c>
      <c r="J648">
        <v>1</v>
      </c>
      <c r="K648">
        <v>0</v>
      </c>
      <c r="L648" t="s">
        <v>35</v>
      </c>
      <c r="M648" t="s">
        <v>35</v>
      </c>
      <c r="N648" t="s">
        <v>35</v>
      </c>
      <c r="O648" t="s">
        <v>35</v>
      </c>
      <c r="P648" t="s">
        <v>35</v>
      </c>
      <c r="Q648" t="s">
        <v>35</v>
      </c>
      <c r="R648" t="s">
        <v>35</v>
      </c>
      <c r="S648" t="s">
        <v>35</v>
      </c>
      <c r="T648" t="s">
        <v>35</v>
      </c>
      <c r="U648" t="s">
        <v>35</v>
      </c>
      <c r="V648" t="s">
        <v>35</v>
      </c>
      <c r="W648" t="s">
        <v>35</v>
      </c>
      <c r="X648" t="s">
        <v>35</v>
      </c>
      <c r="Y648" t="s">
        <v>35</v>
      </c>
      <c r="Z648" t="s">
        <v>35</v>
      </c>
      <c r="AA648" t="s">
        <v>35</v>
      </c>
      <c r="AB648" t="s">
        <v>35</v>
      </c>
      <c r="AC648" t="s">
        <v>35</v>
      </c>
      <c r="AD648" t="s">
        <v>35</v>
      </c>
      <c r="AE648" t="s">
        <v>35</v>
      </c>
    </row>
    <row r="649" spans="1:31" x14ac:dyDescent="0.2">
      <c r="A649" t="s">
        <v>249</v>
      </c>
      <c r="B649" t="s">
        <v>32</v>
      </c>
      <c r="C649">
        <v>35</v>
      </c>
      <c r="D649" t="s">
        <v>78</v>
      </c>
      <c r="E649" t="s">
        <v>39</v>
      </c>
      <c r="F649" t="s">
        <v>47</v>
      </c>
      <c r="G649">
        <v>34303</v>
      </c>
      <c r="H649">
        <v>1</v>
      </c>
      <c r="I649">
        <v>0</v>
      </c>
      <c r="J649">
        <v>0</v>
      </c>
      <c r="K649">
        <v>0</v>
      </c>
      <c r="L649" t="s">
        <v>48</v>
      </c>
      <c r="M649" t="s">
        <v>79</v>
      </c>
      <c r="N649" t="s">
        <v>49</v>
      </c>
      <c r="O649" t="s">
        <v>46</v>
      </c>
      <c r="P649" t="s">
        <v>45</v>
      </c>
      <c r="Q649" t="s">
        <v>44</v>
      </c>
      <c r="R649">
        <v>0</v>
      </c>
      <c r="S649">
        <v>1</v>
      </c>
      <c r="T649">
        <v>1</v>
      </c>
      <c r="U649">
        <v>0</v>
      </c>
      <c r="V649">
        <v>1</v>
      </c>
      <c r="W649">
        <v>0</v>
      </c>
      <c r="X649">
        <v>1</v>
      </c>
      <c r="Y649">
        <v>0</v>
      </c>
      <c r="Z649">
        <v>0</v>
      </c>
      <c r="AA649">
        <v>1</v>
      </c>
      <c r="AB649">
        <v>0</v>
      </c>
      <c r="AC649">
        <v>0</v>
      </c>
      <c r="AD649">
        <v>0</v>
      </c>
      <c r="AE649">
        <v>0</v>
      </c>
    </row>
    <row r="650" spans="1:31" x14ac:dyDescent="0.2">
      <c r="A650" t="s">
        <v>249</v>
      </c>
      <c r="B650" t="s">
        <v>32</v>
      </c>
      <c r="C650">
        <v>35</v>
      </c>
      <c r="D650" t="s">
        <v>78</v>
      </c>
      <c r="E650" t="s">
        <v>39</v>
      </c>
      <c r="F650" t="s">
        <v>63</v>
      </c>
      <c r="G650">
        <v>49713</v>
      </c>
      <c r="H650">
        <v>0</v>
      </c>
      <c r="I650">
        <v>1</v>
      </c>
      <c r="J650">
        <v>0</v>
      </c>
      <c r="K650">
        <v>0</v>
      </c>
      <c r="L650" t="s">
        <v>66</v>
      </c>
      <c r="M650" t="s">
        <v>64</v>
      </c>
      <c r="N650" t="s">
        <v>90</v>
      </c>
      <c r="O650" t="s">
        <v>45</v>
      </c>
      <c r="P650" t="s">
        <v>67</v>
      </c>
      <c r="Q650" t="s">
        <v>44</v>
      </c>
      <c r="R650">
        <v>0</v>
      </c>
      <c r="S650">
        <v>1</v>
      </c>
      <c r="T650">
        <v>0</v>
      </c>
      <c r="U650">
        <v>1</v>
      </c>
      <c r="V650">
        <v>1</v>
      </c>
      <c r="W650">
        <v>0</v>
      </c>
      <c r="X650">
        <v>1</v>
      </c>
      <c r="Y650">
        <v>0</v>
      </c>
      <c r="Z650">
        <v>0</v>
      </c>
      <c r="AA650">
        <v>0</v>
      </c>
      <c r="AB650">
        <v>1</v>
      </c>
      <c r="AC650">
        <v>0</v>
      </c>
      <c r="AD650">
        <v>0</v>
      </c>
      <c r="AE650">
        <v>0</v>
      </c>
    </row>
    <row r="651" spans="1:31" x14ac:dyDescent="0.2">
      <c r="A651" t="s">
        <v>249</v>
      </c>
      <c r="B651" t="s">
        <v>32</v>
      </c>
      <c r="C651">
        <v>35</v>
      </c>
      <c r="D651" t="s">
        <v>78</v>
      </c>
      <c r="E651" t="s">
        <v>52</v>
      </c>
      <c r="F651" t="s">
        <v>74</v>
      </c>
      <c r="G651">
        <v>28213</v>
      </c>
      <c r="H651">
        <v>1</v>
      </c>
      <c r="I651">
        <v>0</v>
      </c>
      <c r="J651">
        <v>0</v>
      </c>
      <c r="K651">
        <v>0</v>
      </c>
      <c r="L651" t="s">
        <v>35</v>
      </c>
      <c r="M651" t="s">
        <v>35</v>
      </c>
      <c r="N651" t="s">
        <v>35</v>
      </c>
      <c r="O651" t="s">
        <v>35</v>
      </c>
      <c r="P651" t="s">
        <v>35</v>
      </c>
      <c r="Q651" t="s">
        <v>35</v>
      </c>
      <c r="R651" t="s">
        <v>35</v>
      </c>
      <c r="S651">
        <v>1</v>
      </c>
      <c r="T651">
        <v>0</v>
      </c>
      <c r="U651">
        <v>1</v>
      </c>
      <c r="V651">
        <v>1</v>
      </c>
      <c r="W651">
        <v>0</v>
      </c>
      <c r="X651">
        <v>1</v>
      </c>
      <c r="Y651">
        <v>0</v>
      </c>
      <c r="Z651">
        <v>0</v>
      </c>
      <c r="AA651">
        <v>0</v>
      </c>
      <c r="AB651">
        <v>1</v>
      </c>
      <c r="AC651">
        <v>0</v>
      </c>
      <c r="AD651">
        <v>0</v>
      </c>
      <c r="AE651">
        <v>0</v>
      </c>
    </row>
    <row r="652" spans="1:31" x14ac:dyDescent="0.2">
      <c r="A652" t="s">
        <v>249</v>
      </c>
      <c r="B652" t="s">
        <v>32</v>
      </c>
      <c r="C652">
        <v>35</v>
      </c>
      <c r="D652" t="s">
        <v>78</v>
      </c>
      <c r="E652" t="s">
        <v>39</v>
      </c>
      <c r="F652" t="s">
        <v>54</v>
      </c>
      <c r="G652">
        <v>36757</v>
      </c>
      <c r="H652">
        <v>0</v>
      </c>
      <c r="I652">
        <v>0</v>
      </c>
      <c r="J652">
        <v>1</v>
      </c>
      <c r="K652">
        <v>0</v>
      </c>
      <c r="L652" t="s">
        <v>56</v>
      </c>
      <c r="M652" t="s">
        <v>57</v>
      </c>
      <c r="N652" t="s">
        <v>89</v>
      </c>
      <c r="O652" t="s">
        <v>45</v>
      </c>
      <c r="P652" t="s">
        <v>46</v>
      </c>
      <c r="Q652" t="s">
        <v>67</v>
      </c>
      <c r="R652">
        <v>0</v>
      </c>
      <c r="S652">
        <v>0</v>
      </c>
      <c r="T652">
        <v>1</v>
      </c>
      <c r="U652">
        <v>1</v>
      </c>
      <c r="V652">
        <v>1</v>
      </c>
      <c r="W652">
        <v>0</v>
      </c>
      <c r="X652">
        <v>1</v>
      </c>
      <c r="Y652">
        <v>0</v>
      </c>
      <c r="Z652">
        <v>0</v>
      </c>
      <c r="AA652">
        <v>0</v>
      </c>
      <c r="AB652">
        <v>1</v>
      </c>
      <c r="AC652">
        <v>0</v>
      </c>
      <c r="AD652">
        <v>0</v>
      </c>
      <c r="AE652">
        <v>0</v>
      </c>
    </row>
    <row r="653" spans="1:31" x14ac:dyDescent="0.2">
      <c r="A653" t="s">
        <v>249</v>
      </c>
      <c r="B653" t="s">
        <v>32</v>
      </c>
      <c r="C653">
        <v>35</v>
      </c>
      <c r="D653" t="s">
        <v>78</v>
      </c>
      <c r="E653" t="s">
        <v>52</v>
      </c>
      <c r="F653" t="s">
        <v>58</v>
      </c>
      <c r="G653">
        <v>36610</v>
      </c>
      <c r="H653">
        <v>1</v>
      </c>
      <c r="I653">
        <v>0</v>
      </c>
      <c r="J653">
        <v>0</v>
      </c>
      <c r="K653">
        <v>0</v>
      </c>
      <c r="L653" t="s">
        <v>35</v>
      </c>
      <c r="M653" t="s">
        <v>35</v>
      </c>
      <c r="N653" t="s">
        <v>35</v>
      </c>
      <c r="O653" t="s">
        <v>35</v>
      </c>
      <c r="P653" t="s">
        <v>35</v>
      </c>
      <c r="Q653" t="s">
        <v>35</v>
      </c>
      <c r="R653" t="s">
        <v>35</v>
      </c>
      <c r="S653">
        <v>0</v>
      </c>
      <c r="T653">
        <v>1</v>
      </c>
      <c r="U653">
        <v>1</v>
      </c>
      <c r="V653">
        <v>1</v>
      </c>
      <c r="W653">
        <v>0</v>
      </c>
      <c r="X653">
        <v>1</v>
      </c>
      <c r="Y653">
        <v>0</v>
      </c>
      <c r="Z653">
        <v>0</v>
      </c>
      <c r="AA653">
        <v>0</v>
      </c>
      <c r="AB653">
        <v>1</v>
      </c>
      <c r="AC653">
        <v>0</v>
      </c>
      <c r="AD653">
        <v>0</v>
      </c>
      <c r="AE653">
        <v>0</v>
      </c>
    </row>
    <row r="654" spans="1:31" x14ac:dyDescent="0.2">
      <c r="A654" t="s">
        <v>249</v>
      </c>
      <c r="B654" t="s">
        <v>32</v>
      </c>
      <c r="C654">
        <v>35</v>
      </c>
      <c r="D654" t="s">
        <v>78</v>
      </c>
      <c r="E654" t="s">
        <v>39</v>
      </c>
      <c r="F654" t="s">
        <v>70</v>
      </c>
      <c r="G654">
        <v>50767</v>
      </c>
      <c r="H654">
        <v>0</v>
      </c>
      <c r="I654">
        <v>1</v>
      </c>
      <c r="J654">
        <v>0</v>
      </c>
      <c r="K654">
        <v>0</v>
      </c>
      <c r="L654" t="s">
        <v>73</v>
      </c>
      <c r="M654" t="s">
        <v>93</v>
      </c>
      <c r="N654" t="s">
        <v>71</v>
      </c>
      <c r="O654" t="s">
        <v>44</v>
      </c>
      <c r="P654" t="s">
        <v>68</v>
      </c>
      <c r="Q654" t="s">
        <v>45</v>
      </c>
      <c r="R654">
        <v>1</v>
      </c>
      <c r="S654">
        <v>1</v>
      </c>
      <c r="T654">
        <v>0</v>
      </c>
      <c r="U654">
        <v>0</v>
      </c>
      <c r="V654">
        <v>1</v>
      </c>
      <c r="W654">
        <v>0</v>
      </c>
      <c r="X654">
        <v>1</v>
      </c>
      <c r="Y654">
        <v>1</v>
      </c>
      <c r="Z654">
        <v>0</v>
      </c>
      <c r="AA654">
        <v>0</v>
      </c>
      <c r="AB654">
        <v>0</v>
      </c>
      <c r="AC654">
        <v>0</v>
      </c>
      <c r="AD654">
        <v>0</v>
      </c>
      <c r="AE654">
        <v>0</v>
      </c>
    </row>
    <row r="655" spans="1:31" x14ac:dyDescent="0.2">
      <c r="A655" t="s">
        <v>249</v>
      </c>
      <c r="B655" t="s">
        <v>32</v>
      </c>
      <c r="C655">
        <v>35</v>
      </c>
      <c r="D655" t="s">
        <v>78</v>
      </c>
      <c r="E655" t="s">
        <v>39</v>
      </c>
      <c r="F655" t="s">
        <v>40</v>
      </c>
      <c r="G655">
        <v>9098</v>
      </c>
      <c r="H655">
        <v>1</v>
      </c>
      <c r="I655">
        <v>0</v>
      </c>
      <c r="J655">
        <v>0</v>
      </c>
      <c r="K655">
        <v>0</v>
      </c>
      <c r="L655" t="s">
        <v>81</v>
      </c>
      <c r="M655" t="s">
        <v>91</v>
      </c>
      <c r="N655" t="s">
        <v>43</v>
      </c>
      <c r="O655" t="s">
        <v>67</v>
      </c>
      <c r="P655" t="s">
        <v>51</v>
      </c>
      <c r="Q655" t="s">
        <v>46</v>
      </c>
      <c r="R655">
        <v>0</v>
      </c>
      <c r="S655">
        <v>0</v>
      </c>
      <c r="T655">
        <v>1</v>
      </c>
      <c r="U655">
        <v>1</v>
      </c>
      <c r="V655">
        <v>0</v>
      </c>
      <c r="W655">
        <v>0</v>
      </c>
      <c r="X655">
        <v>1</v>
      </c>
      <c r="Y655">
        <v>0</v>
      </c>
      <c r="Z655">
        <v>0</v>
      </c>
      <c r="AA655">
        <v>0</v>
      </c>
      <c r="AB655">
        <v>1</v>
      </c>
      <c r="AC655">
        <v>0</v>
      </c>
      <c r="AD655">
        <v>0</v>
      </c>
      <c r="AE655">
        <v>0</v>
      </c>
    </row>
    <row r="656" spans="1:31" x14ac:dyDescent="0.2">
      <c r="A656" t="s">
        <v>249</v>
      </c>
      <c r="B656" t="s">
        <v>32</v>
      </c>
      <c r="C656">
        <v>35</v>
      </c>
      <c r="D656" t="s">
        <v>78</v>
      </c>
      <c r="E656" t="s">
        <v>52</v>
      </c>
      <c r="F656" t="s">
        <v>53</v>
      </c>
      <c r="G656">
        <v>23243</v>
      </c>
      <c r="H656">
        <v>0</v>
      </c>
      <c r="I656">
        <v>0</v>
      </c>
      <c r="J656">
        <v>1</v>
      </c>
      <c r="K656">
        <v>0</v>
      </c>
      <c r="L656" t="s">
        <v>35</v>
      </c>
      <c r="M656" t="s">
        <v>35</v>
      </c>
      <c r="N656" t="s">
        <v>35</v>
      </c>
      <c r="O656" t="s">
        <v>35</v>
      </c>
      <c r="P656" t="s">
        <v>35</v>
      </c>
      <c r="Q656" t="s">
        <v>35</v>
      </c>
      <c r="R656" t="s">
        <v>35</v>
      </c>
      <c r="S656">
        <v>0</v>
      </c>
      <c r="T656">
        <v>1</v>
      </c>
      <c r="U656">
        <v>1</v>
      </c>
      <c r="V656">
        <v>0</v>
      </c>
      <c r="W656">
        <v>0</v>
      </c>
      <c r="X656">
        <v>1</v>
      </c>
      <c r="Y656">
        <v>0</v>
      </c>
      <c r="Z656">
        <v>0</v>
      </c>
      <c r="AA656">
        <v>0</v>
      </c>
      <c r="AB656">
        <v>1</v>
      </c>
      <c r="AC656">
        <v>0</v>
      </c>
      <c r="AD656">
        <v>0</v>
      </c>
      <c r="AE656">
        <v>0</v>
      </c>
    </row>
    <row r="657" spans="1:31" x14ac:dyDescent="0.2">
      <c r="A657" t="s">
        <v>249</v>
      </c>
      <c r="B657" t="s">
        <v>32</v>
      </c>
      <c r="C657">
        <v>35</v>
      </c>
      <c r="D657" t="s">
        <v>78</v>
      </c>
      <c r="E657" t="s">
        <v>39</v>
      </c>
      <c r="F657" t="s">
        <v>59</v>
      </c>
      <c r="G657">
        <v>4840</v>
      </c>
      <c r="H657">
        <v>0</v>
      </c>
      <c r="I657">
        <v>1</v>
      </c>
      <c r="J657">
        <v>0</v>
      </c>
      <c r="K657">
        <v>0</v>
      </c>
      <c r="L657" t="s">
        <v>94</v>
      </c>
      <c r="M657" t="s">
        <v>60</v>
      </c>
      <c r="N657" t="s">
        <v>61</v>
      </c>
      <c r="O657" t="s">
        <v>68</v>
      </c>
      <c r="P657" t="s">
        <v>44</v>
      </c>
      <c r="Q657" t="s">
        <v>46</v>
      </c>
      <c r="R657">
        <v>1</v>
      </c>
      <c r="S657">
        <v>1</v>
      </c>
      <c r="T657">
        <v>1</v>
      </c>
      <c r="U657">
        <v>0</v>
      </c>
      <c r="V657">
        <v>0</v>
      </c>
      <c r="W657">
        <v>0</v>
      </c>
      <c r="X657">
        <v>1</v>
      </c>
      <c r="Y657">
        <v>0</v>
      </c>
      <c r="Z657">
        <v>1</v>
      </c>
      <c r="AA657">
        <v>0</v>
      </c>
      <c r="AB657">
        <v>0</v>
      </c>
      <c r="AC657">
        <v>0</v>
      </c>
      <c r="AD657">
        <v>0</v>
      </c>
      <c r="AE657">
        <v>0</v>
      </c>
    </row>
    <row r="658" spans="1:31" x14ac:dyDescent="0.2">
      <c r="A658" t="s">
        <v>249</v>
      </c>
      <c r="B658" t="s">
        <v>32</v>
      </c>
      <c r="C658">
        <v>35</v>
      </c>
      <c r="D658" t="s">
        <v>78</v>
      </c>
      <c r="E658" t="s">
        <v>52</v>
      </c>
      <c r="F658" t="s">
        <v>69</v>
      </c>
      <c r="G658">
        <v>25275</v>
      </c>
      <c r="H658">
        <v>0</v>
      </c>
      <c r="I658">
        <v>1</v>
      </c>
      <c r="J658">
        <v>0</v>
      </c>
      <c r="K658">
        <v>0</v>
      </c>
      <c r="L658" t="s">
        <v>35</v>
      </c>
      <c r="M658" t="s">
        <v>35</v>
      </c>
      <c r="N658" t="s">
        <v>35</v>
      </c>
      <c r="O658" t="s">
        <v>35</v>
      </c>
      <c r="P658" t="s">
        <v>35</v>
      </c>
      <c r="Q658" t="s">
        <v>35</v>
      </c>
      <c r="R658" t="s">
        <v>35</v>
      </c>
      <c r="S658">
        <v>1</v>
      </c>
      <c r="T658">
        <v>1</v>
      </c>
      <c r="U658">
        <v>0</v>
      </c>
      <c r="V658">
        <v>0</v>
      </c>
      <c r="W658">
        <v>0</v>
      </c>
      <c r="X658">
        <v>1</v>
      </c>
      <c r="Y658">
        <v>0</v>
      </c>
      <c r="Z658">
        <v>1</v>
      </c>
      <c r="AA658">
        <v>0</v>
      </c>
      <c r="AB658">
        <v>0</v>
      </c>
      <c r="AC658">
        <v>0</v>
      </c>
      <c r="AD658">
        <v>0</v>
      </c>
      <c r="AE658">
        <v>0</v>
      </c>
    </row>
    <row r="659" spans="1:31" x14ac:dyDescent="0.2">
      <c r="A659" t="s">
        <v>249</v>
      </c>
      <c r="B659" t="s">
        <v>32</v>
      </c>
      <c r="C659">
        <v>35</v>
      </c>
      <c r="D659" t="s">
        <v>78</v>
      </c>
      <c r="E659" t="s">
        <v>75</v>
      </c>
      <c r="F659" t="s">
        <v>35</v>
      </c>
      <c r="G659">
        <v>95765</v>
      </c>
      <c r="H659" t="s">
        <v>250</v>
      </c>
      <c r="I659" t="s">
        <v>116</v>
      </c>
      <c r="J659" t="s">
        <v>251</v>
      </c>
      <c r="K659" t="s">
        <v>35</v>
      </c>
      <c r="L659" t="s">
        <v>35</v>
      </c>
      <c r="M659" t="s">
        <v>35</v>
      </c>
      <c r="N659" t="s">
        <v>35</v>
      </c>
      <c r="O659" t="s">
        <v>35</v>
      </c>
      <c r="P659" t="s">
        <v>35</v>
      </c>
      <c r="Q659" t="s">
        <v>35</v>
      </c>
      <c r="R659" t="s">
        <v>35</v>
      </c>
      <c r="S659" t="s">
        <v>35</v>
      </c>
      <c r="T659" t="s">
        <v>35</v>
      </c>
      <c r="U659" t="s">
        <v>35</v>
      </c>
      <c r="V659" t="s">
        <v>35</v>
      </c>
      <c r="W659" t="s">
        <v>35</v>
      </c>
      <c r="X659" t="s">
        <v>35</v>
      </c>
      <c r="Y659" t="s">
        <v>35</v>
      </c>
      <c r="Z659" t="s">
        <v>35</v>
      </c>
      <c r="AA659" t="s">
        <v>35</v>
      </c>
      <c r="AB659" t="s">
        <v>35</v>
      </c>
      <c r="AC659" t="s">
        <v>35</v>
      </c>
      <c r="AD659" t="s">
        <v>35</v>
      </c>
      <c r="AE659" t="s">
        <v>35</v>
      </c>
    </row>
    <row r="660" spans="1:31" x14ac:dyDescent="0.2">
      <c r="A660" t="s">
        <v>252</v>
      </c>
      <c r="B660" t="s">
        <v>107</v>
      </c>
      <c r="C660">
        <v>28</v>
      </c>
      <c r="D660" t="s">
        <v>33</v>
      </c>
      <c r="E660" t="s">
        <v>34</v>
      </c>
      <c r="F660" t="s">
        <v>35</v>
      </c>
      <c r="G660">
        <v>17529</v>
      </c>
      <c r="H660" t="s">
        <v>35</v>
      </c>
      <c r="I660" t="s">
        <v>35</v>
      </c>
      <c r="J660" t="s">
        <v>35</v>
      </c>
      <c r="K660" t="s">
        <v>35</v>
      </c>
      <c r="L660" t="s">
        <v>35</v>
      </c>
      <c r="M660" t="s">
        <v>35</v>
      </c>
      <c r="N660" t="s">
        <v>35</v>
      </c>
      <c r="O660" t="s">
        <v>35</v>
      </c>
      <c r="P660" t="s">
        <v>35</v>
      </c>
      <c r="Q660" t="s">
        <v>35</v>
      </c>
      <c r="R660" t="s">
        <v>35</v>
      </c>
      <c r="S660" t="s">
        <v>35</v>
      </c>
      <c r="T660" t="s">
        <v>35</v>
      </c>
      <c r="U660" t="s">
        <v>35</v>
      </c>
      <c r="V660" t="s">
        <v>35</v>
      </c>
      <c r="W660" t="s">
        <v>35</v>
      </c>
      <c r="X660" t="s">
        <v>35</v>
      </c>
      <c r="Y660" t="s">
        <v>35</v>
      </c>
      <c r="Z660" t="s">
        <v>35</v>
      </c>
      <c r="AA660" t="s">
        <v>35</v>
      </c>
      <c r="AB660" t="s">
        <v>35</v>
      </c>
      <c r="AC660" t="s">
        <v>35</v>
      </c>
      <c r="AD660" t="s">
        <v>35</v>
      </c>
      <c r="AE660" t="s">
        <v>35</v>
      </c>
    </row>
    <row r="661" spans="1:31" x14ac:dyDescent="0.2">
      <c r="A661" t="s">
        <v>252</v>
      </c>
      <c r="B661" t="s">
        <v>107</v>
      </c>
      <c r="C661">
        <v>28</v>
      </c>
      <c r="D661" t="s">
        <v>33</v>
      </c>
      <c r="E661" t="s">
        <v>36</v>
      </c>
      <c r="F661" t="s">
        <v>38</v>
      </c>
      <c r="G661">
        <v>45221</v>
      </c>
      <c r="H661">
        <v>0</v>
      </c>
      <c r="I661">
        <v>1</v>
      </c>
      <c r="J661">
        <v>0</v>
      </c>
      <c r="K661">
        <v>0</v>
      </c>
      <c r="L661" t="s">
        <v>35</v>
      </c>
      <c r="M661" t="s">
        <v>35</v>
      </c>
      <c r="N661" t="s">
        <v>35</v>
      </c>
      <c r="O661" t="s">
        <v>35</v>
      </c>
      <c r="P661" t="s">
        <v>35</v>
      </c>
      <c r="Q661" t="s">
        <v>35</v>
      </c>
      <c r="R661" t="s">
        <v>35</v>
      </c>
      <c r="S661" t="s">
        <v>35</v>
      </c>
      <c r="T661" t="s">
        <v>35</v>
      </c>
      <c r="U661" t="s">
        <v>35</v>
      </c>
      <c r="V661" t="s">
        <v>35</v>
      </c>
      <c r="W661" t="s">
        <v>35</v>
      </c>
      <c r="X661" t="s">
        <v>35</v>
      </c>
      <c r="Y661" t="s">
        <v>35</v>
      </c>
      <c r="Z661" t="s">
        <v>35</v>
      </c>
      <c r="AA661" t="s">
        <v>35</v>
      </c>
      <c r="AB661" t="s">
        <v>35</v>
      </c>
      <c r="AC661" t="s">
        <v>35</v>
      </c>
      <c r="AD661" t="s">
        <v>35</v>
      </c>
      <c r="AE661" t="s">
        <v>35</v>
      </c>
    </row>
    <row r="662" spans="1:31" x14ac:dyDescent="0.2">
      <c r="A662" t="s">
        <v>252</v>
      </c>
      <c r="B662" t="s">
        <v>107</v>
      </c>
      <c r="C662">
        <v>28</v>
      </c>
      <c r="D662" t="s">
        <v>33</v>
      </c>
      <c r="E662" t="s">
        <v>36</v>
      </c>
      <c r="F662" t="s">
        <v>37</v>
      </c>
      <c r="G662">
        <v>85098</v>
      </c>
      <c r="H662">
        <v>0</v>
      </c>
      <c r="I662">
        <v>0</v>
      </c>
      <c r="J662">
        <v>1</v>
      </c>
      <c r="K662">
        <v>0</v>
      </c>
      <c r="L662" t="s">
        <v>35</v>
      </c>
      <c r="M662" t="s">
        <v>35</v>
      </c>
      <c r="N662" t="s">
        <v>35</v>
      </c>
      <c r="O662" t="s">
        <v>35</v>
      </c>
      <c r="P662" t="s">
        <v>35</v>
      </c>
      <c r="Q662" t="s">
        <v>35</v>
      </c>
      <c r="R662" t="s">
        <v>35</v>
      </c>
      <c r="S662" t="s">
        <v>35</v>
      </c>
      <c r="T662" t="s">
        <v>35</v>
      </c>
      <c r="U662" t="s">
        <v>35</v>
      </c>
      <c r="V662" t="s">
        <v>35</v>
      </c>
      <c r="W662" t="s">
        <v>35</v>
      </c>
      <c r="X662" t="s">
        <v>35</v>
      </c>
      <c r="Y662" t="s">
        <v>35</v>
      </c>
      <c r="Z662" t="s">
        <v>35</v>
      </c>
      <c r="AA662" t="s">
        <v>35</v>
      </c>
      <c r="AB662" t="s">
        <v>35</v>
      </c>
      <c r="AC662" t="s">
        <v>35</v>
      </c>
      <c r="AD662" t="s">
        <v>35</v>
      </c>
      <c r="AE662" t="s">
        <v>35</v>
      </c>
    </row>
    <row r="663" spans="1:31" x14ac:dyDescent="0.2">
      <c r="A663" t="s">
        <v>252</v>
      </c>
      <c r="B663" t="s">
        <v>107</v>
      </c>
      <c r="C663">
        <v>28</v>
      </c>
      <c r="D663" t="s">
        <v>33</v>
      </c>
      <c r="E663" t="s">
        <v>39</v>
      </c>
      <c r="F663" t="s">
        <v>59</v>
      </c>
      <c r="G663">
        <v>129047</v>
      </c>
      <c r="H663">
        <v>1</v>
      </c>
      <c r="I663">
        <v>1</v>
      </c>
      <c r="J663">
        <v>0</v>
      </c>
      <c r="K663">
        <v>0</v>
      </c>
      <c r="L663" t="s">
        <v>99</v>
      </c>
      <c r="M663" t="s">
        <v>60</v>
      </c>
      <c r="N663" t="s">
        <v>61</v>
      </c>
      <c r="O663" t="s">
        <v>67</v>
      </c>
      <c r="P663" t="s">
        <v>44</v>
      </c>
      <c r="Q663" t="s">
        <v>46</v>
      </c>
      <c r="R663">
        <v>0</v>
      </c>
      <c r="S663">
        <v>1</v>
      </c>
      <c r="T663">
        <v>1</v>
      </c>
      <c r="U663">
        <v>1</v>
      </c>
      <c r="V663">
        <v>0</v>
      </c>
      <c r="W663">
        <v>0</v>
      </c>
      <c r="X663">
        <v>1</v>
      </c>
      <c r="Y663">
        <v>0</v>
      </c>
      <c r="Z663">
        <v>1</v>
      </c>
      <c r="AA663">
        <v>0</v>
      </c>
      <c r="AB663">
        <v>1</v>
      </c>
      <c r="AC663">
        <v>0</v>
      </c>
      <c r="AD663">
        <v>0</v>
      </c>
      <c r="AE663">
        <v>0</v>
      </c>
    </row>
    <row r="664" spans="1:31" x14ac:dyDescent="0.2">
      <c r="A664" t="s">
        <v>252</v>
      </c>
      <c r="B664" t="s">
        <v>107</v>
      </c>
      <c r="C664">
        <v>28</v>
      </c>
      <c r="D664" t="s">
        <v>33</v>
      </c>
      <c r="E664" t="s">
        <v>39</v>
      </c>
      <c r="F664" t="s">
        <v>40</v>
      </c>
      <c r="G664">
        <v>15740</v>
      </c>
      <c r="H664">
        <v>1</v>
      </c>
      <c r="I664">
        <v>0</v>
      </c>
      <c r="J664">
        <v>0</v>
      </c>
      <c r="K664">
        <v>0</v>
      </c>
      <c r="L664" t="s">
        <v>41</v>
      </c>
      <c r="M664" t="s">
        <v>43</v>
      </c>
      <c r="N664" t="s">
        <v>91</v>
      </c>
      <c r="O664" t="s">
        <v>44</v>
      </c>
      <c r="P664" t="s">
        <v>46</v>
      </c>
      <c r="Q664" t="s">
        <v>51</v>
      </c>
      <c r="R664">
        <v>0</v>
      </c>
      <c r="S664">
        <v>1</v>
      </c>
      <c r="T664">
        <v>1</v>
      </c>
      <c r="U664">
        <v>0</v>
      </c>
      <c r="V664">
        <v>0</v>
      </c>
      <c r="W664">
        <v>0</v>
      </c>
      <c r="X664">
        <v>1</v>
      </c>
      <c r="Y664">
        <v>0</v>
      </c>
      <c r="Z664">
        <v>1</v>
      </c>
      <c r="AA664">
        <v>0</v>
      </c>
      <c r="AB664">
        <v>0</v>
      </c>
      <c r="AC664">
        <v>0</v>
      </c>
      <c r="AD664">
        <v>0</v>
      </c>
      <c r="AE664">
        <v>0</v>
      </c>
    </row>
    <row r="665" spans="1:31" x14ac:dyDescent="0.2">
      <c r="A665" t="s">
        <v>252</v>
      </c>
      <c r="B665" t="s">
        <v>107</v>
      </c>
      <c r="C665">
        <v>28</v>
      </c>
      <c r="D665" t="s">
        <v>33</v>
      </c>
      <c r="E665" t="s">
        <v>52</v>
      </c>
      <c r="F665" t="s">
        <v>53</v>
      </c>
      <c r="G665">
        <v>75763</v>
      </c>
      <c r="H665">
        <v>0</v>
      </c>
      <c r="I665">
        <v>1</v>
      </c>
      <c r="J665">
        <v>0</v>
      </c>
      <c r="K665">
        <v>0</v>
      </c>
      <c r="L665" t="s">
        <v>35</v>
      </c>
      <c r="M665" t="s">
        <v>35</v>
      </c>
      <c r="N665" t="s">
        <v>35</v>
      </c>
      <c r="O665" t="s">
        <v>35</v>
      </c>
      <c r="P665" t="s">
        <v>35</v>
      </c>
      <c r="Q665" t="s">
        <v>35</v>
      </c>
      <c r="R665" t="s">
        <v>35</v>
      </c>
      <c r="S665">
        <v>1</v>
      </c>
      <c r="T665">
        <v>1</v>
      </c>
      <c r="U665">
        <v>0</v>
      </c>
      <c r="V665">
        <v>0</v>
      </c>
      <c r="W665">
        <v>0</v>
      </c>
      <c r="X665">
        <v>1</v>
      </c>
      <c r="Y665">
        <v>0</v>
      </c>
      <c r="Z665">
        <v>1</v>
      </c>
      <c r="AA665">
        <v>0</v>
      </c>
      <c r="AB665">
        <v>0</v>
      </c>
      <c r="AC665">
        <v>0</v>
      </c>
      <c r="AD665">
        <v>0</v>
      </c>
      <c r="AE665">
        <v>0</v>
      </c>
    </row>
    <row r="666" spans="1:31" x14ac:dyDescent="0.2">
      <c r="A666" t="s">
        <v>252</v>
      </c>
      <c r="B666" t="s">
        <v>107</v>
      </c>
      <c r="C666">
        <v>28</v>
      </c>
      <c r="D666" t="s">
        <v>33</v>
      </c>
      <c r="E666" t="s">
        <v>39</v>
      </c>
      <c r="F666" t="s">
        <v>54</v>
      </c>
      <c r="G666">
        <v>103515</v>
      </c>
      <c r="H666">
        <v>0</v>
      </c>
      <c r="I666">
        <v>0</v>
      </c>
      <c r="J666">
        <v>1</v>
      </c>
      <c r="K666">
        <v>0</v>
      </c>
      <c r="L666" t="s">
        <v>56</v>
      </c>
      <c r="M666" t="s">
        <v>122</v>
      </c>
      <c r="N666" t="s">
        <v>89</v>
      </c>
      <c r="O666" t="s">
        <v>45</v>
      </c>
      <c r="P666" t="s">
        <v>68</v>
      </c>
      <c r="Q666" t="s">
        <v>67</v>
      </c>
      <c r="R666">
        <v>1</v>
      </c>
      <c r="S666">
        <v>0</v>
      </c>
      <c r="T666">
        <v>0</v>
      </c>
      <c r="U666">
        <v>1</v>
      </c>
      <c r="V666">
        <v>1</v>
      </c>
      <c r="W666">
        <v>0</v>
      </c>
      <c r="X666">
        <v>1</v>
      </c>
      <c r="Y666">
        <v>0</v>
      </c>
      <c r="Z666">
        <v>0</v>
      </c>
      <c r="AA666">
        <v>0</v>
      </c>
      <c r="AB666">
        <v>1</v>
      </c>
      <c r="AC666">
        <v>0</v>
      </c>
      <c r="AD666">
        <v>0</v>
      </c>
      <c r="AE666">
        <v>0</v>
      </c>
    </row>
    <row r="667" spans="1:31" x14ac:dyDescent="0.2">
      <c r="A667" t="s">
        <v>252</v>
      </c>
      <c r="B667" t="s">
        <v>107</v>
      </c>
      <c r="C667">
        <v>28</v>
      </c>
      <c r="D667" t="s">
        <v>33</v>
      </c>
      <c r="E667" t="s">
        <v>39</v>
      </c>
      <c r="F667" t="s">
        <v>63</v>
      </c>
      <c r="G667">
        <v>69108</v>
      </c>
      <c r="H667">
        <v>0</v>
      </c>
      <c r="I667">
        <v>0</v>
      </c>
      <c r="J667">
        <v>0</v>
      </c>
      <c r="K667">
        <v>1</v>
      </c>
      <c r="L667" t="s">
        <v>66</v>
      </c>
      <c r="M667" t="s">
        <v>65</v>
      </c>
      <c r="N667" t="s">
        <v>84</v>
      </c>
      <c r="O667" t="s">
        <v>45</v>
      </c>
      <c r="P667" t="s">
        <v>68</v>
      </c>
      <c r="Q667" t="s">
        <v>46</v>
      </c>
      <c r="R667">
        <v>1</v>
      </c>
      <c r="S667">
        <v>0</v>
      </c>
      <c r="T667">
        <v>1</v>
      </c>
      <c r="U667">
        <v>0</v>
      </c>
      <c r="V667">
        <v>1</v>
      </c>
      <c r="W667">
        <v>0</v>
      </c>
      <c r="X667">
        <v>1</v>
      </c>
      <c r="Y667">
        <v>0</v>
      </c>
      <c r="Z667">
        <v>0</v>
      </c>
      <c r="AA667">
        <v>0</v>
      </c>
      <c r="AB667">
        <v>0</v>
      </c>
      <c r="AC667">
        <v>0</v>
      </c>
      <c r="AD667">
        <v>0</v>
      </c>
      <c r="AE667">
        <v>1</v>
      </c>
    </row>
    <row r="668" spans="1:31" x14ac:dyDescent="0.2">
      <c r="A668" t="s">
        <v>252</v>
      </c>
      <c r="B668" t="s">
        <v>107</v>
      </c>
      <c r="C668">
        <v>28</v>
      </c>
      <c r="D668" t="s">
        <v>33</v>
      </c>
      <c r="E668" t="s">
        <v>52</v>
      </c>
      <c r="F668" t="s">
        <v>74</v>
      </c>
      <c r="G668">
        <v>59245</v>
      </c>
      <c r="H668">
        <v>0</v>
      </c>
      <c r="I668">
        <v>0</v>
      </c>
      <c r="J668">
        <v>1</v>
      </c>
      <c r="K668">
        <v>0</v>
      </c>
      <c r="L668" t="s">
        <v>35</v>
      </c>
      <c r="M668" t="s">
        <v>35</v>
      </c>
      <c r="N668" t="s">
        <v>35</v>
      </c>
      <c r="O668" t="s">
        <v>35</v>
      </c>
      <c r="P668" t="s">
        <v>35</v>
      </c>
      <c r="Q668" t="s">
        <v>35</v>
      </c>
      <c r="R668" t="s">
        <v>35</v>
      </c>
      <c r="S668">
        <v>0</v>
      </c>
      <c r="T668">
        <v>1</v>
      </c>
      <c r="U668">
        <v>0</v>
      </c>
      <c r="V668">
        <v>1</v>
      </c>
      <c r="W668">
        <v>0</v>
      </c>
      <c r="X668">
        <v>1</v>
      </c>
      <c r="Y668">
        <v>0</v>
      </c>
      <c r="Z668">
        <v>0</v>
      </c>
      <c r="AA668">
        <v>0</v>
      </c>
      <c r="AB668">
        <v>0</v>
      </c>
      <c r="AC668">
        <v>0</v>
      </c>
      <c r="AD668">
        <v>0</v>
      </c>
      <c r="AE668">
        <v>1</v>
      </c>
    </row>
    <row r="669" spans="1:31" x14ac:dyDescent="0.2">
      <c r="A669" t="s">
        <v>252</v>
      </c>
      <c r="B669" t="s">
        <v>107</v>
      </c>
      <c r="C669">
        <v>28</v>
      </c>
      <c r="D669" t="s">
        <v>33</v>
      </c>
      <c r="E669" t="s">
        <v>39</v>
      </c>
      <c r="F669" t="s">
        <v>47</v>
      </c>
      <c r="G669">
        <v>40115</v>
      </c>
      <c r="H669">
        <v>0</v>
      </c>
      <c r="I669">
        <v>0</v>
      </c>
      <c r="J669">
        <v>0</v>
      </c>
      <c r="K669">
        <v>1</v>
      </c>
      <c r="L669" t="s">
        <v>48</v>
      </c>
      <c r="M669" t="s">
        <v>79</v>
      </c>
      <c r="N669" t="s">
        <v>95</v>
      </c>
      <c r="O669" t="s">
        <v>46</v>
      </c>
      <c r="P669" t="s">
        <v>45</v>
      </c>
      <c r="Q669" t="s">
        <v>68</v>
      </c>
      <c r="R669">
        <v>1</v>
      </c>
      <c r="S669">
        <v>0</v>
      </c>
      <c r="T669">
        <v>1</v>
      </c>
      <c r="U669">
        <v>0</v>
      </c>
      <c r="V669">
        <v>1</v>
      </c>
      <c r="W669">
        <v>0</v>
      </c>
      <c r="X669">
        <v>1</v>
      </c>
      <c r="Y669">
        <v>0</v>
      </c>
      <c r="Z669">
        <v>0</v>
      </c>
      <c r="AA669">
        <v>0</v>
      </c>
      <c r="AB669">
        <v>0</v>
      </c>
      <c r="AC669">
        <v>0</v>
      </c>
      <c r="AD669">
        <v>0</v>
      </c>
      <c r="AE669">
        <v>1</v>
      </c>
    </row>
    <row r="670" spans="1:31" x14ac:dyDescent="0.2">
      <c r="A670" t="s">
        <v>252</v>
      </c>
      <c r="B670" t="s">
        <v>107</v>
      </c>
      <c r="C670">
        <v>28</v>
      </c>
      <c r="D670" t="s">
        <v>33</v>
      </c>
      <c r="E670" t="s">
        <v>52</v>
      </c>
      <c r="F670" t="s">
        <v>58</v>
      </c>
      <c r="G670">
        <v>81711</v>
      </c>
      <c r="H670">
        <v>0</v>
      </c>
      <c r="I670">
        <v>0</v>
      </c>
      <c r="J670">
        <v>0</v>
      </c>
      <c r="K670">
        <v>1</v>
      </c>
      <c r="L670" t="s">
        <v>35</v>
      </c>
      <c r="M670" t="s">
        <v>35</v>
      </c>
      <c r="N670" t="s">
        <v>35</v>
      </c>
      <c r="O670" t="s">
        <v>35</v>
      </c>
      <c r="P670" t="s">
        <v>35</v>
      </c>
      <c r="Q670" t="s">
        <v>35</v>
      </c>
      <c r="R670" t="s">
        <v>35</v>
      </c>
      <c r="S670">
        <v>0</v>
      </c>
      <c r="T670">
        <v>1</v>
      </c>
      <c r="U670">
        <v>0</v>
      </c>
      <c r="V670">
        <v>1</v>
      </c>
      <c r="W670">
        <v>0</v>
      </c>
      <c r="X670">
        <v>1</v>
      </c>
      <c r="Y670">
        <v>0</v>
      </c>
      <c r="Z670">
        <v>0</v>
      </c>
      <c r="AA670">
        <v>0</v>
      </c>
      <c r="AB670">
        <v>0</v>
      </c>
      <c r="AC670">
        <v>0</v>
      </c>
      <c r="AD670">
        <v>0</v>
      </c>
      <c r="AE670">
        <v>1</v>
      </c>
    </row>
    <row r="671" spans="1:31" x14ac:dyDescent="0.2">
      <c r="A671" t="s">
        <v>252</v>
      </c>
      <c r="B671" t="s">
        <v>107</v>
      </c>
      <c r="C671">
        <v>28</v>
      </c>
      <c r="D671" t="s">
        <v>33</v>
      </c>
      <c r="E671" t="s">
        <v>39</v>
      </c>
      <c r="F671" t="s">
        <v>70</v>
      </c>
      <c r="G671">
        <v>19076</v>
      </c>
      <c r="H671">
        <v>1</v>
      </c>
      <c r="I671">
        <v>0</v>
      </c>
      <c r="J671">
        <v>0</v>
      </c>
      <c r="K671">
        <v>0</v>
      </c>
      <c r="L671" t="s">
        <v>72</v>
      </c>
      <c r="M671" t="s">
        <v>92</v>
      </c>
      <c r="N671" t="s">
        <v>71</v>
      </c>
      <c r="O671" t="s">
        <v>67</v>
      </c>
      <c r="P671" t="s">
        <v>51</v>
      </c>
      <c r="Q671" t="s">
        <v>45</v>
      </c>
      <c r="R671">
        <v>0</v>
      </c>
      <c r="S671">
        <v>0</v>
      </c>
      <c r="T671">
        <v>0</v>
      </c>
      <c r="U671">
        <v>1</v>
      </c>
      <c r="V671">
        <v>1</v>
      </c>
      <c r="W671">
        <v>0</v>
      </c>
      <c r="X671">
        <v>1</v>
      </c>
      <c r="Y671">
        <v>0</v>
      </c>
      <c r="Z671">
        <v>0</v>
      </c>
      <c r="AA671">
        <v>0</v>
      </c>
      <c r="AB671">
        <v>1</v>
      </c>
      <c r="AC671">
        <v>0</v>
      </c>
      <c r="AD671">
        <v>0</v>
      </c>
      <c r="AE671">
        <v>0</v>
      </c>
    </row>
    <row r="672" spans="1:31" x14ac:dyDescent="0.2">
      <c r="A672" t="s">
        <v>252</v>
      </c>
      <c r="B672" t="s">
        <v>107</v>
      </c>
      <c r="C672">
        <v>28</v>
      </c>
      <c r="D672" t="s">
        <v>33</v>
      </c>
      <c r="E672" t="s">
        <v>52</v>
      </c>
      <c r="F672" t="s">
        <v>69</v>
      </c>
      <c r="G672">
        <v>108551</v>
      </c>
      <c r="H672">
        <v>0</v>
      </c>
      <c r="I672">
        <v>0</v>
      </c>
      <c r="J672">
        <v>1</v>
      </c>
      <c r="K672">
        <v>0</v>
      </c>
      <c r="L672" t="s">
        <v>35</v>
      </c>
      <c r="M672" t="s">
        <v>35</v>
      </c>
      <c r="N672" t="s">
        <v>35</v>
      </c>
      <c r="O672" t="s">
        <v>35</v>
      </c>
      <c r="P672" t="s">
        <v>35</v>
      </c>
      <c r="Q672" t="s">
        <v>35</v>
      </c>
      <c r="R672" t="s">
        <v>35</v>
      </c>
      <c r="S672">
        <v>0</v>
      </c>
      <c r="T672">
        <v>0</v>
      </c>
      <c r="U672">
        <v>1</v>
      </c>
      <c r="V672">
        <v>1</v>
      </c>
      <c r="W672">
        <v>0</v>
      </c>
      <c r="X672">
        <v>1</v>
      </c>
      <c r="Y672">
        <v>0</v>
      </c>
      <c r="Z672">
        <v>0</v>
      </c>
      <c r="AA672">
        <v>0</v>
      </c>
      <c r="AB672">
        <v>1</v>
      </c>
      <c r="AC672">
        <v>0</v>
      </c>
      <c r="AD672">
        <v>0</v>
      </c>
      <c r="AE672">
        <v>0</v>
      </c>
    </row>
    <row r="673" spans="1:31" x14ac:dyDescent="0.2">
      <c r="A673" t="s">
        <v>252</v>
      </c>
      <c r="B673" t="s">
        <v>107</v>
      </c>
      <c r="C673">
        <v>28</v>
      </c>
      <c r="D673" t="s">
        <v>33</v>
      </c>
      <c r="E673" t="s">
        <v>75</v>
      </c>
      <c r="F673" t="s">
        <v>35</v>
      </c>
      <c r="G673">
        <v>124887</v>
      </c>
      <c r="H673" t="s">
        <v>253</v>
      </c>
      <c r="I673" t="s">
        <v>254</v>
      </c>
      <c r="J673" t="s">
        <v>255</v>
      </c>
      <c r="K673" t="s">
        <v>35</v>
      </c>
      <c r="L673" t="s">
        <v>35</v>
      </c>
      <c r="M673" t="s">
        <v>35</v>
      </c>
      <c r="N673" t="s">
        <v>35</v>
      </c>
      <c r="O673" t="s">
        <v>35</v>
      </c>
      <c r="P673" t="s">
        <v>35</v>
      </c>
      <c r="Q673" t="s">
        <v>35</v>
      </c>
      <c r="R673" t="s">
        <v>35</v>
      </c>
      <c r="S673" t="s">
        <v>35</v>
      </c>
      <c r="T673" t="s">
        <v>35</v>
      </c>
      <c r="U673" t="s">
        <v>35</v>
      </c>
      <c r="V673" t="s">
        <v>35</v>
      </c>
      <c r="W673" t="s">
        <v>35</v>
      </c>
      <c r="X673" t="s">
        <v>35</v>
      </c>
      <c r="Y673" t="s">
        <v>35</v>
      </c>
      <c r="Z673" t="s">
        <v>35</v>
      </c>
      <c r="AA673" t="s">
        <v>35</v>
      </c>
      <c r="AB673" t="s">
        <v>35</v>
      </c>
      <c r="AC673" t="s">
        <v>35</v>
      </c>
      <c r="AD673" t="s">
        <v>35</v>
      </c>
      <c r="AE673" t="s">
        <v>35</v>
      </c>
    </row>
    <row r="674" spans="1:31" x14ac:dyDescent="0.2">
      <c r="A674" t="s">
        <v>256</v>
      </c>
      <c r="B674" t="s">
        <v>107</v>
      </c>
      <c r="C674">
        <v>37</v>
      </c>
      <c r="D674" t="s">
        <v>33</v>
      </c>
      <c r="E674" t="s">
        <v>34</v>
      </c>
      <c r="F674" t="s">
        <v>35</v>
      </c>
      <c r="G674">
        <v>50749</v>
      </c>
      <c r="H674" t="s">
        <v>35</v>
      </c>
      <c r="I674" t="s">
        <v>35</v>
      </c>
      <c r="J674" t="s">
        <v>35</v>
      </c>
      <c r="K674" t="s">
        <v>35</v>
      </c>
      <c r="L674" t="s">
        <v>35</v>
      </c>
      <c r="M674" t="s">
        <v>35</v>
      </c>
      <c r="N674" t="s">
        <v>35</v>
      </c>
      <c r="O674" t="s">
        <v>35</v>
      </c>
      <c r="P674" t="s">
        <v>35</v>
      </c>
      <c r="Q674" t="s">
        <v>35</v>
      </c>
      <c r="R674" t="s">
        <v>35</v>
      </c>
      <c r="S674" t="s">
        <v>35</v>
      </c>
      <c r="T674" t="s">
        <v>35</v>
      </c>
      <c r="U674" t="s">
        <v>35</v>
      </c>
      <c r="V674" t="s">
        <v>35</v>
      </c>
      <c r="W674" t="s">
        <v>35</v>
      </c>
      <c r="X674" t="s">
        <v>35</v>
      </c>
      <c r="Y674" t="s">
        <v>35</v>
      </c>
      <c r="Z674" t="s">
        <v>35</v>
      </c>
      <c r="AA674" t="s">
        <v>35</v>
      </c>
      <c r="AB674" t="s">
        <v>35</v>
      </c>
      <c r="AC674" t="s">
        <v>35</v>
      </c>
      <c r="AD674" t="s">
        <v>35</v>
      </c>
      <c r="AE674" t="s">
        <v>35</v>
      </c>
    </row>
    <row r="675" spans="1:31" x14ac:dyDescent="0.2">
      <c r="A675" t="s">
        <v>256</v>
      </c>
      <c r="B675" t="s">
        <v>107</v>
      </c>
      <c r="C675">
        <v>37</v>
      </c>
      <c r="D675" t="s">
        <v>33</v>
      </c>
      <c r="E675" t="s">
        <v>36</v>
      </c>
      <c r="F675" t="s">
        <v>37</v>
      </c>
      <c r="G675">
        <v>30838</v>
      </c>
      <c r="H675">
        <v>1</v>
      </c>
      <c r="I675">
        <v>1</v>
      </c>
      <c r="J675">
        <v>1</v>
      </c>
      <c r="K675">
        <v>0</v>
      </c>
      <c r="L675" t="s">
        <v>35</v>
      </c>
      <c r="M675" t="s">
        <v>35</v>
      </c>
      <c r="N675" t="s">
        <v>35</v>
      </c>
      <c r="O675" t="s">
        <v>35</v>
      </c>
      <c r="P675" t="s">
        <v>35</v>
      </c>
      <c r="Q675" t="s">
        <v>35</v>
      </c>
      <c r="R675" t="s">
        <v>35</v>
      </c>
      <c r="S675" t="s">
        <v>35</v>
      </c>
      <c r="T675" t="s">
        <v>35</v>
      </c>
      <c r="U675" t="s">
        <v>35</v>
      </c>
      <c r="V675" t="s">
        <v>35</v>
      </c>
      <c r="W675" t="s">
        <v>35</v>
      </c>
      <c r="X675" t="s">
        <v>35</v>
      </c>
      <c r="Y675" t="s">
        <v>35</v>
      </c>
      <c r="Z675" t="s">
        <v>35</v>
      </c>
      <c r="AA675" t="s">
        <v>35</v>
      </c>
      <c r="AB675" t="s">
        <v>35</v>
      </c>
      <c r="AC675" t="s">
        <v>35</v>
      </c>
      <c r="AD675" t="s">
        <v>35</v>
      </c>
      <c r="AE675" t="s">
        <v>35</v>
      </c>
    </row>
    <row r="676" spans="1:31" x14ac:dyDescent="0.2">
      <c r="A676" t="s">
        <v>256</v>
      </c>
      <c r="B676" t="s">
        <v>107</v>
      </c>
      <c r="C676">
        <v>37</v>
      </c>
      <c r="D676" t="s">
        <v>33</v>
      </c>
      <c r="E676" t="s">
        <v>36</v>
      </c>
      <c r="F676" t="s">
        <v>38</v>
      </c>
      <c r="G676">
        <v>11941</v>
      </c>
      <c r="H676">
        <v>1</v>
      </c>
      <c r="I676">
        <v>1</v>
      </c>
      <c r="J676">
        <v>1</v>
      </c>
      <c r="K676">
        <v>0</v>
      </c>
      <c r="L676" t="s">
        <v>35</v>
      </c>
      <c r="M676" t="s">
        <v>35</v>
      </c>
      <c r="N676" t="s">
        <v>35</v>
      </c>
      <c r="O676" t="s">
        <v>35</v>
      </c>
      <c r="P676" t="s">
        <v>35</v>
      </c>
      <c r="Q676" t="s">
        <v>35</v>
      </c>
      <c r="R676" t="s">
        <v>35</v>
      </c>
      <c r="S676" t="s">
        <v>35</v>
      </c>
      <c r="T676" t="s">
        <v>35</v>
      </c>
      <c r="U676" t="s">
        <v>35</v>
      </c>
      <c r="V676" t="s">
        <v>35</v>
      </c>
      <c r="W676" t="s">
        <v>35</v>
      </c>
      <c r="X676" t="s">
        <v>35</v>
      </c>
      <c r="Y676" t="s">
        <v>35</v>
      </c>
      <c r="Z676" t="s">
        <v>35</v>
      </c>
      <c r="AA676" t="s">
        <v>35</v>
      </c>
      <c r="AB676" t="s">
        <v>35</v>
      </c>
      <c r="AC676" t="s">
        <v>35</v>
      </c>
      <c r="AD676" t="s">
        <v>35</v>
      </c>
      <c r="AE676" t="s">
        <v>35</v>
      </c>
    </row>
    <row r="677" spans="1:31" x14ac:dyDescent="0.2">
      <c r="A677" t="s">
        <v>256</v>
      </c>
      <c r="B677" t="s">
        <v>107</v>
      </c>
      <c r="C677">
        <v>37</v>
      </c>
      <c r="D677" t="s">
        <v>33</v>
      </c>
      <c r="E677" t="s">
        <v>39</v>
      </c>
      <c r="F677" t="s">
        <v>59</v>
      </c>
      <c r="G677">
        <v>138682</v>
      </c>
      <c r="H677">
        <v>1</v>
      </c>
      <c r="I677">
        <v>1</v>
      </c>
      <c r="J677">
        <v>0</v>
      </c>
      <c r="K677">
        <v>0</v>
      </c>
      <c r="L677" t="s">
        <v>60</v>
      </c>
      <c r="M677" t="s">
        <v>62</v>
      </c>
      <c r="N677" t="s">
        <v>99</v>
      </c>
      <c r="O677" t="s">
        <v>44</v>
      </c>
      <c r="P677" t="s">
        <v>45</v>
      </c>
      <c r="Q677" t="s">
        <v>67</v>
      </c>
      <c r="R677">
        <v>0</v>
      </c>
      <c r="S677">
        <v>1</v>
      </c>
      <c r="T677">
        <v>0</v>
      </c>
      <c r="U677">
        <v>1</v>
      </c>
      <c r="V677">
        <v>1</v>
      </c>
      <c r="W677">
        <v>0</v>
      </c>
      <c r="X677">
        <v>1</v>
      </c>
      <c r="Y677">
        <v>0</v>
      </c>
      <c r="Z677">
        <v>1</v>
      </c>
      <c r="AA677">
        <v>0</v>
      </c>
      <c r="AB677">
        <v>0</v>
      </c>
      <c r="AC677">
        <v>1</v>
      </c>
      <c r="AD677">
        <v>0</v>
      </c>
      <c r="AE677">
        <v>0</v>
      </c>
    </row>
    <row r="678" spans="1:31" x14ac:dyDescent="0.2">
      <c r="A678" t="s">
        <v>256</v>
      </c>
      <c r="B678" t="s">
        <v>107</v>
      </c>
      <c r="C678">
        <v>37</v>
      </c>
      <c r="D678" t="s">
        <v>33</v>
      </c>
      <c r="E678" t="s">
        <v>39</v>
      </c>
      <c r="F678" t="s">
        <v>47</v>
      </c>
      <c r="G678">
        <v>6211</v>
      </c>
      <c r="H678">
        <v>1</v>
      </c>
      <c r="I678">
        <v>1</v>
      </c>
      <c r="J678">
        <v>1</v>
      </c>
      <c r="K678">
        <v>0</v>
      </c>
      <c r="L678" t="s">
        <v>79</v>
      </c>
      <c r="M678" t="s">
        <v>48</v>
      </c>
      <c r="N678" t="s">
        <v>80</v>
      </c>
      <c r="O678" t="s">
        <v>45</v>
      </c>
      <c r="P678" t="s">
        <v>46</v>
      </c>
      <c r="Q678" t="s">
        <v>67</v>
      </c>
      <c r="R678">
        <v>0</v>
      </c>
      <c r="S678">
        <v>0</v>
      </c>
      <c r="T678">
        <v>1</v>
      </c>
      <c r="U678">
        <v>1</v>
      </c>
      <c r="V678">
        <v>1</v>
      </c>
      <c r="W678">
        <v>0</v>
      </c>
      <c r="X678">
        <v>1</v>
      </c>
      <c r="Y678">
        <v>0</v>
      </c>
      <c r="Z678">
        <v>0</v>
      </c>
      <c r="AA678">
        <v>1</v>
      </c>
      <c r="AB678">
        <v>1</v>
      </c>
      <c r="AC678">
        <v>1</v>
      </c>
      <c r="AD678">
        <v>0</v>
      </c>
      <c r="AE678">
        <v>0</v>
      </c>
    </row>
    <row r="679" spans="1:31" x14ac:dyDescent="0.2">
      <c r="A679" t="s">
        <v>256</v>
      </c>
      <c r="B679" t="s">
        <v>107</v>
      </c>
      <c r="C679">
        <v>37</v>
      </c>
      <c r="D679" t="s">
        <v>33</v>
      </c>
      <c r="E679" t="s">
        <v>52</v>
      </c>
      <c r="F679" t="s">
        <v>53</v>
      </c>
      <c r="G679">
        <v>20630</v>
      </c>
      <c r="H679">
        <v>1</v>
      </c>
      <c r="I679">
        <v>0</v>
      </c>
      <c r="J679">
        <v>0</v>
      </c>
      <c r="K679">
        <v>0</v>
      </c>
      <c r="L679" t="s">
        <v>35</v>
      </c>
      <c r="M679" t="s">
        <v>35</v>
      </c>
      <c r="N679" t="s">
        <v>35</v>
      </c>
      <c r="O679" t="s">
        <v>35</v>
      </c>
      <c r="P679" t="s">
        <v>35</v>
      </c>
      <c r="Q679" t="s">
        <v>35</v>
      </c>
      <c r="R679" t="s">
        <v>35</v>
      </c>
      <c r="S679">
        <v>0</v>
      </c>
      <c r="T679">
        <v>1</v>
      </c>
      <c r="U679">
        <v>1</v>
      </c>
      <c r="V679">
        <v>1</v>
      </c>
      <c r="W679">
        <v>0</v>
      </c>
      <c r="X679">
        <v>1</v>
      </c>
      <c r="Y679">
        <v>0</v>
      </c>
      <c r="Z679">
        <v>0</v>
      </c>
      <c r="AA679">
        <v>1</v>
      </c>
      <c r="AB679">
        <v>1</v>
      </c>
      <c r="AC679">
        <v>1</v>
      </c>
      <c r="AD679">
        <v>0</v>
      </c>
      <c r="AE679">
        <v>0</v>
      </c>
    </row>
    <row r="680" spans="1:31" x14ac:dyDescent="0.2">
      <c r="A680" t="s">
        <v>256</v>
      </c>
      <c r="B680" t="s">
        <v>107</v>
      </c>
      <c r="C680">
        <v>37</v>
      </c>
      <c r="D680" t="s">
        <v>33</v>
      </c>
      <c r="E680" t="s">
        <v>39</v>
      </c>
      <c r="F680" t="s">
        <v>40</v>
      </c>
      <c r="G680">
        <v>10359</v>
      </c>
      <c r="H680">
        <v>1</v>
      </c>
      <c r="I680">
        <v>1</v>
      </c>
      <c r="J680">
        <v>0</v>
      </c>
      <c r="K680">
        <v>0</v>
      </c>
      <c r="L680" t="s">
        <v>42</v>
      </c>
      <c r="M680" t="s">
        <v>81</v>
      </c>
      <c r="N680" t="s">
        <v>91</v>
      </c>
      <c r="O680" t="s">
        <v>45</v>
      </c>
      <c r="P680" t="s">
        <v>67</v>
      </c>
      <c r="Q680" t="s">
        <v>51</v>
      </c>
      <c r="R680">
        <v>0</v>
      </c>
      <c r="S680">
        <v>0</v>
      </c>
      <c r="T680">
        <v>0</v>
      </c>
      <c r="U680">
        <v>1</v>
      </c>
      <c r="V680">
        <v>1</v>
      </c>
      <c r="W680">
        <v>0</v>
      </c>
      <c r="X680">
        <v>1</v>
      </c>
      <c r="Y680">
        <v>0</v>
      </c>
      <c r="Z680">
        <v>0</v>
      </c>
      <c r="AA680">
        <v>0</v>
      </c>
      <c r="AB680">
        <v>1</v>
      </c>
      <c r="AC680">
        <v>1</v>
      </c>
      <c r="AD680">
        <v>0</v>
      </c>
      <c r="AE680">
        <v>0</v>
      </c>
    </row>
    <row r="681" spans="1:31" x14ac:dyDescent="0.2">
      <c r="A681" t="s">
        <v>256</v>
      </c>
      <c r="B681" t="s">
        <v>107</v>
      </c>
      <c r="C681">
        <v>37</v>
      </c>
      <c r="D681" t="s">
        <v>33</v>
      </c>
      <c r="E681" t="s">
        <v>52</v>
      </c>
      <c r="F681" t="s">
        <v>74</v>
      </c>
      <c r="G681">
        <v>48525</v>
      </c>
      <c r="H681">
        <v>1</v>
      </c>
      <c r="I681">
        <v>0</v>
      </c>
      <c r="J681">
        <v>0</v>
      </c>
      <c r="K681">
        <v>0</v>
      </c>
      <c r="L681" t="s">
        <v>35</v>
      </c>
      <c r="M681" t="s">
        <v>35</v>
      </c>
      <c r="N681" t="s">
        <v>35</v>
      </c>
      <c r="O681" t="s">
        <v>35</v>
      </c>
      <c r="P681" t="s">
        <v>35</v>
      </c>
      <c r="Q681" t="s">
        <v>35</v>
      </c>
      <c r="R681" t="s">
        <v>35</v>
      </c>
      <c r="S681">
        <v>0</v>
      </c>
      <c r="T681">
        <v>0</v>
      </c>
      <c r="U681">
        <v>1</v>
      </c>
      <c r="V681">
        <v>1</v>
      </c>
      <c r="W681">
        <v>0</v>
      </c>
      <c r="X681">
        <v>1</v>
      </c>
      <c r="Y681">
        <v>0</v>
      </c>
      <c r="Z681">
        <v>0</v>
      </c>
      <c r="AA681">
        <v>0</v>
      </c>
      <c r="AB681">
        <v>1</v>
      </c>
      <c r="AC681">
        <v>1</v>
      </c>
      <c r="AD681">
        <v>0</v>
      </c>
      <c r="AE681">
        <v>0</v>
      </c>
    </row>
    <row r="682" spans="1:31" x14ac:dyDescent="0.2">
      <c r="A682" t="s">
        <v>256</v>
      </c>
      <c r="B682" t="s">
        <v>107</v>
      </c>
      <c r="C682">
        <v>37</v>
      </c>
      <c r="D682" t="s">
        <v>33</v>
      </c>
      <c r="E682" t="s">
        <v>39</v>
      </c>
      <c r="F682" t="s">
        <v>63</v>
      </c>
      <c r="G682">
        <v>92971</v>
      </c>
      <c r="H682">
        <v>0</v>
      </c>
      <c r="I682">
        <v>1</v>
      </c>
      <c r="J682">
        <v>0</v>
      </c>
      <c r="K682">
        <v>0</v>
      </c>
      <c r="L682" t="s">
        <v>85</v>
      </c>
      <c r="M682" t="s">
        <v>66</v>
      </c>
      <c r="N682" t="s">
        <v>84</v>
      </c>
      <c r="O682" t="s">
        <v>51</v>
      </c>
      <c r="P682" t="s">
        <v>45</v>
      </c>
      <c r="Q682" t="s">
        <v>46</v>
      </c>
      <c r="R682">
        <v>0</v>
      </c>
      <c r="S682">
        <v>0</v>
      </c>
      <c r="T682">
        <v>1</v>
      </c>
      <c r="U682">
        <v>0</v>
      </c>
      <c r="V682">
        <v>1</v>
      </c>
      <c r="W682">
        <v>0</v>
      </c>
      <c r="X682">
        <v>1</v>
      </c>
      <c r="Y682">
        <v>0</v>
      </c>
      <c r="Z682">
        <v>0</v>
      </c>
      <c r="AA682">
        <v>0</v>
      </c>
      <c r="AB682">
        <v>0</v>
      </c>
      <c r="AC682">
        <v>1</v>
      </c>
      <c r="AD682">
        <v>0</v>
      </c>
      <c r="AE682">
        <v>0</v>
      </c>
    </row>
    <row r="683" spans="1:31" x14ac:dyDescent="0.2">
      <c r="A683" t="s">
        <v>256</v>
      </c>
      <c r="B683" t="s">
        <v>107</v>
      </c>
      <c r="C683">
        <v>37</v>
      </c>
      <c r="D683" t="s">
        <v>33</v>
      </c>
      <c r="E683" t="s">
        <v>39</v>
      </c>
      <c r="F683" t="s">
        <v>54</v>
      </c>
      <c r="G683">
        <v>48913</v>
      </c>
      <c r="H683">
        <v>1</v>
      </c>
      <c r="I683">
        <v>0</v>
      </c>
      <c r="J683">
        <v>0</v>
      </c>
      <c r="K683">
        <v>0</v>
      </c>
      <c r="L683" t="s">
        <v>56</v>
      </c>
      <c r="M683" t="s">
        <v>88</v>
      </c>
      <c r="N683" t="s">
        <v>55</v>
      </c>
      <c r="O683" t="s">
        <v>45</v>
      </c>
      <c r="P683" t="s">
        <v>51</v>
      </c>
      <c r="Q683" t="s">
        <v>44</v>
      </c>
      <c r="R683">
        <v>0</v>
      </c>
      <c r="S683">
        <v>1</v>
      </c>
      <c r="T683">
        <v>0</v>
      </c>
      <c r="U683">
        <v>0</v>
      </c>
      <c r="V683">
        <v>1</v>
      </c>
      <c r="W683">
        <v>0</v>
      </c>
      <c r="X683">
        <v>1</v>
      </c>
      <c r="Y683">
        <v>0</v>
      </c>
      <c r="Z683">
        <v>0</v>
      </c>
      <c r="AA683">
        <v>0</v>
      </c>
      <c r="AB683">
        <v>0</v>
      </c>
      <c r="AC683">
        <v>1</v>
      </c>
      <c r="AD683">
        <v>0</v>
      </c>
      <c r="AE683">
        <v>0</v>
      </c>
    </row>
    <row r="684" spans="1:31" x14ac:dyDescent="0.2">
      <c r="A684" t="s">
        <v>256</v>
      </c>
      <c r="B684" t="s">
        <v>107</v>
      </c>
      <c r="C684">
        <v>37</v>
      </c>
      <c r="D684" t="s">
        <v>33</v>
      </c>
      <c r="E684" t="s">
        <v>52</v>
      </c>
      <c r="F684" t="s">
        <v>58</v>
      </c>
      <c r="G684">
        <v>46863</v>
      </c>
      <c r="H684">
        <v>1</v>
      </c>
      <c r="I684">
        <v>0</v>
      </c>
      <c r="J684">
        <v>0</v>
      </c>
      <c r="K684">
        <v>0</v>
      </c>
      <c r="L684" t="s">
        <v>35</v>
      </c>
      <c r="M684" t="s">
        <v>35</v>
      </c>
      <c r="N684" t="s">
        <v>35</v>
      </c>
      <c r="O684" t="s">
        <v>35</v>
      </c>
      <c r="P684" t="s">
        <v>35</v>
      </c>
      <c r="Q684" t="s">
        <v>35</v>
      </c>
      <c r="R684" t="s">
        <v>35</v>
      </c>
      <c r="S684">
        <v>1</v>
      </c>
      <c r="T684">
        <v>0</v>
      </c>
      <c r="U684">
        <v>0</v>
      </c>
      <c r="V684">
        <v>1</v>
      </c>
      <c r="W684">
        <v>0</v>
      </c>
      <c r="X684">
        <v>1</v>
      </c>
      <c r="Y684">
        <v>0</v>
      </c>
      <c r="Z684">
        <v>0</v>
      </c>
      <c r="AA684">
        <v>0</v>
      </c>
      <c r="AB684">
        <v>0</v>
      </c>
      <c r="AC684">
        <v>1</v>
      </c>
      <c r="AD684">
        <v>0</v>
      </c>
      <c r="AE684">
        <v>0</v>
      </c>
    </row>
    <row r="685" spans="1:31" x14ac:dyDescent="0.2">
      <c r="A685" t="s">
        <v>256</v>
      </c>
      <c r="B685" t="s">
        <v>107</v>
      </c>
      <c r="C685">
        <v>37</v>
      </c>
      <c r="D685" t="s">
        <v>33</v>
      </c>
      <c r="E685" t="s">
        <v>39</v>
      </c>
      <c r="F685" t="s">
        <v>70</v>
      </c>
      <c r="G685">
        <v>45741</v>
      </c>
      <c r="H685">
        <v>0</v>
      </c>
      <c r="I685">
        <v>0</v>
      </c>
      <c r="J685">
        <v>1</v>
      </c>
      <c r="K685">
        <v>0</v>
      </c>
      <c r="L685" t="s">
        <v>86</v>
      </c>
      <c r="M685" t="s">
        <v>73</v>
      </c>
      <c r="N685" t="s">
        <v>72</v>
      </c>
      <c r="O685" t="s">
        <v>46</v>
      </c>
      <c r="P685" t="s">
        <v>44</v>
      </c>
      <c r="Q685" t="s">
        <v>67</v>
      </c>
      <c r="R685">
        <v>0</v>
      </c>
      <c r="S685">
        <v>1</v>
      </c>
      <c r="T685">
        <v>1</v>
      </c>
      <c r="U685">
        <v>1</v>
      </c>
      <c r="V685">
        <v>0</v>
      </c>
      <c r="W685">
        <v>0</v>
      </c>
      <c r="X685">
        <v>1</v>
      </c>
      <c r="Y685">
        <v>0</v>
      </c>
      <c r="Z685">
        <v>0</v>
      </c>
      <c r="AA685">
        <v>0</v>
      </c>
      <c r="AB685">
        <v>1</v>
      </c>
      <c r="AC685">
        <v>0</v>
      </c>
      <c r="AD685">
        <v>0</v>
      </c>
      <c r="AE685">
        <v>0</v>
      </c>
    </row>
    <row r="686" spans="1:31" x14ac:dyDescent="0.2">
      <c r="A686" t="s">
        <v>256</v>
      </c>
      <c r="B686" t="s">
        <v>107</v>
      </c>
      <c r="C686">
        <v>37</v>
      </c>
      <c r="D686" t="s">
        <v>33</v>
      </c>
      <c r="E686" t="s">
        <v>52</v>
      </c>
      <c r="F686" t="s">
        <v>69</v>
      </c>
      <c r="G686">
        <v>17725</v>
      </c>
      <c r="H686">
        <v>1</v>
      </c>
      <c r="I686">
        <v>0</v>
      </c>
      <c r="J686">
        <v>0</v>
      </c>
      <c r="K686">
        <v>0</v>
      </c>
      <c r="L686" t="s">
        <v>35</v>
      </c>
      <c r="M686" t="s">
        <v>35</v>
      </c>
      <c r="N686" t="s">
        <v>35</v>
      </c>
      <c r="O686" t="s">
        <v>35</v>
      </c>
      <c r="P686" t="s">
        <v>35</v>
      </c>
      <c r="Q686" t="s">
        <v>35</v>
      </c>
      <c r="R686" t="s">
        <v>35</v>
      </c>
      <c r="S686">
        <v>1</v>
      </c>
      <c r="T686">
        <v>1</v>
      </c>
      <c r="U686">
        <v>1</v>
      </c>
      <c r="V686">
        <v>0</v>
      </c>
      <c r="W686">
        <v>0</v>
      </c>
      <c r="X686">
        <v>1</v>
      </c>
      <c r="Y686">
        <v>0</v>
      </c>
      <c r="Z686">
        <v>0</v>
      </c>
      <c r="AA686">
        <v>0</v>
      </c>
      <c r="AB686">
        <v>1</v>
      </c>
      <c r="AC686">
        <v>0</v>
      </c>
      <c r="AD686">
        <v>0</v>
      </c>
      <c r="AE686">
        <v>0</v>
      </c>
    </row>
    <row r="687" spans="1:31" x14ac:dyDescent="0.2">
      <c r="A687" t="s">
        <v>256</v>
      </c>
      <c r="B687" t="s">
        <v>107</v>
      </c>
      <c r="C687">
        <v>37</v>
      </c>
      <c r="D687" t="s">
        <v>33</v>
      </c>
      <c r="E687" t="s">
        <v>75</v>
      </c>
      <c r="F687" t="s">
        <v>35</v>
      </c>
      <c r="G687">
        <v>676334</v>
      </c>
      <c r="H687" t="s">
        <v>257</v>
      </c>
      <c r="I687" t="s">
        <v>258</v>
      </c>
      <c r="J687" t="s">
        <v>259</v>
      </c>
      <c r="K687" t="s">
        <v>35</v>
      </c>
      <c r="L687" t="s">
        <v>35</v>
      </c>
      <c r="M687" t="s">
        <v>35</v>
      </c>
      <c r="N687" t="s">
        <v>35</v>
      </c>
      <c r="O687" t="s">
        <v>35</v>
      </c>
      <c r="P687" t="s">
        <v>35</v>
      </c>
      <c r="Q687" t="s">
        <v>35</v>
      </c>
      <c r="R687" t="s">
        <v>35</v>
      </c>
      <c r="S687" t="s">
        <v>35</v>
      </c>
      <c r="T687" t="s">
        <v>35</v>
      </c>
      <c r="U687" t="s">
        <v>35</v>
      </c>
      <c r="V687" t="s">
        <v>35</v>
      </c>
      <c r="W687" t="s">
        <v>35</v>
      </c>
      <c r="X687" t="s">
        <v>35</v>
      </c>
      <c r="Y687" t="s">
        <v>35</v>
      </c>
      <c r="Z687" t="s">
        <v>35</v>
      </c>
      <c r="AA687" t="s">
        <v>35</v>
      </c>
      <c r="AB687" t="s">
        <v>35</v>
      </c>
      <c r="AC687" t="s">
        <v>35</v>
      </c>
      <c r="AD687" t="s">
        <v>35</v>
      </c>
      <c r="AE687" t="s">
        <v>35</v>
      </c>
    </row>
    <row r="688" spans="1:31" x14ac:dyDescent="0.2">
      <c r="A688" t="s">
        <v>260</v>
      </c>
      <c r="B688" t="s">
        <v>102</v>
      </c>
      <c r="C688">
        <v>55</v>
      </c>
      <c r="D688" t="s">
        <v>78</v>
      </c>
      <c r="E688" t="s">
        <v>34</v>
      </c>
      <c r="F688" t="s">
        <v>35</v>
      </c>
      <c r="G688">
        <v>32474</v>
      </c>
      <c r="H688" t="s">
        <v>35</v>
      </c>
      <c r="I688" t="s">
        <v>35</v>
      </c>
      <c r="J688" t="s">
        <v>35</v>
      </c>
      <c r="K688" t="s">
        <v>35</v>
      </c>
      <c r="L688" t="s">
        <v>35</v>
      </c>
      <c r="M688" t="s">
        <v>35</v>
      </c>
      <c r="N688" t="s">
        <v>35</v>
      </c>
      <c r="O688" t="s">
        <v>35</v>
      </c>
      <c r="P688" t="s">
        <v>35</v>
      </c>
      <c r="Q688" t="s">
        <v>35</v>
      </c>
      <c r="R688" t="s">
        <v>35</v>
      </c>
      <c r="S688" t="s">
        <v>35</v>
      </c>
      <c r="T688" t="s">
        <v>35</v>
      </c>
      <c r="U688" t="s">
        <v>35</v>
      </c>
      <c r="V688" t="s">
        <v>35</v>
      </c>
      <c r="W688" t="s">
        <v>35</v>
      </c>
      <c r="X688" t="s">
        <v>35</v>
      </c>
      <c r="Y688" t="s">
        <v>35</v>
      </c>
      <c r="Z688" t="s">
        <v>35</v>
      </c>
      <c r="AA688" t="s">
        <v>35</v>
      </c>
      <c r="AB688" t="s">
        <v>35</v>
      </c>
      <c r="AC688" t="s">
        <v>35</v>
      </c>
      <c r="AD688" t="s">
        <v>35</v>
      </c>
      <c r="AE688" t="s">
        <v>35</v>
      </c>
    </row>
    <row r="689" spans="1:31" x14ac:dyDescent="0.2">
      <c r="A689" t="s">
        <v>260</v>
      </c>
      <c r="B689" t="s">
        <v>102</v>
      </c>
      <c r="C689">
        <v>55</v>
      </c>
      <c r="D689" t="s">
        <v>78</v>
      </c>
      <c r="E689" t="s">
        <v>36</v>
      </c>
      <c r="F689" t="s">
        <v>37</v>
      </c>
      <c r="G689">
        <v>65642</v>
      </c>
      <c r="H689">
        <v>0</v>
      </c>
      <c r="I689">
        <v>1</v>
      </c>
      <c r="J689">
        <v>1</v>
      </c>
      <c r="K689">
        <v>0</v>
      </c>
      <c r="L689" t="s">
        <v>35</v>
      </c>
      <c r="M689" t="s">
        <v>35</v>
      </c>
      <c r="N689" t="s">
        <v>35</v>
      </c>
      <c r="O689" t="s">
        <v>35</v>
      </c>
      <c r="P689" t="s">
        <v>35</v>
      </c>
      <c r="Q689" t="s">
        <v>35</v>
      </c>
      <c r="R689" t="s">
        <v>35</v>
      </c>
      <c r="S689" t="s">
        <v>35</v>
      </c>
      <c r="T689" t="s">
        <v>35</v>
      </c>
      <c r="U689" t="s">
        <v>35</v>
      </c>
      <c r="V689" t="s">
        <v>35</v>
      </c>
      <c r="W689" t="s">
        <v>35</v>
      </c>
      <c r="X689" t="s">
        <v>35</v>
      </c>
      <c r="Y689" t="s">
        <v>35</v>
      </c>
      <c r="Z689" t="s">
        <v>35</v>
      </c>
      <c r="AA689" t="s">
        <v>35</v>
      </c>
      <c r="AB689" t="s">
        <v>35</v>
      </c>
      <c r="AC689" t="s">
        <v>35</v>
      </c>
      <c r="AD689" t="s">
        <v>35</v>
      </c>
      <c r="AE689" t="s">
        <v>35</v>
      </c>
    </row>
    <row r="690" spans="1:31" x14ac:dyDescent="0.2">
      <c r="A690" t="s">
        <v>260</v>
      </c>
      <c r="B690" t="s">
        <v>102</v>
      </c>
      <c r="C690">
        <v>55</v>
      </c>
      <c r="D690" t="s">
        <v>78</v>
      </c>
      <c r="E690" t="s">
        <v>36</v>
      </c>
      <c r="F690" t="s">
        <v>38</v>
      </c>
      <c r="G690">
        <v>55182</v>
      </c>
      <c r="H690">
        <v>0</v>
      </c>
      <c r="I690">
        <v>0</v>
      </c>
      <c r="J690">
        <v>0</v>
      </c>
      <c r="K690">
        <v>1</v>
      </c>
      <c r="L690" t="s">
        <v>35</v>
      </c>
      <c r="M690" t="s">
        <v>35</v>
      </c>
      <c r="N690" t="s">
        <v>35</v>
      </c>
      <c r="O690" t="s">
        <v>35</v>
      </c>
      <c r="P690" t="s">
        <v>35</v>
      </c>
      <c r="Q690" t="s">
        <v>35</v>
      </c>
      <c r="R690" t="s">
        <v>35</v>
      </c>
      <c r="S690" t="s">
        <v>35</v>
      </c>
      <c r="T690" t="s">
        <v>35</v>
      </c>
      <c r="U690" t="s">
        <v>35</v>
      </c>
      <c r="V690" t="s">
        <v>35</v>
      </c>
      <c r="W690" t="s">
        <v>35</v>
      </c>
      <c r="X690" t="s">
        <v>35</v>
      </c>
      <c r="Y690" t="s">
        <v>35</v>
      </c>
      <c r="Z690" t="s">
        <v>35</v>
      </c>
      <c r="AA690" t="s">
        <v>35</v>
      </c>
      <c r="AB690" t="s">
        <v>35</v>
      </c>
      <c r="AC690" t="s">
        <v>35</v>
      </c>
      <c r="AD690" t="s">
        <v>35</v>
      </c>
      <c r="AE690" t="s">
        <v>35</v>
      </c>
    </row>
    <row r="691" spans="1:31" x14ac:dyDescent="0.2">
      <c r="A691" t="s">
        <v>260</v>
      </c>
      <c r="B691" t="s">
        <v>102</v>
      </c>
      <c r="C691">
        <v>55</v>
      </c>
      <c r="D691" t="s">
        <v>78</v>
      </c>
      <c r="E691" t="s">
        <v>39</v>
      </c>
      <c r="F691" t="s">
        <v>70</v>
      </c>
      <c r="G691">
        <v>113948</v>
      </c>
      <c r="H691">
        <v>1</v>
      </c>
      <c r="I691">
        <v>0</v>
      </c>
      <c r="J691">
        <v>0</v>
      </c>
      <c r="K691">
        <v>0</v>
      </c>
      <c r="L691" t="s">
        <v>72</v>
      </c>
      <c r="M691" t="s">
        <v>93</v>
      </c>
      <c r="N691" t="s">
        <v>86</v>
      </c>
      <c r="O691" t="s">
        <v>67</v>
      </c>
      <c r="P691" t="s">
        <v>68</v>
      </c>
      <c r="Q691" t="s">
        <v>46</v>
      </c>
      <c r="R691">
        <v>1</v>
      </c>
      <c r="S691">
        <v>0</v>
      </c>
      <c r="T691">
        <v>1</v>
      </c>
      <c r="U691">
        <v>1</v>
      </c>
      <c r="V691">
        <v>0</v>
      </c>
      <c r="W691">
        <v>0</v>
      </c>
      <c r="X691">
        <v>1</v>
      </c>
      <c r="Y691">
        <v>0</v>
      </c>
      <c r="Z691">
        <v>0</v>
      </c>
      <c r="AA691">
        <v>0</v>
      </c>
      <c r="AB691">
        <v>1</v>
      </c>
      <c r="AC691">
        <v>0</v>
      </c>
      <c r="AD691">
        <v>0</v>
      </c>
      <c r="AE691">
        <v>0</v>
      </c>
    </row>
    <row r="692" spans="1:31" x14ac:dyDescent="0.2">
      <c r="A692" t="s">
        <v>260</v>
      </c>
      <c r="B692" t="s">
        <v>102</v>
      </c>
      <c r="C692">
        <v>55</v>
      </c>
      <c r="D692" t="s">
        <v>78</v>
      </c>
      <c r="E692" t="s">
        <v>39</v>
      </c>
      <c r="F692" t="s">
        <v>40</v>
      </c>
      <c r="G692">
        <v>48188</v>
      </c>
      <c r="H692">
        <v>0</v>
      </c>
      <c r="I692">
        <v>0</v>
      </c>
      <c r="J692">
        <v>0</v>
      </c>
      <c r="K692">
        <v>1</v>
      </c>
      <c r="L692" t="s">
        <v>81</v>
      </c>
      <c r="M692" t="s">
        <v>43</v>
      </c>
      <c r="N692" t="s">
        <v>42</v>
      </c>
      <c r="O692" t="s">
        <v>67</v>
      </c>
      <c r="P692" t="s">
        <v>46</v>
      </c>
      <c r="Q692" t="s">
        <v>45</v>
      </c>
      <c r="R692">
        <v>0</v>
      </c>
      <c r="S692">
        <v>0</v>
      </c>
      <c r="T692">
        <v>1</v>
      </c>
      <c r="U692">
        <v>1</v>
      </c>
      <c r="V692">
        <v>1</v>
      </c>
      <c r="W692">
        <v>0</v>
      </c>
      <c r="X692">
        <v>1</v>
      </c>
      <c r="Y692">
        <v>0</v>
      </c>
      <c r="Z692">
        <v>0</v>
      </c>
      <c r="AA692">
        <v>0</v>
      </c>
      <c r="AB692">
        <v>0</v>
      </c>
      <c r="AC692">
        <v>0</v>
      </c>
      <c r="AD692">
        <v>0</v>
      </c>
      <c r="AE692">
        <v>1</v>
      </c>
    </row>
    <row r="693" spans="1:31" x14ac:dyDescent="0.2">
      <c r="A693" t="s">
        <v>260</v>
      </c>
      <c r="B693" t="s">
        <v>102</v>
      </c>
      <c r="C693">
        <v>55</v>
      </c>
      <c r="D693" t="s">
        <v>78</v>
      </c>
      <c r="E693" t="s">
        <v>52</v>
      </c>
      <c r="F693" t="s">
        <v>74</v>
      </c>
      <c r="G693">
        <v>28492</v>
      </c>
      <c r="H693">
        <v>1</v>
      </c>
      <c r="I693">
        <v>0</v>
      </c>
      <c r="J693">
        <v>0</v>
      </c>
      <c r="K693">
        <v>0</v>
      </c>
      <c r="L693" t="s">
        <v>35</v>
      </c>
      <c r="M693" t="s">
        <v>35</v>
      </c>
      <c r="N693" t="s">
        <v>35</v>
      </c>
      <c r="O693" t="s">
        <v>35</v>
      </c>
      <c r="P693" t="s">
        <v>35</v>
      </c>
      <c r="Q693" t="s">
        <v>35</v>
      </c>
      <c r="R693" t="s">
        <v>35</v>
      </c>
      <c r="S693">
        <v>0</v>
      </c>
      <c r="T693">
        <v>1</v>
      </c>
      <c r="U693">
        <v>1</v>
      </c>
      <c r="V693">
        <v>1</v>
      </c>
      <c r="W693">
        <v>0</v>
      </c>
      <c r="X693">
        <v>1</v>
      </c>
      <c r="Y693">
        <v>0</v>
      </c>
      <c r="Z693">
        <v>0</v>
      </c>
      <c r="AA693">
        <v>0</v>
      </c>
      <c r="AB693">
        <v>0</v>
      </c>
      <c r="AC693">
        <v>0</v>
      </c>
      <c r="AD693">
        <v>0</v>
      </c>
      <c r="AE693">
        <v>1</v>
      </c>
    </row>
    <row r="694" spans="1:31" x14ac:dyDescent="0.2">
      <c r="A694" t="s">
        <v>260</v>
      </c>
      <c r="B694" t="s">
        <v>102</v>
      </c>
      <c r="C694">
        <v>55</v>
      </c>
      <c r="D694" t="s">
        <v>78</v>
      </c>
      <c r="E694" t="s">
        <v>39</v>
      </c>
      <c r="F694" t="s">
        <v>47</v>
      </c>
      <c r="G694">
        <v>50700</v>
      </c>
      <c r="H694">
        <v>0</v>
      </c>
      <c r="I694">
        <v>0</v>
      </c>
      <c r="J694">
        <v>0</v>
      </c>
      <c r="K694">
        <v>1</v>
      </c>
      <c r="L694" t="s">
        <v>49</v>
      </c>
      <c r="M694" t="s">
        <v>80</v>
      </c>
      <c r="N694" t="s">
        <v>95</v>
      </c>
      <c r="O694" t="s">
        <v>44</v>
      </c>
      <c r="P694" t="s">
        <v>67</v>
      </c>
      <c r="Q694" t="s">
        <v>68</v>
      </c>
      <c r="R694">
        <v>1</v>
      </c>
      <c r="S694">
        <v>1</v>
      </c>
      <c r="T694">
        <v>0</v>
      </c>
      <c r="U694">
        <v>1</v>
      </c>
      <c r="V694">
        <v>0</v>
      </c>
      <c r="W694">
        <v>0</v>
      </c>
      <c r="X694">
        <v>1</v>
      </c>
      <c r="Y694">
        <v>0</v>
      </c>
      <c r="Z694">
        <v>0</v>
      </c>
      <c r="AA694">
        <v>0</v>
      </c>
      <c r="AB694">
        <v>0</v>
      </c>
      <c r="AC694">
        <v>0</v>
      </c>
      <c r="AD694">
        <v>0</v>
      </c>
      <c r="AE694">
        <v>1</v>
      </c>
    </row>
    <row r="695" spans="1:31" x14ac:dyDescent="0.2">
      <c r="A695" t="s">
        <v>260</v>
      </c>
      <c r="B695" t="s">
        <v>102</v>
      </c>
      <c r="C695">
        <v>55</v>
      </c>
      <c r="D695" t="s">
        <v>78</v>
      </c>
      <c r="E695" t="s">
        <v>52</v>
      </c>
      <c r="F695" t="s">
        <v>53</v>
      </c>
      <c r="G695">
        <v>51515</v>
      </c>
      <c r="H695">
        <v>0</v>
      </c>
      <c r="I695">
        <v>0</v>
      </c>
      <c r="J695">
        <v>0</v>
      </c>
      <c r="K695">
        <v>1</v>
      </c>
      <c r="L695" t="s">
        <v>35</v>
      </c>
      <c r="M695" t="s">
        <v>35</v>
      </c>
      <c r="N695" t="s">
        <v>35</v>
      </c>
      <c r="O695" t="s">
        <v>35</v>
      </c>
      <c r="P695" t="s">
        <v>35</v>
      </c>
      <c r="Q695" t="s">
        <v>35</v>
      </c>
      <c r="R695" t="s">
        <v>35</v>
      </c>
      <c r="S695">
        <v>1</v>
      </c>
      <c r="T695">
        <v>0</v>
      </c>
      <c r="U695">
        <v>1</v>
      </c>
      <c r="V695">
        <v>0</v>
      </c>
      <c r="W695">
        <v>0</v>
      </c>
      <c r="X695">
        <v>1</v>
      </c>
      <c r="Y695">
        <v>0</v>
      </c>
      <c r="Z695">
        <v>0</v>
      </c>
      <c r="AA695">
        <v>0</v>
      </c>
      <c r="AB695">
        <v>0</v>
      </c>
      <c r="AC695">
        <v>0</v>
      </c>
      <c r="AD695">
        <v>0</v>
      </c>
      <c r="AE695">
        <v>1</v>
      </c>
    </row>
    <row r="696" spans="1:31" x14ac:dyDescent="0.2">
      <c r="A696" t="s">
        <v>260</v>
      </c>
      <c r="B696" t="s">
        <v>102</v>
      </c>
      <c r="C696">
        <v>55</v>
      </c>
      <c r="D696" t="s">
        <v>78</v>
      </c>
      <c r="E696" t="s">
        <v>39</v>
      </c>
      <c r="F696" t="s">
        <v>54</v>
      </c>
      <c r="G696">
        <v>38667</v>
      </c>
      <c r="H696">
        <v>0</v>
      </c>
      <c r="I696">
        <v>0</v>
      </c>
      <c r="J696">
        <v>0</v>
      </c>
      <c r="K696">
        <v>1</v>
      </c>
      <c r="L696" t="s">
        <v>56</v>
      </c>
      <c r="M696" t="s">
        <v>55</v>
      </c>
      <c r="N696" t="s">
        <v>57</v>
      </c>
      <c r="O696" t="s">
        <v>45</v>
      </c>
      <c r="P696" t="s">
        <v>44</v>
      </c>
      <c r="Q696" t="s">
        <v>46</v>
      </c>
      <c r="R696">
        <v>0</v>
      </c>
      <c r="S696">
        <v>1</v>
      </c>
      <c r="T696">
        <v>1</v>
      </c>
      <c r="U696">
        <v>0</v>
      </c>
      <c r="V696">
        <v>1</v>
      </c>
      <c r="W696">
        <v>0</v>
      </c>
      <c r="X696">
        <v>1</v>
      </c>
      <c r="Y696">
        <v>0</v>
      </c>
      <c r="Z696">
        <v>0</v>
      </c>
      <c r="AA696">
        <v>0</v>
      </c>
      <c r="AB696">
        <v>0</v>
      </c>
      <c r="AC696">
        <v>0</v>
      </c>
      <c r="AD696">
        <v>0</v>
      </c>
      <c r="AE696">
        <v>1</v>
      </c>
    </row>
    <row r="697" spans="1:31" x14ac:dyDescent="0.2">
      <c r="A697" t="s">
        <v>260</v>
      </c>
      <c r="B697" t="s">
        <v>102</v>
      </c>
      <c r="C697">
        <v>55</v>
      </c>
      <c r="D697" t="s">
        <v>78</v>
      </c>
      <c r="E697" t="s">
        <v>39</v>
      </c>
      <c r="F697" t="s">
        <v>63</v>
      </c>
      <c r="G697">
        <v>27476</v>
      </c>
      <c r="H697">
        <v>0</v>
      </c>
      <c r="I697">
        <v>1</v>
      </c>
      <c r="J697">
        <v>0</v>
      </c>
      <c r="K697">
        <v>0</v>
      </c>
      <c r="L697" t="s">
        <v>66</v>
      </c>
      <c r="M697" t="s">
        <v>64</v>
      </c>
      <c r="N697" t="s">
        <v>84</v>
      </c>
      <c r="O697" t="s">
        <v>45</v>
      </c>
      <c r="P697" t="s">
        <v>67</v>
      </c>
      <c r="Q697" t="s">
        <v>46</v>
      </c>
      <c r="R697">
        <v>0</v>
      </c>
      <c r="S697">
        <v>0</v>
      </c>
      <c r="T697">
        <v>1</v>
      </c>
      <c r="U697">
        <v>1</v>
      </c>
      <c r="V697">
        <v>1</v>
      </c>
      <c r="W697">
        <v>0</v>
      </c>
      <c r="X697">
        <v>1</v>
      </c>
      <c r="Y697">
        <v>0</v>
      </c>
      <c r="Z697">
        <v>0</v>
      </c>
      <c r="AA697">
        <v>0</v>
      </c>
      <c r="AB697">
        <v>1</v>
      </c>
      <c r="AC697">
        <v>0</v>
      </c>
      <c r="AD697">
        <v>0</v>
      </c>
      <c r="AE697">
        <v>0</v>
      </c>
    </row>
    <row r="698" spans="1:31" x14ac:dyDescent="0.2">
      <c r="A698" t="s">
        <v>260</v>
      </c>
      <c r="B698" t="s">
        <v>102</v>
      </c>
      <c r="C698">
        <v>55</v>
      </c>
      <c r="D698" t="s">
        <v>78</v>
      </c>
      <c r="E698" t="s">
        <v>52</v>
      </c>
      <c r="F698" t="s">
        <v>69</v>
      </c>
      <c r="G698">
        <v>59136</v>
      </c>
      <c r="H698">
        <v>0</v>
      </c>
      <c r="I698">
        <v>0</v>
      </c>
      <c r="J698">
        <v>1</v>
      </c>
      <c r="K698">
        <v>0</v>
      </c>
      <c r="L698" t="s">
        <v>35</v>
      </c>
      <c r="M698" t="s">
        <v>35</v>
      </c>
      <c r="N698" t="s">
        <v>35</v>
      </c>
      <c r="O698" t="s">
        <v>35</v>
      </c>
      <c r="P698" t="s">
        <v>35</v>
      </c>
      <c r="Q698" t="s">
        <v>35</v>
      </c>
      <c r="R698" t="s">
        <v>35</v>
      </c>
      <c r="S698">
        <v>0</v>
      </c>
      <c r="T698">
        <v>1</v>
      </c>
      <c r="U698">
        <v>1</v>
      </c>
      <c r="V698">
        <v>1</v>
      </c>
      <c r="W698">
        <v>0</v>
      </c>
      <c r="X698">
        <v>1</v>
      </c>
      <c r="Y698">
        <v>0</v>
      </c>
      <c r="Z698">
        <v>0</v>
      </c>
      <c r="AA698">
        <v>0</v>
      </c>
      <c r="AB698">
        <v>1</v>
      </c>
      <c r="AC698">
        <v>0</v>
      </c>
      <c r="AD698">
        <v>0</v>
      </c>
      <c r="AE698">
        <v>0</v>
      </c>
    </row>
    <row r="699" spans="1:31" x14ac:dyDescent="0.2">
      <c r="A699" t="s">
        <v>260</v>
      </c>
      <c r="B699" t="s">
        <v>102</v>
      </c>
      <c r="C699">
        <v>55</v>
      </c>
      <c r="D699" t="s">
        <v>78</v>
      </c>
      <c r="E699" t="s">
        <v>39</v>
      </c>
      <c r="F699" t="s">
        <v>59</v>
      </c>
      <c r="G699">
        <v>75412</v>
      </c>
      <c r="H699">
        <v>1</v>
      </c>
      <c r="I699">
        <v>0</v>
      </c>
      <c r="J699">
        <v>0</v>
      </c>
      <c r="K699">
        <v>0</v>
      </c>
      <c r="L699" t="s">
        <v>61</v>
      </c>
      <c r="M699" t="s">
        <v>60</v>
      </c>
      <c r="N699" t="s">
        <v>62</v>
      </c>
      <c r="O699" t="s">
        <v>46</v>
      </c>
      <c r="P699" t="s">
        <v>44</v>
      </c>
      <c r="Q699" t="s">
        <v>45</v>
      </c>
      <c r="R699">
        <v>0</v>
      </c>
      <c r="S699">
        <v>1</v>
      </c>
      <c r="T699">
        <v>1</v>
      </c>
      <c r="U699">
        <v>0</v>
      </c>
      <c r="V699">
        <v>1</v>
      </c>
      <c r="W699">
        <v>0</v>
      </c>
      <c r="X699">
        <v>1</v>
      </c>
      <c r="Y699">
        <v>0</v>
      </c>
      <c r="Z699">
        <v>0</v>
      </c>
      <c r="AA699">
        <v>1</v>
      </c>
      <c r="AB699">
        <v>0</v>
      </c>
      <c r="AC699">
        <v>0</v>
      </c>
      <c r="AD699">
        <v>0</v>
      </c>
      <c r="AE699">
        <v>0</v>
      </c>
    </row>
    <row r="700" spans="1:31" x14ac:dyDescent="0.2">
      <c r="A700" t="s">
        <v>260</v>
      </c>
      <c r="B700" t="s">
        <v>102</v>
      </c>
      <c r="C700">
        <v>55</v>
      </c>
      <c r="D700" t="s">
        <v>78</v>
      </c>
      <c r="E700" t="s">
        <v>52</v>
      </c>
      <c r="F700" t="s">
        <v>58</v>
      </c>
      <c r="G700">
        <v>27264</v>
      </c>
      <c r="H700">
        <v>1</v>
      </c>
      <c r="I700">
        <v>0</v>
      </c>
      <c r="J700">
        <v>0</v>
      </c>
      <c r="K700">
        <v>0</v>
      </c>
      <c r="L700" t="s">
        <v>35</v>
      </c>
      <c r="M700" t="s">
        <v>35</v>
      </c>
      <c r="N700" t="s">
        <v>35</v>
      </c>
      <c r="O700" t="s">
        <v>35</v>
      </c>
      <c r="P700" t="s">
        <v>35</v>
      </c>
      <c r="Q700" t="s">
        <v>35</v>
      </c>
      <c r="R700" t="s">
        <v>35</v>
      </c>
      <c r="S700">
        <v>1</v>
      </c>
      <c r="T700">
        <v>1</v>
      </c>
      <c r="U700">
        <v>0</v>
      </c>
      <c r="V700">
        <v>1</v>
      </c>
      <c r="W700">
        <v>0</v>
      </c>
      <c r="X700">
        <v>1</v>
      </c>
      <c r="Y700">
        <v>0</v>
      </c>
      <c r="Z700">
        <v>0</v>
      </c>
      <c r="AA700">
        <v>1</v>
      </c>
      <c r="AB700">
        <v>0</v>
      </c>
      <c r="AC700">
        <v>0</v>
      </c>
      <c r="AD700">
        <v>0</v>
      </c>
      <c r="AE700">
        <v>0</v>
      </c>
    </row>
    <row r="701" spans="1:31" x14ac:dyDescent="0.2">
      <c r="A701" t="s">
        <v>260</v>
      </c>
      <c r="B701" t="s">
        <v>102</v>
      </c>
      <c r="C701">
        <v>55</v>
      </c>
      <c r="D701" t="s">
        <v>78</v>
      </c>
      <c r="E701" t="s">
        <v>75</v>
      </c>
      <c r="F701" t="s">
        <v>35</v>
      </c>
      <c r="G701">
        <v>312056</v>
      </c>
      <c r="H701" t="s">
        <v>261</v>
      </c>
      <c r="I701" t="s">
        <v>262</v>
      </c>
      <c r="J701" t="s">
        <v>263</v>
      </c>
      <c r="K701" t="s">
        <v>35</v>
      </c>
      <c r="L701" t="s">
        <v>35</v>
      </c>
      <c r="M701" t="s">
        <v>35</v>
      </c>
      <c r="N701" t="s">
        <v>35</v>
      </c>
      <c r="O701" t="s">
        <v>35</v>
      </c>
      <c r="P701" t="s">
        <v>35</v>
      </c>
      <c r="Q701" t="s">
        <v>35</v>
      </c>
      <c r="R701" t="s">
        <v>35</v>
      </c>
      <c r="S701" t="s">
        <v>35</v>
      </c>
      <c r="T701" t="s">
        <v>35</v>
      </c>
      <c r="U701" t="s">
        <v>35</v>
      </c>
      <c r="V701" t="s">
        <v>35</v>
      </c>
      <c r="W701" t="s">
        <v>35</v>
      </c>
      <c r="X701" t="s">
        <v>35</v>
      </c>
      <c r="Y701" t="s">
        <v>35</v>
      </c>
      <c r="Z701" t="s">
        <v>35</v>
      </c>
      <c r="AA701" t="s">
        <v>35</v>
      </c>
      <c r="AB701" t="s">
        <v>35</v>
      </c>
      <c r="AC701" t="s">
        <v>35</v>
      </c>
      <c r="AD701" t="s">
        <v>35</v>
      </c>
      <c r="AE701" t="s">
        <v>35</v>
      </c>
    </row>
    <row r="702" spans="1:31" x14ac:dyDescent="0.2">
      <c r="A702" t="s">
        <v>264</v>
      </c>
      <c r="B702" t="s">
        <v>107</v>
      </c>
      <c r="C702">
        <v>27</v>
      </c>
      <c r="D702" t="s">
        <v>78</v>
      </c>
      <c r="E702" t="s">
        <v>34</v>
      </c>
      <c r="F702" t="s">
        <v>35</v>
      </c>
      <c r="G702">
        <v>488227</v>
      </c>
      <c r="H702" t="s">
        <v>35</v>
      </c>
      <c r="I702" t="s">
        <v>35</v>
      </c>
      <c r="J702" t="s">
        <v>35</v>
      </c>
      <c r="K702" t="s">
        <v>35</v>
      </c>
      <c r="L702" t="s">
        <v>35</v>
      </c>
      <c r="M702" t="s">
        <v>35</v>
      </c>
      <c r="N702" t="s">
        <v>35</v>
      </c>
      <c r="O702" t="s">
        <v>35</v>
      </c>
      <c r="P702" t="s">
        <v>35</v>
      </c>
      <c r="Q702" t="s">
        <v>35</v>
      </c>
      <c r="R702" t="s">
        <v>35</v>
      </c>
      <c r="S702" t="s">
        <v>35</v>
      </c>
      <c r="T702" t="s">
        <v>35</v>
      </c>
      <c r="U702" t="s">
        <v>35</v>
      </c>
      <c r="V702" t="s">
        <v>35</v>
      </c>
      <c r="W702" t="s">
        <v>35</v>
      </c>
      <c r="X702" t="s">
        <v>35</v>
      </c>
      <c r="Y702" t="s">
        <v>35</v>
      </c>
      <c r="Z702" t="s">
        <v>35</v>
      </c>
      <c r="AA702" t="s">
        <v>35</v>
      </c>
      <c r="AB702" t="s">
        <v>35</v>
      </c>
      <c r="AC702" t="s">
        <v>35</v>
      </c>
      <c r="AD702" t="s">
        <v>35</v>
      </c>
      <c r="AE702" t="s">
        <v>35</v>
      </c>
    </row>
    <row r="703" spans="1:31" x14ac:dyDescent="0.2">
      <c r="A703" t="s">
        <v>264</v>
      </c>
      <c r="B703" t="s">
        <v>107</v>
      </c>
      <c r="C703">
        <v>27</v>
      </c>
      <c r="D703" t="s">
        <v>78</v>
      </c>
      <c r="E703" t="s">
        <v>36</v>
      </c>
      <c r="F703" t="s">
        <v>38</v>
      </c>
      <c r="G703">
        <v>73833</v>
      </c>
      <c r="H703">
        <v>0</v>
      </c>
      <c r="I703">
        <v>0</v>
      </c>
      <c r="J703">
        <v>0</v>
      </c>
      <c r="K703">
        <v>1</v>
      </c>
      <c r="L703" t="s">
        <v>35</v>
      </c>
      <c r="M703" t="s">
        <v>35</v>
      </c>
      <c r="N703" t="s">
        <v>35</v>
      </c>
      <c r="O703" t="s">
        <v>35</v>
      </c>
      <c r="P703" t="s">
        <v>35</v>
      </c>
      <c r="Q703" t="s">
        <v>35</v>
      </c>
      <c r="R703" t="s">
        <v>35</v>
      </c>
      <c r="S703" t="s">
        <v>35</v>
      </c>
      <c r="T703" t="s">
        <v>35</v>
      </c>
      <c r="U703" t="s">
        <v>35</v>
      </c>
      <c r="V703" t="s">
        <v>35</v>
      </c>
      <c r="W703" t="s">
        <v>35</v>
      </c>
      <c r="X703" t="s">
        <v>35</v>
      </c>
      <c r="Y703" t="s">
        <v>35</v>
      </c>
      <c r="Z703" t="s">
        <v>35</v>
      </c>
      <c r="AA703" t="s">
        <v>35</v>
      </c>
      <c r="AB703" t="s">
        <v>35</v>
      </c>
      <c r="AC703" t="s">
        <v>35</v>
      </c>
      <c r="AD703" t="s">
        <v>35</v>
      </c>
      <c r="AE703" t="s">
        <v>35</v>
      </c>
    </row>
    <row r="704" spans="1:31" x14ac:dyDescent="0.2">
      <c r="A704" t="s">
        <v>264</v>
      </c>
      <c r="B704" t="s">
        <v>107</v>
      </c>
      <c r="C704">
        <v>27</v>
      </c>
      <c r="D704" t="s">
        <v>78</v>
      </c>
      <c r="E704" t="s">
        <v>36</v>
      </c>
      <c r="F704" t="s">
        <v>37</v>
      </c>
      <c r="G704">
        <v>7830</v>
      </c>
      <c r="H704">
        <v>0</v>
      </c>
      <c r="I704">
        <v>0</v>
      </c>
      <c r="J704">
        <v>1</v>
      </c>
      <c r="K704">
        <v>0</v>
      </c>
      <c r="L704" t="s">
        <v>35</v>
      </c>
      <c r="M704" t="s">
        <v>35</v>
      </c>
      <c r="N704" t="s">
        <v>35</v>
      </c>
      <c r="O704" t="s">
        <v>35</v>
      </c>
      <c r="P704" t="s">
        <v>35</v>
      </c>
      <c r="Q704" t="s">
        <v>35</v>
      </c>
      <c r="R704" t="s">
        <v>35</v>
      </c>
      <c r="S704" t="s">
        <v>35</v>
      </c>
      <c r="T704" t="s">
        <v>35</v>
      </c>
      <c r="U704" t="s">
        <v>35</v>
      </c>
      <c r="V704" t="s">
        <v>35</v>
      </c>
      <c r="W704" t="s">
        <v>35</v>
      </c>
      <c r="X704" t="s">
        <v>35</v>
      </c>
      <c r="Y704" t="s">
        <v>35</v>
      </c>
      <c r="Z704" t="s">
        <v>35</v>
      </c>
      <c r="AA704" t="s">
        <v>35</v>
      </c>
      <c r="AB704" t="s">
        <v>35</v>
      </c>
      <c r="AC704" t="s">
        <v>35</v>
      </c>
      <c r="AD704" t="s">
        <v>35</v>
      </c>
      <c r="AE704" t="s">
        <v>35</v>
      </c>
    </row>
    <row r="705" spans="1:31" x14ac:dyDescent="0.2">
      <c r="A705" t="s">
        <v>264</v>
      </c>
      <c r="B705" t="s">
        <v>107</v>
      </c>
      <c r="C705">
        <v>27</v>
      </c>
      <c r="D705" t="s">
        <v>78</v>
      </c>
      <c r="E705" t="s">
        <v>39</v>
      </c>
      <c r="F705" t="s">
        <v>59</v>
      </c>
      <c r="G705">
        <v>281691</v>
      </c>
      <c r="H705">
        <v>1</v>
      </c>
      <c r="I705">
        <v>1</v>
      </c>
      <c r="J705">
        <v>0</v>
      </c>
      <c r="K705">
        <v>0</v>
      </c>
      <c r="L705" t="s">
        <v>61</v>
      </c>
      <c r="M705" t="s">
        <v>83</v>
      </c>
      <c r="N705" t="s">
        <v>60</v>
      </c>
      <c r="O705" t="s">
        <v>46</v>
      </c>
      <c r="P705" t="s">
        <v>51</v>
      </c>
      <c r="Q705" t="s">
        <v>44</v>
      </c>
      <c r="R705">
        <v>0</v>
      </c>
      <c r="S705">
        <v>1</v>
      </c>
      <c r="T705">
        <v>1</v>
      </c>
      <c r="U705">
        <v>0</v>
      </c>
      <c r="V705">
        <v>0</v>
      </c>
      <c r="W705">
        <v>0</v>
      </c>
      <c r="X705">
        <v>1</v>
      </c>
      <c r="Y705">
        <v>0</v>
      </c>
      <c r="Z705">
        <v>0</v>
      </c>
      <c r="AA705">
        <v>1</v>
      </c>
      <c r="AB705">
        <v>0</v>
      </c>
      <c r="AC705">
        <v>0</v>
      </c>
      <c r="AD705">
        <v>0</v>
      </c>
      <c r="AE705">
        <v>0</v>
      </c>
    </row>
    <row r="706" spans="1:31" x14ac:dyDescent="0.2">
      <c r="A706" t="s">
        <v>264</v>
      </c>
      <c r="B706" t="s">
        <v>107</v>
      </c>
      <c r="C706">
        <v>27</v>
      </c>
      <c r="D706" t="s">
        <v>78</v>
      </c>
      <c r="E706" t="s">
        <v>39</v>
      </c>
      <c r="F706" t="s">
        <v>40</v>
      </c>
      <c r="G706">
        <v>32654</v>
      </c>
      <c r="H706">
        <v>0</v>
      </c>
      <c r="I706">
        <v>1</v>
      </c>
      <c r="J706">
        <v>1</v>
      </c>
      <c r="K706">
        <v>0</v>
      </c>
      <c r="L706" t="s">
        <v>41</v>
      </c>
      <c r="M706" t="s">
        <v>81</v>
      </c>
      <c r="N706" t="s">
        <v>91</v>
      </c>
      <c r="O706" t="s">
        <v>44</v>
      </c>
      <c r="P706" t="s">
        <v>67</v>
      </c>
      <c r="Q706" t="s">
        <v>51</v>
      </c>
      <c r="R706">
        <v>0</v>
      </c>
      <c r="S706">
        <v>1</v>
      </c>
      <c r="T706">
        <v>0</v>
      </c>
      <c r="U706">
        <v>1</v>
      </c>
      <c r="V706">
        <v>0</v>
      </c>
      <c r="W706">
        <v>0</v>
      </c>
      <c r="X706">
        <v>1</v>
      </c>
      <c r="Y706">
        <v>0</v>
      </c>
      <c r="Z706">
        <v>0</v>
      </c>
      <c r="AA706">
        <v>0</v>
      </c>
      <c r="AB706">
        <v>1</v>
      </c>
      <c r="AC706">
        <v>0</v>
      </c>
      <c r="AD706">
        <v>0</v>
      </c>
      <c r="AE706">
        <v>0</v>
      </c>
    </row>
    <row r="707" spans="1:31" x14ac:dyDescent="0.2">
      <c r="A707" t="s">
        <v>264</v>
      </c>
      <c r="B707" t="s">
        <v>107</v>
      </c>
      <c r="C707">
        <v>27</v>
      </c>
      <c r="D707" t="s">
        <v>78</v>
      </c>
      <c r="E707" t="s">
        <v>52</v>
      </c>
      <c r="F707" t="s">
        <v>74</v>
      </c>
      <c r="G707">
        <v>3805</v>
      </c>
      <c r="H707">
        <v>1</v>
      </c>
      <c r="I707">
        <v>1</v>
      </c>
      <c r="J707">
        <v>0</v>
      </c>
      <c r="K707">
        <v>0</v>
      </c>
      <c r="L707" t="s">
        <v>35</v>
      </c>
      <c r="M707" t="s">
        <v>35</v>
      </c>
      <c r="N707" t="s">
        <v>35</v>
      </c>
      <c r="O707" t="s">
        <v>35</v>
      </c>
      <c r="P707" t="s">
        <v>35</v>
      </c>
      <c r="Q707" t="s">
        <v>35</v>
      </c>
      <c r="R707" t="s">
        <v>35</v>
      </c>
      <c r="S707">
        <v>1</v>
      </c>
      <c r="T707">
        <v>0</v>
      </c>
      <c r="U707">
        <v>1</v>
      </c>
      <c r="V707">
        <v>0</v>
      </c>
      <c r="W707">
        <v>0</v>
      </c>
      <c r="X707">
        <v>1</v>
      </c>
      <c r="Y707">
        <v>0</v>
      </c>
      <c r="Z707">
        <v>0</v>
      </c>
      <c r="AA707">
        <v>0</v>
      </c>
      <c r="AB707">
        <v>1</v>
      </c>
      <c r="AC707">
        <v>0</v>
      </c>
      <c r="AD707">
        <v>0</v>
      </c>
      <c r="AE707">
        <v>0</v>
      </c>
    </row>
    <row r="708" spans="1:31" x14ac:dyDescent="0.2">
      <c r="A708" t="s">
        <v>264</v>
      </c>
      <c r="B708" t="s">
        <v>107</v>
      </c>
      <c r="C708">
        <v>27</v>
      </c>
      <c r="D708" t="s">
        <v>78</v>
      </c>
      <c r="E708" t="s">
        <v>39</v>
      </c>
      <c r="F708" t="s">
        <v>54</v>
      </c>
      <c r="G708">
        <v>3640</v>
      </c>
      <c r="H708">
        <v>0</v>
      </c>
      <c r="I708">
        <v>1</v>
      </c>
      <c r="J708">
        <v>1</v>
      </c>
      <c r="K708">
        <v>0</v>
      </c>
      <c r="L708" t="s">
        <v>57</v>
      </c>
      <c r="M708" t="s">
        <v>55</v>
      </c>
      <c r="N708" t="s">
        <v>56</v>
      </c>
      <c r="O708" t="s">
        <v>46</v>
      </c>
      <c r="P708" t="s">
        <v>44</v>
      </c>
      <c r="Q708" t="s">
        <v>45</v>
      </c>
      <c r="R708">
        <v>0</v>
      </c>
      <c r="S708">
        <v>1</v>
      </c>
      <c r="T708">
        <v>1</v>
      </c>
      <c r="U708">
        <v>0</v>
      </c>
      <c r="V708">
        <v>1</v>
      </c>
      <c r="W708">
        <v>0</v>
      </c>
      <c r="X708">
        <v>1</v>
      </c>
      <c r="Y708">
        <v>0</v>
      </c>
      <c r="Z708">
        <v>1</v>
      </c>
      <c r="AA708">
        <v>0</v>
      </c>
      <c r="AB708">
        <v>0</v>
      </c>
      <c r="AC708">
        <v>1</v>
      </c>
      <c r="AD708">
        <v>0</v>
      </c>
      <c r="AE708">
        <v>0</v>
      </c>
    </row>
    <row r="709" spans="1:31" x14ac:dyDescent="0.2">
      <c r="A709" t="s">
        <v>264</v>
      </c>
      <c r="B709" t="s">
        <v>107</v>
      </c>
      <c r="C709">
        <v>27</v>
      </c>
      <c r="D709" t="s">
        <v>78</v>
      </c>
      <c r="E709" t="s">
        <v>39</v>
      </c>
      <c r="F709" t="s">
        <v>47</v>
      </c>
      <c r="G709">
        <v>3316</v>
      </c>
      <c r="H709">
        <v>1</v>
      </c>
      <c r="I709">
        <v>1</v>
      </c>
      <c r="J709">
        <v>1</v>
      </c>
      <c r="K709">
        <v>0</v>
      </c>
      <c r="L709" t="s">
        <v>49</v>
      </c>
      <c r="M709" t="s">
        <v>80</v>
      </c>
      <c r="N709" t="s">
        <v>50</v>
      </c>
      <c r="O709" t="s">
        <v>44</v>
      </c>
      <c r="P709" t="s">
        <v>67</v>
      </c>
      <c r="Q709" t="s">
        <v>51</v>
      </c>
      <c r="R709">
        <v>0</v>
      </c>
      <c r="S709">
        <v>1</v>
      </c>
      <c r="T709">
        <v>0</v>
      </c>
      <c r="U709">
        <v>1</v>
      </c>
      <c r="V709">
        <v>0</v>
      </c>
      <c r="W709">
        <v>0</v>
      </c>
      <c r="X709">
        <v>1</v>
      </c>
      <c r="Y709">
        <v>0</v>
      </c>
      <c r="Z709">
        <v>1</v>
      </c>
      <c r="AA709">
        <v>0</v>
      </c>
      <c r="AB709">
        <v>1</v>
      </c>
      <c r="AC709">
        <v>0</v>
      </c>
      <c r="AD709">
        <v>0</v>
      </c>
      <c r="AE709">
        <v>0</v>
      </c>
    </row>
    <row r="710" spans="1:31" x14ac:dyDescent="0.2">
      <c r="A710" t="s">
        <v>264</v>
      </c>
      <c r="B710" t="s">
        <v>107</v>
      </c>
      <c r="C710">
        <v>27</v>
      </c>
      <c r="D710" t="s">
        <v>78</v>
      </c>
      <c r="E710" t="s">
        <v>52</v>
      </c>
      <c r="F710" t="s">
        <v>53</v>
      </c>
      <c r="G710">
        <v>2371</v>
      </c>
      <c r="H710">
        <v>0</v>
      </c>
      <c r="I710">
        <v>1</v>
      </c>
      <c r="J710">
        <v>1</v>
      </c>
      <c r="K710">
        <v>0</v>
      </c>
      <c r="L710" t="s">
        <v>35</v>
      </c>
      <c r="M710" t="s">
        <v>35</v>
      </c>
      <c r="N710" t="s">
        <v>35</v>
      </c>
      <c r="O710" t="s">
        <v>35</v>
      </c>
      <c r="P710" t="s">
        <v>35</v>
      </c>
      <c r="Q710" t="s">
        <v>35</v>
      </c>
      <c r="R710" t="s">
        <v>35</v>
      </c>
      <c r="S710">
        <v>1</v>
      </c>
      <c r="T710">
        <v>0</v>
      </c>
      <c r="U710">
        <v>1</v>
      </c>
      <c r="V710">
        <v>0</v>
      </c>
      <c r="W710">
        <v>0</v>
      </c>
      <c r="X710">
        <v>1</v>
      </c>
      <c r="Y710">
        <v>0</v>
      </c>
      <c r="Z710">
        <v>1</v>
      </c>
      <c r="AA710">
        <v>0</v>
      </c>
      <c r="AB710">
        <v>1</v>
      </c>
      <c r="AC710">
        <v>0</v>
      </c>
      <c r="AD710">
        <v>0</v>
      </c>
      <c r="AE710">
        <v>0</v>
      </c>
    </row>
    <row r="711" spans="1:31" x14ac:dyDescent="0.2">
      <c r="A711" t="s">
        <v>264</v>
      </c>
      <c r="B711" t="s">
        <v>107</v>
      </c>
      <c r="C711">
        <v>27</v>
      </c>
      <c r="D711" t="s">
        <v>78</v>
      </c>
      <c r="E711" t="s">
        <v>39</v>
      </c>
      <c r="F711" t="s">
        <v>63</v>
      </c>
      <c r="G711">
        <v>3504</v>
      </c>
      <c r="H711">
        <v>0</v>
      </c>
      <c r="I711">
        <v>1</v>
      </c>
      <c r="J711">
        <v>1</v>
      </c>
      <c r="K711">
        <v>0</v>
      </c>
      <c r="L711" t="s">
        <v>90</v>
      </c>
      <c r="M711" t="s">
        <v>84</v>
      </c>
      <c r="N711" t="s">
        <v>66</v>
      </c>
      <c r="O711" t="s">
        <v>44</v>
      </c>
      <c r="P711" t="s">
        <v>46</v>
      </c>
      <c r="Q711" t="s">
        <v>45</v>
      </c>
      <c r="R711">
        <v>0</v>
      </c>
      <c r="S711">
        <v>1</v>
      </c>
      <c r="T711">
        <v>1</v>
      </c>
      <c r="U711">
        <v>0</v>
      </c>
      <c r="V711">
        <v>1</v>
      </c>
      <c r="W711">
        <v>0</v>
      </c>
      <c r="X711">
        <v>1</v>
      </c>
      <c r="Y711">
        <v>0</v>
      </c>
      <c r="Z711">
        <v>0</v>
      </c>
      <c r="AA711">
        <v>1</v>
      </c>
      <c r="AB711">
        <v>0</v>
      </c>
      <c r="AC711">
        <v>1</v>
      </c>
      <c r="AD711">
        <v>0</v>
      </c>
      <c r="AE711">
        <v>0</v>
      </c>
    </row>
    <row r="712" spans="1:31" x14ac:dyDescent="0.2">
      <c r="A712" t="s">
        <v>264</v>
      </c>
      <c r="B712" t="s">
        <v>107</v>
      </c>
      <c r="C712">
        <v>27</v>
      </c>
      <c r="D712" t="s">
        <v>78</v>
      </c>
      <c r="E712" t="s">
        <v>52</v>
      </c>
      <c r="F712" t="s">
        <v>69</v>
      </c>
      <c r="G712">
        <v>2714</v>
      </c>
      <c r="H712">
        <v>1</v>
      </c>
      <c r="I712">
        <v>1</v>
      </c>
      <c r="J712">
        <v>0</v>
      </c>
      <c r="K712">
        <v>0</v>
      </c>
      <c r="L712" t="s">
        <v>35</v>
      </c>
      <c r="M712" t="s">
        <v>35</v>
      </c>
      <c r="N712" t="s">
        <v>35</v>
      </c>
      <c r="O712" t="s">
        <v>35</v>
      </c>
      <c r="P712" t="s">
        <v>35</v>
      </c>
      <c r="Q712" t="s">
        <v>35</v>
      </c>
      <c r="R712" t="s">
        <v>35</v>
      </c>
      <c r="S712">
        <v>1</v>
      </c>
      <c r="T712">
        <v>1</v>
      </c>
      <c r="U712">
        <v>0</v>
      </c>
      <c r="V712">
        <v>1</v>
      </c>
      <c r="W712">
        <v>0</v>
      </c>
      <c r="X712">
        <v>1</v>
      </c>
      <c r="Y712">
        <v>0</v>
      </c>
      <c r="Z712">
        <v>0</v>
      </c>
      <c r="AA712">
        <v>1</v>
      </c>
      <c r="AB712">
        <v>0</v>
      </c>
      <c r="AC712">
        <v>1</v>
      </c>
      <c r="AD712">
        <v>0</v>
      </c>
      <c r="AE712">
        <v>0</v>
      </c>
    </row>
    <row r="713" spans="1:31" x14ac:dyDescent="0.2">
      <c r="A713" t="s">
        <v>264</v>
      </c>
      <c r="B713" t="s">
        <v>107</v>
      </c>
      <c r="C713">
        <v>27</v>
      </c>
      <c r="D713" t="s">
        <v>78</v>
      </c>
      <c r="E713" t="s">
        <v>39</v>
      </c>
      <c r="F713" t="s">
        <v>70</v>
      </c>
      <c r="G713">
        <v>2407</v>
      </c>
      <c r="H713">
        <v>0</v>
      </c>
      <c r="I713">
        <v>1</v>
      </c>
      <c r="J713">
        <v>1</v>
      </c>
      <c r="K713">
        <v>0</v>
      </c>
      <c r="L713" t="s">
        <v>92</v>
      </c>
      <c r="M713" t="s">
        <v>73</v>
      </c>
      <c r="N713" t="s">
        <v>71</v>
      </c>
      <c r="O713" t="s">
        <v>51</v>
      </c>
      <c r="P713" t="s">
        <v>44</v>
      </c>
      <c r="Q713" t="s">
        <v>45</v>
      </c>
      <c r="R713">
        <v>0</v>
      </c>
      <c r="S713">
        <v>1</v>
      </c>
      <c r="T713">
        <v>0</v>
      </c>
      <c r="U713">
        <v>0</v>
      </c>
      <c r="V713">
        <v>1</v>
      </c>
      <c r="W713">
        <v>0</v>
      </c>
      <c r="X713">
        <v>1</v>
      </c>
      <c r="Y713">
        <v>0</v>
      </c>
      <c r="Z713">
        <v>1</v>
      </c>
      <c r="AA713">
        <v>0</v>
      </c>
      <c r="AB713">
        <v>0</v>
      </c>
      <c r="AC713">
        <v>1</v>
      </c>
      <c r="AD713">
        <v>0</v>
      </c>
      <c r="AE713">
        <v>0</v>
      </c>
    </row>
    <row r="714" spans="1:31" x14ac:dyDescent="0.2">
      <c r="A714" t="s">
        <v>264</v>
      </c>
      <c r="B714" t="s">
        <v>107</v>
      </c>
      <c r="C714">
        <v>27</v>
      </c>
      <c r="D714" t="s">
        <v>78</v>
      </c>
      <c r="E714" t="s">
        <v>52</v>
      </c>
      <c r="F714" t="s">
        <v>58</v>
      </c>
      <c r="G714">
        <v>3755</v>
      </c>
      <c r="H714">
        <v>0</v>
      </c>
      <c r="I714">
        <v>1</v>
      </c>
      <c r="J714">
        <v>1</v>
      </c>
      <c r="K714">
        <v>0</v>
      </c>
      <c r="L714" t="s">
        <v>35</v>
      </c>
      <c r="M714" t="s">
        <v>35</v>
      </c>
      <c r="N714" t="s">
        <v>35</v>
      </c>
      <c r="O714" t="s">
        <v>35</v>
      </c>
      <c r="P714" t="s">
        <v>35</v>
      </c>
      <c r="Q714" t="s">
        <v>35</v>
      </c>
      <c r="R714" t="s">
        <v>35</v>
      </c>
      <c r="S714">
        <v>1</v>
      </c>
      <c r="T714">
        <v>0</v>
      </c>
      <c r="U714">
        <v>0</v>
      </c>
      <c r="V714">
        <v>1</v>
      </c>
      <c r="W714">
        <v>0</v>
      </c>
      <c r="X714">
        <v>1</v>
      </c>
      <c r="Y714">
        <v>0</v>
      </c>
      <c r="Z714">
        <v>1</v>
      </c>
      <c r="AA714">
        <v>0</v>
      </c>
      <c r="AB714">
        <v>0</v>
      </c>
      <c r="AC714">
        <v>1</v>
      </c>
      <c r="AD714">
        <v>0</v>
      </c>
      <c r="AE714">
        <v>0</v>
      </c>
    </row>
    <row r="715" spans="1:31" x14ac:dyDescent="0.2">
      <c r="A715" t="s">
        <v>264</v>
      </c>
      <c r="B715" t="s">
        <v>107</v>
      </c>
      <c r="C715">
        <v>27</v>
      </c>
      <c r="D715" t="s">
        <v>78</v>
      </c>
      <c r="E715" t="s">
        <v>75</v>
      </c>
      <c r="F715" t="s">
        <v>35</v>
      </c>
      <c r="G715">
        <v>277347</v>
      </c>
      <c r="H715" t="s">
        <v>265</v>
      </c>
      <c r="I715" t="s">
        <v>266</v>
      </c>
      <c r="J715" t="s">
        <v>116</v>
      </c>
      <c r="K715" t="s">
        <v>35</v>
      </c>
      <c r="L715" t="s">
        <v>35</v>
      </c>
      <c r="M715" t="s">
        <v>35</v>
      </c>
      <c r="N715" t="s">
        <v>35</v>
      </c>
      <c r="O715" t="s">
        <v>35</v>
      </c>
      <c r="P715" t="s">
        <v>35</v>
      </c>
      <c r="Q715" t="s">
        <v>35</v>
      </c>
      <c r="R715" t="s">
        <v>35</v>
      </c>
      <c r="S715" t="s">
        <v>35</v>
      </c>
      <c r="T715" t="s">
        <v>35</v>
      </c>
      <c r="U715" t="s">
        <v>35</v>
      </c>
      <c r="V715" t="s">
        <v>35</v>
      </c>
      <c r="W715" t="s">
        <v>35</v>
      </c>
      <c r="X715" t="s">
        <v>35</v>
      </c>
      <c r="Y715" t="s">
        <v>35</v>
      </c>
      <c r="Z715" t="s">
        <v>35</v>
      </c>
      <c r="AA715" t="s">
        <v>35</v>
      </c>
      <c r="AB715" t="s">
        <v>35</v>
      </c>
      <c r="AC715" t="s">
        <v>35</v>
      </c>
      <c r="AD715" t="s">
        <v>35</v>
      </c>
      <c r="AE715" t="s">
        <v>35</v>
      </c>
    </row>
    <row r="716" spans="1:31" x14ac:dyDescent="0.2">
      <c r="A716" t="s">
        <v>267</v>
      </c>
      <c r="B716" t="s">
        <v>102</v>
      </c>
      <c r="C716">
        <v>36</v>
      </c>
      <c r="D716" t="s">
        <v>33</v>
      </c>
      <c r="E716" t="s">
        <v>34</v>
      </c>
      <c r="F716" t="s">
        <v>35</v>
      </c>
      <c r="G716">
        <v>37718</v>
      </c>
      <c r="H716" t="s">
        <v>35</v>
      </c>
      <c r="I716" t="s">
        <v>35</v>
      </c>
      <c r="J716" t="s">
        <v>35</v>
      </c>
      <c r="K716" t="s">
        <v>35</v>
      </c>
      <c r="L716" t="s">
        <v>35</v>
      </c>
      <c r="M716" t="s">
        <v>35</v>
      </c>
      <c r="N716" t="s">
        <v>35</v>
      </c>
      <c r="O716" t="s">
        <v>35</v>
      </c>
      <c r="P716" t="s">
        <v>35</v>
      </c>
      <c r="Q716" t="s">
        <v>35</v>
      </c>
      <c r="R716" t="s">
        <v>35</v>
      </c>
      <c r="S716" t="s">
        <v>35</v>
      </c>
      <c r="T716" t="s">
        <v>35</v>
      </c>
      <c r="U716" t="s">
        <v>35</v>
      </c>
      <c r="V716" t="s">
        <v>35</v>
      </c>
      <c r="W716" t="s">
        <v>35</v>
      </c>
      <c r="X716" t="s">
        <v>35</v>
      </c>
      <c r="Y716" t="s">
        <v>35</v>
      </c>
      <c r="Z716" t="s">
        <v>35</v>
      </c>
      <c r="AA716" t="s">
        <v>35</v>
      </c>
      <c r="AB716" t="s">
        <v>35</v>
      </c>
      <c r="AC716" t="s">
        <v>35</v>
      </c>
      <c r="AD716" t="s">
        <v>35</v>
      </c>
      <c r="AE716" t="s">
        <v>35</v>
      </c>
    </row>
    <row r="717" spans="1:31" x14ac:dyDescent="0.2">
      <c r="A717" t="s">
        <v>267</v>
      </c>
      <c r="B717" t="s">
        <v>102</v>
      </c>
      <c r="C717">
        <v>36</v>
      </c>
      <c r="D717" t="s">
        <v>33</v>
      </c>
      <c r="E717" t="s">
        <v>36</v>
      </c>
      <c r="F717" t="s">
        <v>37</v>
      </c>
      <c r="G717">
        <v>113593</v>
      </c>
      <c r="H717">
        <v>0</v>
      </c>
      <c r="I717">
        <v>0</v>
      </c>
      <c r="J717">
        <v>1</v>
      </c>
      <c r="K717">
        <v>0</v>
      </c>
      <c r="L717" t="s">
        <v>35</v>
      </c>
      <c r="M717" t="s">
        <v>35</v>
      </c>
      <c r="N717" t="s">
        <v>35</v>
      </c>
      <c r="O717" t="s">
        <v>35</v>
      </c>
      <c r="P717" t="s">
        <v>35</v>
      </c>
      <c r="Q717" t="s">
        <v>35</v>
      </c>
      <c r="R717" t="s">
        <v>35</v>
      </c>
      <c r="S717" t="s">
        <v>35</v>
      </c>
      <c r="T717" t="s">
        <v>35</v>
      </c>
      <c r="U717" t="s">
        <v>35</v>
      </c>
      <c r="V717" t="s">
        <v>35</v>
      </c>
      <c r="W717" t="s">
        <v>35</v>
      </c>
      <c r="X717" t="s">
        <v>35</v>
      </c>
      <c r="Y717" t="s">
        <v>35</v>
      </c>
      <c r="Z717" t="s">
        <v>35</v>
      </c>
      <c r="AA717" t="s">
        <v>35</v>
      </c>
      <c r="AB717" t="s">
        <v>35</v>
      </c>
      <c r="AC717" t="s">
        <v>35</v>
      </c>
      <c r="AD717" t="s">
        <v>35</v>
      </c>
      <c r="AE717" t="s">
        <v>35</v>
      </c>
    </row>
    <row r="718" spans="1:31" x14ac:dyDescent="0.2">
      <c r="A718" t="s">
        <v>267</v>
      </c>
      <c r="B718" t="s">
        <v>102</v>
      </c>
      <c r="C718">
        <v>36</v>
      </c>
      <c r="D718" t="s">
        <v>33</v>
      </c>
      <c r="E718" t="s">
        <v>36</v>
      </c>
      <c r="F718" t="s">
        <v>38</v>
      </c>
      <c r="G718">
        <v>62748</v>
      </c>
      <c r="H718">
        <v>0</v>
      </c>
      <c r="I718">
        <v>0</v>
      </c>
      <c r="J718">
        <v>0</v>
      </c>
      <c r="K718">
        <v>1</v>
      </c>
      <c r="L718" t="s">
        <v>35</v>
      </c>
      <c r="M718" t="s">
        <v>35</v>
      </c>
      <c r="N718" t="s">
        <v>35</v>
      </c>
      <c r="O718" t="s">
        <v>35</v>
      </c>
      <c r="P718" t="s">
        <v>35</v>
      </c>
      <c r="Q718" t="s">
        <v>35</v>
      </c>
      <c r="R718" t="s">
        <v>35</v>
      </c>
      <c r="S718" t="s">
        <v>35</v>
      </c>
      <c r="T718" t="s">
        <v>35</v>
      </c>
      <c r="U718" t="s">
        <v>35</v>
      </c>
      <c r="V718" t="s">
        <v>35</v>
      </c>
      <c r="W718" t="s">
        <v>35</v>
      </c>
      <c r="X718" t="s">
        <v>35</v>
      </c>
      <c r="Y718" t="s">
        <v>35</v>
      </c>
      <c r="Z718" t="s">
        <v>35</v>
      </c>
      <c r="AA718" t="s">
        <v>35</v>
      </c>
      <c r="AB718" t="s">
        <v>35</v>
      </c>
      <c r="AC718" t="s">
        <v>35</v>
      </c>
      <c r="AD718" t="s">
        <v>35</v>
      </c>
      <c r="AE718" t="s">
        <v>35</v>
      </c>
    </row>
    <row r="719" spans="1:31" x14ac:dyDescent="0.2">
      <c r="A719" t="s">
        <v>267</v>
      </c>
      <c r="B719" t="s">
        <v>102</v>
      </c>
      <c r="C719">
        <v>36</v>
      </c>
      <c r="D719" t="s">
        <v>33</v>
      </c>
      <c r="E719" t="s">
        <v>39</v>
      </c>
      <c r="F719" t="s">
        <v>47</v>
      </c>
      <c r="G719">
        <v>57578</v>
      </c>
      <c r="H719">
        <v>0</v>
      </c>
      <c r="I719">
        <v>0</v>
      </c>
      <c r="J719">
        <v>0</v>
      </c>
      <c r="K719">
        <v>1</v>
      </c>
      <c r="L719" t="s">
        <v>48</v>
      </c>
      <c r="M719" t="s">
        <v>79</v>
      </c>
      <c r="N719" t="s">
        <v>95</v>
      </c>
      <c r="O719" t="s">
        <v>46</v>
      </c>
      <c r="P719" t="s">
        <v>45</v>
      </c>
      <c r="Q719" t="s">
        <v>68</v>
      </c>
      <c r="R719">
        <v>1</v>
      </c>
      <c r="S719">
        <v>0</v>
      </c>
      <c r="T719">
        <v>1</v>
      </c>
      <c r="U719">
        <v>0</v>
      </c>
      <c r="V719">
        <v>1</v>
      </c>
      <c r="W719">
        <v>0</v>
      </c>
      <c r="X719">
        <v>1</v>
      </c>
      <c r="Y719">
        <v>0</v>
      </c>
      <c r="Z719">
        <v>0</v>
      </c>
      <c r="AA719">
        <v>0</v>
      </c>
      <c r="AB719">
        <v>0</v>
      </c>
      <c r="AC719">
        <v>0</v>
      </c>
      <c r="AD719">
        <v>0</v>
      </c>
      <c r="AE719">
        <v>1</v>
      </c>
    </row>
    <row r="720" spans="1:31" x14ac:dyDescent="0.2">
      <c r="A720" t="s">
        <v>267</v>
      </c>
      <c r="B720" t="s">
        <v>102</v>
      </c>
      <c r="C720">
        <v>36</v>
      </c>
      <c r="D720" t="s">
        <v>33</v>
      </c>
      <c r="E720" t="s">
        <v>39</v>
      </c>
      <c r="F720" t="s">
        <v>54</v>
      </c>
      <c r="G720">
        <v>80968</v>
      </c>
      <c r="H720">
        <v>0</v>
      </c>
      <c r="I720">
        <v>1</v>
      </c>
      <c r="J720">
        <v>0</v>
      </c>
      <c r="K720">
        <v>0</v>
      </c>
      <c r="L720" t="s">
        <v>89</v>
      </c>
      <c r="M720" t="s">
        <v>122</v>
      </c>
      <c r="N720" t="s">
        <v>57</v>
      </c>
      <c r="O720" t="s">
        <v>67</v>
      </c>
      <c r="P720" t="s">
        <v>68</v>
      </c>
      <c r="Q720" t="s">
        <v>46</v>
      </c>
      <c r="R720">
        <v>1</v>
      </c>
      <c r="S720">
        <v>0</v>
      </c>
      <c r="T720">
        <v>1</v>
      </c>
      <c r="U720">
        <v>1</v>
      </c>
      <c r="V720">
        <v>0</v>
      </c>
      <c r="W720">
        <v>0</v>
      </c>
      <c r="X720">
        <v>1</v>
      </c>
      <c r="Y720">
        <v>1</v>
      </c>
      <c r="Z720">
        <v>0</v>
      </c>
      <c r="AA720">
        <v>0</v>
      </c>
      <c r="AB720">
        <v>0</v>
      </c>
      <c r="AC720">
        <v>0</v>
      </c>
      <c r="AD720">
        <v>0</v>
      </c>
      <c r="AE720">
        <v>0</v>
      </c>
    </row>
    <row r="721" spans="1:31" x14ac:dyDescent="0.2">
      <c r="A721" t="s">
        <v>267</v>
      </c>
      <c r="B721" t="s">
        <v>102</v>
      </c>
      <c r="C721">
        <v>36</v>
      </c>
      <c r="D721" t="s">
        <v>33</v>
      </c>
      <c r="E721" t="s">
        <v>52</v>
      </c>
      <c r="F721" t="s">
        <v>53</v>
      </c>
      <c r="G721">
        <v>68012</v>
      </c>
      <c r="H721">
        <v>0</v>
      </c>
      <c r="I721">
        <v>1</v>
      </c>
      <c r="J721">
        <v>0</v>
      </c>
      <c r="K721">
        <v>0</v>
      </c>
      <c r="L721" t="s">
        <v>35</v>
      </c>
      <c r="M721" t="s">
        <v>35</v>
      </c>
      <c r="N721" t="s">
        <v>35</v>
      </c>
      <c r="O721" t="s">
        <v>35</v>
      </c>
      <c r="P721" t="s">
        <v>35</v>
      </c>
      <c r="Q721" t="s">
        <v>35</v>
      </c>
      <c r="R721" t="s">
        <v>35</v>
      </c>
      <c r="S721">
        <v>0</v>
      </c>
      <c r="T721">
        <v>1</v>
      </c>
      <c r="U721">
        <v>1</v>
      </c>
      <c r="V721">
        <v>0</v>
      </c>
      <c r="W721">
        <v>0</v>
      </c>
      <c r="X721">
        <v>1</v>
      </c>
      <c r="Y721">
        <v>1</v>
      </c>
      <c r="Z721">
        <v>0</v>
      </c>
      <c r="AA721">
        <v>0</v>
      </c>
      <c r="AB721">
        <v>0</v>
      </c>
      <c r="AC721">
        <v>0</v>
      </c>
      <c r="AD721">
        <v>0</v>
      </c>
      <c r="AE721">
        <v>0</v>
      </c>
    </row>
    <row r="722" spans="1:31" x14ac:dyDescent="0.2">
      <c r="A722" t="s">
        <v>267</v>
      </c>
      <c r="B722" t="s">
        <v>102</v>
      </c>
      <c r="C722">
        <v>36</v>
      </c>
      <c r="D722" t="s">
        <v>33</v>
      </c>
      <c r="E722" t="s">
        <v>39</v>
      </c>
      <c r="F722" t="s">
        <v>70</v>
      </c>
      <c r="G722">
        <v>48391</v>
      </c>
      <c r="H722">
        <v>0</v>
      </c>
      <c r="I722">
        <v>1</v>
      </c>
      <c r="J722">
        <v>0</v>
      </c>
      <c r="K722">
        <v>0</v>
      </c>
      <c r="L722" t="s">
        <v>72</v>
      </c>
      <c r="M722" t="s">
        <v>93</v>
      </c>
      <c r="N722" t="s">
        <v>86</v>
      </c>
      <c r="O722" t="s">
        <v>67</v>
      </c>
      <c r="P722" t="s">
        <v>68</v>
      </c>
      <c r="Q722" t="s">
        <v>46</v>
      </c>
      <c r="R722">
        <v>1</v>
      </c>
      <c r="S722">
        <v>0</v>
      </c>
      <c r="T722">
        <v>1</v>
      </c>
      <c r="U722">
        <v>1</v>
      </c>
      <c r="V722">
        <v>0</v>
      </c>
      <c r="W722">
        <v>0</v>
      </c>
      <c r="X722">
        <v>1</v>
      </c>
      <c r="Y722">
        <v>1</v>
      </c>
      <c r="Z722">
        <v>0</v>
      </c>
      <c r="AA722">
        <v>0</v>
      </c>
      <c r="AB722">
        <v>0</v>
      </c>
      <c r="AC722">
        <v>0</v>
      </c>
      <c r="AD722">
        <v>0</v>
      </c>
      <c r="AE722">
        <v>0</v>
      </c>
    </row>
    <row r="723" spans="1:31" x14ac:dyDescent="0.2">
      <c r="A723" t="s">
        <v>267</v>
      </c>
      <c r="B723" t="s">
        <v>102</v>
      </c>
      <c r="C723">
        <v>36</v>
      </c>
      <c r="D723" t="s">
        <v>33</v>
      </c>
      <c r="E723" t="s">
        <v>52</v>
      </c>
      <c r="F723" t="s">
        <v>74</v>
      </c>
      <c r="G723">
        <v>30474</v>
      </c>
      <c r="H723">
        <v>1</v>
      </c>
      <c r="I723">
        <v>0</v>
      </c>
      <c r="J723">
        <v>0</v>
      </c>
      <c r="K723">
        <v>0</v>
      </c>
      <c r="L723" t="s">
        <v>35</v>
      </c>
      <c r="M723" t="s">
        <v>35</v>
      </c>
      <c r="N723" t="s">
        <v>35</v>
      </c>
      <c r="O723" t="s">
        <v>35</v>
      </c>
      <c r="P723" t="s">
        <v>35</v>
      </c>
      <c r="Q723" t="s">
        <v>35</v>
      </c>
      <c r="R723" t="s">
        <v>35</v>
      </c>
      <c r="S723">
        <v>0</v>
      </c>
      <c r="T723">
        <v>1</v>
      </c>
      <c r="U723">
        <v>1</v>
      </c>
      <c r="V723">
        <v>0</v>
      </c>
      <c r="W723">
        <v>0</v>
      </c>
      <c r="X723">
        <v>1</v>
      </c>
      <c r="Y723">
        <v>1</v>
      </c>
      <c r="Z723">
        <v>0</v>
      </c>
      <c r="AA723">
        <v>0</v>
      </c>
      <c r="AB723">
        <v>0</v>
      </c>
      <c r="AC723">
        <v>0</v>
      </c>
      <c r="AD723">
        <v>0</v>
      </c>
      <c r="AE723">
        <v>0</v>
      </c>
    </row>
    <row r="724" spans="1:31" x14ac:dyDescent="0.2">
      <c r="A724" t="s">
        <v>267</v>
      </c>
      <c r="B724" t="s">
        <v>102</v>
      </c>
      <c r="C724">
        <v>36</v>
      </c>
      <c r="D724" t="s">
        <v>33</v>
      </c>
      <c r="E724" t="s">
        <v>39</v>
      </c>
      <c r="F724" t="s">
        <v>63</v>
      </c>
      <c r="G724">
        <v>58494</v>
      </c>
      <c r="H724">
        <v>0</v>
      </c>
      <c r="I724">
        <v>0</v>
      </c>
      <c r="J724">
        <v>1</v>
      </c>
      <c r="K724">
        <v>0</v>
      </c>
      <c r="L724" t="s">
        <v>64</v>
      </c>
      <c r="M724" t="s">
        <v>84</v>
      </c>
      <c r="N724" t="s">
        <v>65</v>
      </c>
      <c r="O724" t="s">
        <v>67</v>
      </c>
      <c r="P724" t="s">
        <v>46</v>
      </c>
      <c r="Q724" t="s">
        <v>68</v>
      </c>
      <c r="R724">
        <v>1</v>
      </c>
      <c r="S724">
        <v>0</v>
      </c>
      <c r="T724">
        <v>1</v>
      </c>
      <c r="U724">
        <v>1</v>
      </c>
      <c r="V724">
        <v>0</v>
      </c>
      <c r="W724">
        <v>0</v>
      </c>
      <c r="X724">
        <v>1</v>
      </c>
      <c r="Y724">
        <v>1</v>
      </c>
      <c r="Z724">
        <v>0</v>
      </c>
      <c r="AA724">
        <v>0</v>
      </c>
      <c r="AB724">
        <v>0</v>
      </c>
      <c r="AC724">
        <v>0</v>
      </c>
      <c r="AD724">
        <v>0</v>
      </c>
      <c r="AE724">
        <v>0</v>
      </c>
    </row>
    <row r="725" spans="1:31" x14ac:dyDescent="0.2">
      <c r="A725" t="s">
        <v>267</v>
      </c>
      <c r="B725" t="s">
        <v>102</v>
      </c>
      <c r="C725">
        <v>36</v>
      </c>
      <c r="D725" t="s">
        <v>33</v>
      </c>
      <c r="E725" t="s">
        <v>39</v>
      </c>
      <c r="F725" t="s">
        <v>59</v>
      </c>
      <c r="G725">
        <v>96028</v>
      </c>
      <c r="H725">
        <v>0</v>
      </c>
      <c r="I725">
        <v>0</v>
      </c>
      <c r="J725">
        <v>0</v>
      </c>
      <c r="K725">
        <v>1</v>
      </c>
      <c r="L725" t="s">
        <v>83</v>
      </c>
      <c r="M725" t="s">
        <v>60</v>
      </c>
      <c r="N725" t="s">
        <v>99</v>
      </c>
      <c r="O725" t="s">
        <v>51</v>
      </c>
      <c r="P725" t="s">
        <v>44</v>
      </c>
      <c r="Q725" t="s">
        <v>67</v>
      </c>
      <c r="R725">
        <v>0</v>
      </c>
      <c r="S725">
        <v>1</v>
      </c>
      <c r="T725">
        <v>0</v>
      </c>
      <c r="U725">
        <v>1</v>
      </c>
      <c r="V725">
        <v>0</v>
      </c>
      <c r="W725">
        <v>0</v>
      </c>
      <c r="X725">
        <v>1</v>
      </c>
      <c r="Y725">
        <v>0</v>
      </c>
      <c r="Z725">
        <v>0</v>
      </c>
      <c r="AA725">
        <v>0</v>
      </c>
      <c r="AB725">
        <v>0</v>
      </c>
      <c r="AC725">
        <v>0</v>
      </c>
      <c r="AD725">
        <v>0</v>
      </c>
      <c r="AE725">
        <v>1</v>
      </c>
    </row>
    <row r="726" spans="1:31" x14ac:dyDescent="0.2">
      <c r="A726" t="s">
        <v>267</v>
      </c>
      <c r="B726" t="s">
        <v>102</v>
      </c>
      <c r="C726">
        <v>36</v>
      </c>
      <c r="D726" t="s">
        <v>33</v>
      </c>
      <c r="E726" t="s">
        <v>52</v>
      </c>
      <c r="F726" t="s">
        <v>58</v>
      </c>
      <c r="G726">
        <v>47605</v>
      </c>
      <c r="H726">
        <v>1</v>
      </c>
      <c r="I726">
        <v>0</v>
      </c>
      <c r="J726">
        <v>0</v>
      </c>
      <c r="K726">
        <v>0</v>
      </c>
      <c r="L726" t="s">
        <v>35</v>
      </c>
      <c r="M726" t="s">
        <v>35</v>
      </c>
      <c r="N726" t="s">
        <v>35</v>
      </c>
      <c r="O726" t="s">
        <v>35</v>
      </c>
      <c r="P726" t="s">
        <v>35</v>
      </c>
      <c r="Q726" t="s">
        <v>35</v>
      </c>
      <c r="R726" t="s">
        <v>35</v>
      </c>
      <c r="S726">
        <v>1</v>
      </c>
      <c r="T726">
        <v>0</v>
      </c>
      <c r="U726">
        <v>1</v>
      </c>
      <c r="V726">
        <v>0</v>
      </c>
      <c r="W726">
        <v>0</v>
      </c>
      <c r="X726">
        <v>1</v>
      </c>
      <c r="Y726">
        <v>0</v>
      </c>
      <c r="Z726">
        <v>0</v>
      </c>
      <c r="AA726">
        <v>0</v>
      </c>
      <c r="AB726">
        <v>0</v>
      </c>
      <c r="AC726">
        <v>0</v>
      </c>
      <c r="AD726">
        <v>0</v>
      </c>
      <c r="AE726">
        <v>1</v>
      </c>
    </row>
    <row r="727" spans="1:31" x14ac:dyDescent="0.2">
      <c r="A727" t="s">
        <v>267</v>
      </c>
      <c r="B727" t="s">
        <v>102</v>
      </c>
      <c r="C727">
        <v>36</v>
      </c>
      <c r="D727" t="s">
        <v>33</v>
      </c>
      <c r="E727" t="s">
        <v>39</v>
      </c>
      <c r="F727" t="s">
        <v>40</v>
      </c>
      <c r="G727">
        <v>40392</v>
      </c>
      <c r="H727">
        <v>0</v>
      </c>
      <c r="I727">
        <v>0</v>
      </c>
      <c r="J727">
        <v>0</v>
      </c>
      <c r="K727">
        <v>1</v>
      </c>
      <c r="L727" t="s">
        <v>91</v>
      </c>
      <c r="M727" t="s">
        <v>81</v>
      </c>
      <c r="N727" t="s">
        <v>41</v>
      </c>
      <c r="O727" t="s">
        <v>51</v>
      </c>
      <c r="P727" t="s">
        <v>67</v>
      </c>
      <c r="Q727" t="s">
        <v>44</v>
      </c>
      <c r="R727">
        <v>0</v>
      </c>
      <c r="S727">
        <v>1</v>
      </c>
      <c r="T727">
        <v>0</v>
      </c>
      <c r="U727">
        <v>1</v>
      </c>
      <c r="V727">
        <v>0</v>
      </c>
      <c r="W727">
        <v>0</v>
      </c>
      <c r="X727">
        <v>1</v>
      </c>
      <c r="Y727">
        <v>0</v>
      </c>
      <c r="Z727">
        <v>0</v>
      </c>
      <c r="AA727">
        <v>0</v>
      </c>
      <c r="AB727">
        <v>0</v>
      </c>
      <c r="AC727">
        <v>0</v>
      </c>
      <c r="AD727">
        <v>0</v>
      </c>
      <c r="AE727">
        <v>1</v>
      </c>
    </row>
    <row r="728" spans="1:31" x14ac:dyDescent="0.2">
      <c r="A728" t="s">
        <v>267</v>
      </c>
      <c r="B728" t="s">
        <v>102</v>
      </c>
      <c r="C728">
        <v>36</v>
      </c>
      <c r="D728" t="s">
        <v>33</v>
      </c>
      <c r="E728" t="s">
        <v>52</v>
      </c>
      <c r="F728" t="s">
        <v>69</v>
      </c>
      <c r="G728">
        <v>73907</v>
      </c>
      <c r="H728">
        <v>0</v>
      </c>
      <c r="I728">
        <v>0</v>
      </c>
      <c r="J728">
        <v>1</v>
      </c>
      <c r="K728">
        <v>0</v>
      </c>
      <c r="L728" t="s">
        <v>35</v>
      </c>
      <c r="M728" t="s">
        <v>35</v>
      </c>
      <c r="N728" t="s">
        <v>35</v>
      </c>
      <c r="O728" t="s">
        <v>35</v>
      </c>
      <c r="P728" t="s">
        <v>35</v>
      </c>
      <c r="Q728" t="s">
        <v>35</v>
      </c>
      <c r="R728" t="s">
        <v>35</v>
      </c>
      <c r="S728">
        <v>1</v>
      </c>
      <c r="T728">
        <v>0</v>
      </c>
      <c r="U728">
        <v>1</v>
      </c>
      <c r="V728">
        <v>0</v>
      </c>
      <c r="W728">
        <v>0</v>
      </c>
      <c r="X728">
        <v>1</v>
      </c>
      <c r="Y728">
        <v>0</v>
      </c>
      <c r="Z728">
        <v>0</v>
      </c>
      <c r="AA728">
        <v>0</v>
      </c>
      <c r="AB728">
        <v>0</v>
      </c>
      <c r="AC728">
        <v>0</v>
      </c>
      <c r="AD728">
        <v>0</v>
      </c>
      <c r="AE728">
        <v>1</v>
      </c>
    </row>
    <row r="729" spans="1:31" x14ac:dyDescent="0.2">
      <c r="A729" t="s">
        <v>267</v>
      </c>
      <c r="B729" t="s">
        <v>102</v>
      </c>
      <c r="C729">
        <v>36</v>
      </c>
      <c r="D729" t="s">
        <v>33</v>
      </c>
      <c r="E729" t="s">
        <v>75</v>
      </c>
      <c r="F729" t="s">
        <v>35</v>
      </c>
      <c r="G729">
        <v>248691</v>
      </c>
      <c r="H729" t="s">
        <v>268</v>
      </c>
      <c r="I729" t="s">
        <v>269</v>
      </c>
      <c r="J729" t="s">
        <v>181</v>
      </c>
      <c r="K729" t="s">
        <v>35</v>
      </c>
      <c r="L729" t="s">
        <v>35</v>
      </c>
      <c r="M729" t="s">
        <v>35</v>
      </c>
      <c r="N729" t="s">
        <v>35</v>
      </c>
      <c r="O729" t="s">
        <v>35</v>
      </c>
      <c r="P729" t="s">
        <v>35</v>
      </c>
      <c r="Q729" t="s">
        <v>35</v>
      </c>
      <c r="R729" t="s">
        <v>35</v>
      </c>
      <c r="S729" t="s">
        <v>35</v>
      </c>
      <c r="T729" t="s">
        <v>35</v>
      </c>
      <c r="U729" t="s">
        <v>35</v>
      </c>
      <c r="V729" t="s">
        <v>35</v>
      </c>
      <c r="W729" t="s">
        <v>35</v>
      </c>
      <c r="X729" t="s">
        <v>35</v>
      </c>
      <c r="Y729" t="s">
        <v>35</v>
      </c>
      <c r="Z729" t="s">
        <v>35</v>
      </c>
      <c r="AA729" t="s">
        <v>35</v>
      </c>
      <c r="AB729" t="s">
        <v>35</v>
      </c>
      <c r="AC729" t="s">
        <v>35</v>
      </c>
      <c r="AD729" t="s">
        <v>35</v>
      </c>
      <c r="AE729" t="s">
        <v>35</v>
      </c>
    </row>
    <row r="730" spans="1:31" x14ac:dyDescent="0.2">
      <c r="A730" t="s">
        <v>270</v>
      </c>
      <c r="B730" t="s">
        <v>107</v>
      </c>
      <c r="C730">
        <v>35</v>
      </c>
      <c r="D730" t="s">
        <v>33</v>
      </c>
      <c r="E730" t="s">
        <v>34</v>
      </c>
      <c r="F730" t="s">
        <v>35</v>
      </c>
      <c r="G730">
        <v>90535</v>
      </c>
      <c r="H730" t="s">
        <v>35</v>
      </c>
      <c r="I730" t="s">
        <v>35</v>
      </c>
      <c r="J730" t="s">
        <v>35</v>
      </c>
      <c r="K730" t="s">
        <v>35</v>
      </c>
      <c r="L730" t="s">
        <v>35</v>
      </c>
      <c r="M730" t="s">
        <v>35</v>
      </c>
      <c r="N730" t="s">
        <v>35</v>
      </c>
      <c r="O730" t="s">
        <v>35</v>
      </c>
      <c r="P730" t="s">
        <v>35</v>
      </c>
      <c r="Q730" t="s">
        <v>35</v>
      </c>
      <c r="R730" t="s">
        <v>35</v>
      </c>
      <c r="S730" t="s">
        <v>35</v>
      </c>
      <c r="T730" t="s">
        <v>35</v>
      </c>
      <c r="U730" t="s">
        <v>35</v>
      </c>
      <c r="V730" t="s">
        <v>35</v>
      </c>
      <c r="W730" t="s">
        <v>35</v>
      </c>
      <c r="X730" t="s">
        <v>35</v>
      </c>
      <c r="Y730" t="s">
        <v>35</v>
      </c>
      <c r="Z730" t="s">
        <v>35</v>
      </c>
      <c r="AA730" t="s">
        <v>35</v>
      </c>
      <c r="AB730" t="s">
        <v>35</v>
      </c>
      <c r="AC730" t="s">
        <v>35</v>
      </c>
      <c r="AD730" t="s">
        <v>35</v>
      </c>
      <c r="AE730" t="s">
        <v>35</v>
      </c>
    </row>
    <row r="731" spans="1:31" x14ac:dyDescent="0.2">
      <c r="A731" t="s">
        <v>270</v>
      </c>
      <c r="B731" t="s">
        <v>107</v>
      </c>
      <c r="C731">
        <v>35</v>
      </c>
      <c r="D731" t="s">
        <v>33</v>
      </c>
      <c r="E731" t="s">
        <v>36</v>
      </c>
      <c r="F731" t="s">
        <v>37</v>
      </c>
      <c r="G731">
        <v>104763</v>
      </c>
      <c r="H731">
        <v>0</v>
      </c>
      <c r="I731">
        <v>1</v>
      </c>
      <c r="J731">
        <v>0</v>
      </c>
      <c r="K731">
        <v>0</v>
      </c>
      <c r="L731" t="s">
        <v>35</v>
      </c>
      <c r="M731" t="s">
        <v>35</v>
      </c>
      <c r="N731" t="s">
        <v>35</v>
      </c>
      <c r="O731" t="s">
        <v>35</v>
      </c>
      <c r="P731" t="s">
        <v>35</v>
      </c>
      <c r="Q731" t="s">
        <v>35</v>
      </c>
      <c r="R731" t="s">
        <v>35</v>
      </c>
      <c r="S731" t="s">
        <v>35</v>
      </c>
      <c r="T731" t="s">
        <v>35</v>
      </c>
      <c r="U731" t="s">
        <v>35</v>
      </c>
      <c r="V731" t="s">
        <v>35</v>
      </c>
      <c r="W731" t="s">
        <v>35</v>
      </c>
      <c r="X731" t="s">
        <v>35</v>
      </c>
      <c r="Y731" t="s">
        <v>35</v>
      </c>
      <c r="Z731" t="s">
        <v>35</v>
      </c>
      <c r="AA731" t="s">
        <v>35</v>
      </c>
      <c r="AB731" t="s">
        <v>35</v>
      </c>
      <c r="AC731" t="s">
        <v>35</v>
      </c>
      <c r="AD731" t="s">
        <v>35</v>
      </c>
      <c r="AE731" t="s">
        <v>35</v>
      </c>
    </row>
    <row r="732" spans="1:31" x14ac:dyDescent="0.2">
      <c r="A732" t="s">
        <v>270</v>
      </c>
      <c r="B732" t="s">
        <v>107</v>
      </c>
      <c r="C732">
        <v>35</v>
      </c>
      <c r="D732" t="s">
        <v>33</v>
      </c>
      <c r="E732" t="s">
        <v>36</v>
      </c>
      <c r="F732" t="s">
        <v>38</v>
      </c>
      <c r="G732">
        <v>128014</v>
      </c>
      <c r="H732">
        <v>0</v>
      </c>
      <c r="I732">
        <v>0</v>
      </c>
      <c r="J732">
        <v>0</v>
      </c>
      <c r="K732">
        <v>1</v>
      </c>
      <c r="L732" t="s">
        <v>35</v>
      </c>
      <c r="M732" t="s">
        <v>35</v>
      </c>
      <c r="N732" t="s">
        <v>35</v>
      </c>
      <c r="O732" t="s">
        <v>35</v>
      </c>
      <c r="P732" t="s">
        <v>35</v>
      </c>
      <c r="Q732" t="s">
        <v>35</v>
      </c>
      <c r="R732" t="s">
        <v>35</v>
      </c>
      <c r="S732" t="s">
        <v>35</v>
      </c>
      <c r="T732" t="s">
        <v>35</v>
      </c>
      <c r="U732" t="s">
        <v>35</v>
      </c>
      <c r="V732" t="s">
        <v>35</v>
      </c>
      <c r="W732" t="s">
        <v>35</v>
      </c>
      <c r="X732" t="s">
        <v>35</v>
      </c>
      <c r="Y732" t="s">
        <v>35</v>
      </c>
      <c r="Z732" t="s">
        <v>35</v>
      </c>
      <c r="AA732" t="s">
        <v>35</v>
      </c>
      <c r="AB732" t="s">
        <v>35</v>
      </c>
      <c r="AC732" t="s">
        <v>35</v>
      </c>
      <c r="AD732" t="s">
        <v>35</v>
      </c>
      <c r="AE732" t="s">
        <v>35</v>
      </c>
    </row>
    <row r="733" spans="1:31" x14ac:dyDescent="0.2">
      <c r="A733" t="s">
        <v>270</v>
      </c>
      <c r="B733" t="s">
        <v>107</v>
      </c>
      <c r="C733">
        <v>35</v>
      </c>
      <c r="D733" t="s">
        <v>33</v>
      </c>
      <c r="E733" t="s">
        <v>39</v>
      </c>
      <c r="F733" t="s">
        <v>54</v>
      </c>
      <c r="G733">
        <v>105885</v>
      </c>
      <c r="H733">
        <v>0</v>
      </c>
      <c r="I733">
        <v>1</v>
      </c>
      <c r="J733">
        <v>0</v>
      </c>
      <c r="K733">
        <v>0</v>
      </c>
      <c r="L733" t="s">
        <v>57</v>
      </c>
      <c r="M733" t="s">
        <v>122</v>
      </c>
      <c r="N733" t="s">
        <v>55</v>
      </c>
      <c r="O733" t="s">
        <v>46</v>
      </c>
      <c r="P733" t="s">
        <v>68</v>
      </c>
      <c r="Q733" t="s">
        <v>44</v>
      </c>
      <c r="R733">
        <v>1</v>
      </c>
      <c r="S733">
        <v>1</v>
      </c>
      <c r="T733">
        <v>1</v>
      </c>
      <c r="U733">
        <v>0</v>
      </c>
      <c r="V733">
        <v>0</v>
      </c>
      <c r="W733">
        <v>0</v>
      </c>
      <c r="X733">
        <v>1</v>
      </c>
      <c r="Y733">
        <v>1</v>
      </c>
      <c r="Z733">
        <v>0</v>
      </c>
      <c r="AA733">
        <v>0</v>
      </c>
      <c r="AB733">
        <v>0</v>
      </c>
      <c r="AC733">
        <v>0</v>
      </c>
      <c r="AD733">
        <v>0</v>
      </c>
      <c r="AE733">
        <v>0</v>
      </c>
    </row>
    <row r="734" spans="1:31" x14ac:dyDescent="0.2">
      <c r="A734" t="s">
        <v>270</v>
      </c>
      <c r="B734" t="s">
        <v>107</v>
      </c>
      <c r="C734">
        <v>35</v>
      </c>
      <c r="D734" t="s">
        <v>33</v>
      </c>
      <c r="E734" t="s">
        <v>39</v>
      </c>
      <c r="F734" t="s">
        <v>63</v>
      </c>
      <c r="G734">
        <v>46576</v>
      </c>
      <c r="H734">
        <v>1</v>
      </c>
      <c r="I734">
        <v>0</v>
      </c>
      <c r="J734">
        <v>0</v>
      </c>
      <c r="K734">
        <v>0</v>
      </c>
      <c r="L734" t="s">
        <v>90</v>
      </c>
      <c r="M734" t="s">
        <v>66</v>
      </c>
      <c r="N734" t="s">
        <v>84</v>
      </c>
      <c r="O734" t="s">
        <v>44</v>
      </c>
      <c r="P734" t="s">
        <v>45</v>
      </c>
      <c r="Q734" t="s">
        <v>46</v>
      </c>
      <c r="R734">
        <v>0</v>
      </c>
      <c r="S734">
        <v>1</v>
      </c>
      <c r="T734">
        <v>1</v>
      </c>
      <c r="U734">
        <v>0</v>
      </c>
      <c r="V734">
        <v>1</v>
      </c>
      <c r="W734">
        <v>0</v>
      </c>
      <c r="X734">
        <v>1</v>
      </c>
      <c r="Y734">
        <v>0</v>
      </c>
      <c r="Z734">
        <v>1</v>
      </c>
      <c r="AA734">
        <v>0</v>
      </c>
      <c r="AB734">
        <v>0</v>
      </c>
      <c r="AC734">
        <v>0</v>
      </c>
      <c r="AD734">
        <v>0</v>
      </c>
      <c r="AE734">
        <v>0</v>
      </c>
    </row>
    <row r="735" spans="1:31" x14ac:dyDescent="0.2">
      <c r="A735" t="s">
        <v>270</v>
      </c>
      <c r="B735" t="s">
        <v>107</v>
      </c>
      <c r="C735">
        <v>35</v>
      </c>
      <c r="D735" t="s">
        <v>33</v>
      </c>
      <c r="E735" t="s">
        <v>52</v>
      </c>
      <c r="F735" t="s">
        <v>58</v>
      </c>
      <c r="G735">
        <v>40683</v>
      </c>
      <c r="H735">
        <v>1</v>
      </c>
      <c r="I735">
        <v>0</v>
      </c>
      <c r="J735">
        <v>0</v>
      </c>
      <c r="K735">
        <v>0</v>
      </c>
      <c r="L735" t="s">
        <v>35</v>
      </c>
      <c r="M735" t="s">
        <v>35</v>
      </c>
      <c r="N735" t="s">
        <v>35</v>
      </c>
      <c r="O735" t="s">
        <v>35</v>
      </c>
      <c r="P735" t="s">
        <v>35</v>
      </c>
      <c r="Q735" t="s">
        <v>35</v>
      </c>
      <c r="R735" t="s">
        <v>35</v>
      </c>
      <c r="S735">
        <v>1</v>
      </c>
      <c r="T735">
        <v>1</v>
      </c>
      <c r="U735">
        <v>0</v>
      </c>
      <c r="V735">
        <v>1</v>
      </c>
      <c r="W735">
        <v>0</v>
      </c>
      <c r="X735">
        <v>1</v>
      </c>
      <c r="Y735">
        <v>0</v>
      </c>
      <c r="Z735">
        <v>1</v>
      </c>
      <c r="AA735">
        <v>0</v>
      </c>
      <c r="AB735">
        <v>0</v>
      </c>
      <c r="AC735">
        <v>0</v>
      </c>
      <c r="AD735">
        <v>0</v>
      </c>
      <c r="AE735">
        <v>0</v>
      </c>
    </row>
    <row r="736" spans="1:31" x14ac:dyDescent="0.2">
      <c r="A736" t="s">
        <v>270</v>
      </c>
      <c r="B736" t="s">
        <v>107</v>
      </c>
      <c r="C736">
        <v>35</v>
      </c>
      <c r="D736" t="s">
        <v>33</v>
      </c>
      <c r="E736" t="s">
        <v>39</v>
      </c>
      <c r="F736" t="s">
        <v>40</v>
      </c>
      <c r="G736">
        <v>58433</v>
      </c>
      <c r="H736">
        <v>1</v>
      </c>
      <c r="I736">
        <v>1</v>
      </c>
      <c r="J736">
        <v>1</v>
      </c>
      <c r="K736">
        <v>0</v>
      </c>
      <c r="L736" t="s">
        <v>82</v>
      </c>
      <c r="M736" t="s">
        <v>43</v>
      </c>
      <c r="N736" t="s">
        <v>81</v>
      </c>
      <c r="O736" t="s">
        <v>68</v>
      </c>
      <c r="P736" t="s">
        <v>46</v>
      </c>
      <c r="Q736" t="s">
        <v>67</v>
      </c>
      <c r="R736">
        <v>1</v>
      </c>
      <c r="S736">
        <v>0</v>
      </c>
      <c r="T736">
        <v>1</v>
      </c>
      <c r="U736">
        <v>1</v>
      </c>
      <c r="V736">
        <v>0</v>
      </c>
      <c r="W736">
        <v>0</v>
      </c>
      <c r="X736">
        <v>1</v>
      </c>
      <c r="Y736">
        <v>1</v>
      </c>
      <c r="Z736">
        <v>0</v>
      </c>
      <c r="AA736">
        <v>1</v>
      </c>
      <c r="AB736">
        <v>1</v>
      </c>
      <c r="AC736">
        <v>0</v>
      </c>
      <c r="AD736">
        <v>0</v>
      </c>
      <c r="AE736">
        <v>0</v>
      </c>
    </row>
    <row r="737" spans="1:31" x14ac:dyDescent="0.2">
      <c r="A737" t="s">
        <v>270</v>
      </c>
      <c r="B737" t="s">
        <v>107</v>
      </c>
      <c r="C737">
        <v>35</v>
      </c>
      <c r="D737" t="s">
        <v>33</v>
      </c>
      <c r="E737" t="s">
        <v>39</v>
      </c>
      <c r="F737" t="s">
        <v>59</v>
      </c>
      <c r="G737">
        <v>57217</v>
      </c>
      <c r="H737">
        <v>1</v>
      </c>
      <c r="I737">
        <v>1</v>
      </c>
      <c r="J737">
        <v>1</v>
      </c>
      <c r="K737">
        <v>0</v>
      </c>
      <c r="L737" t="s">
        <v>60</v>
      </c>
      <c r="M737" t="s">
        <v>94</v>
      </c>
      <c r="N737" t="s">
        <v>99</v>
      </c>
      <c r="O737" t="s">
        <v>44</v>
      </c>
      <c r="P737" t="s">
        <v>68</v>
      </c>
      <c r="Q737" t="s">
        <v>67</v>
      </c>
      <c r="R737">
        <v>1</v>
      </c>
      <c r="S737">
        <v>1</v>
      </c>
      <c r="T737">
        <v>0</v>
      </c>
      <c r="U737">
        <v>1</v>
      </c>
      <c r="V737">
        <v>0</v>
      </c>
      <c r="W737">
        <v>0</v>
      </c>
      <c r="X737">
        <v>1</v>
      </c>
      <c r="Y737">
        <v>1</v>
      </c>
      <c r="Z737">
        <v>1</v>
      </c>
      <c r="AA737">
        <v>0</v>
      </c>
      <c r="AB737">
        <v>1</v>
      </c>
      <c r="AC737">
        <v>0</v>
      </c>
      <c r="AD737">
        <v>0</v>
      </c>
      <c r="AE737">
        <v>0</v>
      </c>
    </row>
    <row r="738" spans="1:31" x14ac:dyDescent="0.2">
      <c r="A738" t="s">
        <v>270</v>
      </c>
      <c r="B738" t="s">
        <v>107</v>
      </c>
      <c r="C738">
        <v>35</v>
      </c>
      <c r="D738" t="s">
        <v>33</v>
      </c>
      <c r="E738" t="s">
        <v>52</v>
      </c>
      <c r="F738" t="s">
        <v>69</v>
      </c>
      <c r="G738">
        <v>57039</v>
      </c>
      <c r="H738">
        <v>0</v>
      </c>
      <c r="I738">
        <v>0</v>
      </c>
      <c r="J738">
        <v>1</v>
      </c>
      <c r="K738">
        <v>0</v>
      </c>
      <c r="L738" t="s">
        <v>35</v>
      </c>
      <c r="M738" t="s">
        <v>35</v>
      </c>
      <c r="N738" t="s">
        <v>35</v>
      </c>
      <c r="O738" t="s">
        <v>35</v>
      </c>
      <c r="P738" t="s">
        <v>35</v>
      </c>
      <c r="Q738" t="s">
        <v>35</v>
      </c>
      <c r="R738" t="s">
        <v>35</v>
      </c>
      <c r="S738">
        <v>1</v>
      </c>
      <c r="T738">
        <v>0</v>
      </c>
      <c r="U738">
        <v>1</v>
      </c>
      <c r="V738">
        <v>0</v>
      </c>
      <c r="W738">
        <v>0</v>
      </c>
      <c r="X738">
        <v>1</v>
      </c>
      <c r="Y738">
        <v>1</v>
      </c>
      <c r="Z738">
        <v>1</v>
      </c>
      <c r="AA738">
        <v>0</v>
      </c>
      <c r="AB738">
        <v>1</v>
      </c>
      <c r="AC738">
        <v>0</v>
      </c>
      <c r="AD738">
        <v>0</v>
      </c>
      <c r="AE738">
        <v>0</v>
      </c>
    </row>
    <row r="739" spans="1:31" x14ac:dyDescent="0.2">
      <c r="A739" t="s">
        <v>270</v>
      </c>
      <c r="B739" t="s">
        <v>107</v>
      </c>
      <c r="C739">
        <v>35</v>
      </c>
      <c r="D739" t="s">
        <v>33</v>
      </c>
      <c r="E739" t="s">
        <v>39</v>
      </c>
      <c r="F739" t="s">
        <v>47</v>
      </c>
      <c r="G739">
        <v>42952</v>
      </c>
      <c r="H739">
        <v>0</v>
      </c>
      <c r="I739">
        <v>1</v>
      </c>
      <c r="J739">
        <v>0</v>
      </c>
      <c r="K739">
        <v>0</v>
      </c>
      <c r="L739" t="s">
        <v>50</v>
      </c>
      <c r="M739" t="s">
        <v>49</v>
      </c>
      <c r="N739" t="s">
        <v>79</v>
      </c>
      <c r="O739" t="s">
        <v>51</v>
      </c>
      <c r="P739" t="s">
        <v>44</v>
      </c>
      <c r="Q739" t="s">
        <v>45</v>
      </c>
      <c r="R739">
        <v>0</v>
      </c>
      <c r="S739">
        <v>1</v>
      </c>
      <c r="T739">
        <v>0</v>
      </c>
      <c r="U739">
        <v>0</v>
      </c>
      <c r="V739">
        <v>1</v>
      </c>
      <c r="W739">
        <v>0</v>
      </c>
      <c r="X739">
        <v>1</v>
      </c>
      <c r="Y739">
        <v>0</v>
      </c>
      <c r="Z739">
        <v>1</v>
      </c>
      <c r="AA739">
        <v>0</v>
      </c>
      <c r="AB739">
        <v>0</v>
      </c>
      <c r="AC739">
        <v>0</v>
      </c>
      <c r="AD739">
        <v>0</v>
      </c>
      <c r="AE739">
        <v>0</v>
      </c>
    </row>
    <row r="740" spans="1:31" x14ac:dyDescent="0.2">
      <c r="A740" t="s">
        <v>270</v>
      </c>
      <c r="B740" t="s">
        <v>107</v>
      </c>
      <c r="C740">
        <v>35</v>
      </c>
      <c r="D740" t="s">
        <v>33</v>
      </c>
      <c r="E740" t="s">
        <v>52</v>
      </c>
      <c r="F740" t="s">
        <v>74</v>
      </c>
      <c r="G740">
        <v>108191</v>
      </c>
      <c r="H740">
        <v>0</v>
      </c>
      <c r="I740">
        <v>0</v>
      </c>
      <c r="J740">
        <v>0</v>
      </c>
      <c r="K740">
        <v>1</v>
      </c>
      <c r="L740" t="s">
        <v>35</v>
      </c>
      <c r="M740" t="s">
        <v>35</v>
      </c>
      <c r="N740" t="s">
        <v>35</v>
      </c>
      <c r="O740" t="s">
        <v>35</v>
      </c>
      <c r="P740" t="s">
        <v>35</v>
      </c>
      <c r="Q740" t="s">
        <v>35</v>
      </c>
      <c r="R740" t="s">
        <v>35</v>
      </c>
      <c r="S740">
        <v>1</v>
      </c>
      <c r="T740">
        <v>0</v>
      </c>
      <c r="U740">
        <v>0</v>
      </c>
      <c r="V740">
        <v>1</v>
      </c>
      <c r="W740">
        <v>0</v>
      </c>
      <c r="X740">
        <v>1</v>
      </c>
      <c r="Y740">
        <v>0</v>
      </c>
      <c r="Z740">
        <v>1</v>
      </c>
      <c r="AA740">
        <v>0</v>
      </c>
      <c r="AB740">
        <v>0</v>
      </c>
      <c r="AC740">
        <v>0</v>
      </c>
      <c r="AD740">
        <v>0</v>
      </c>
      <c r="AE740">
        <v>0</v>
      </c>
    </row>
    <row r="741" spans="1:31" x14ac:dyDescent="0.2">
      <c r="A741" t="s">
        <v>270</v>
      </c>
      <c r="B741" t="s">
        <v>107</v>
      </c>
      <c r="C741">
        <v>35</v>
      </c>
      <c r="D741" t="s">
        <v>33</v>
      </c>
      <c r="E741" t="s">
        <v>39</v>
      </c>
      <c r="F741" t="s">
        <v>70</v>
      </c>
      <c r="G741">
        <v>101450</v>
      </c>
      <c r="H741">
        <v>1</v>
      </c>
      <c r="I741">
        <v>1</v>
      </c>
      <c r="J741">
        <v>1</v>
      </c>
      <c r="K741">
        <v>0</v>
      </c>
      <c r="L741" t="s">
        <v>73</v>
      </c>
      <c r="M741" t="s">
        <v>92</v>
      </c>
      <c r="N741" t="s">
        <v>71</v>
      </c>
      <c r="O741" t="s">
        <v>44</v>
      </c>
      <c r="P741" t="s">
        <v>51</v>
      </c>
      <c r="Q741" t="s">
        <v>45</v>
      </c>
      <c r="R741">
        <v>0</v>
      </c>
      <c r="S741">
        <v>1</v>
      </c>
      <c r="T741">
        <v>0</v>
      </c>
      <c r="U741">
        <v>0</v>
      </c>
      <c r="V741">
        <v>1</v>
      </c>
      <c r="W741">
        <v>0</v>
      </c>
      <c r="X741">
        <v>1</v>
      </c>
      <c r="Y741">
        <v>0</v>
      </c>
      <c r="Z741">
        <v>1</v>
      </c>
      <c r="AA741">
        <v>0</v>
      </c>
      <c r="AB741">
        <v>0</v>
      </c>
      <c r="AC741">
        <v>1</v>
      </c>
      <c r="AD741">
        <v>0</v>
      </c>
      <c r="AE741">
        <v>0</v>
      </c>
    </row>
    <row r="742" spans="1:31" x14ac:dyDescent="0.2">
      <c r="A742" t="s">
        <v>270</v>
      </c>
      <c r="B742" t="s">
        <v>107</v>
      </c>
      <c r="C742">
        <v>35</v>
      </c>
      <c r="D742" t="s">
        <v>33</v>
      </c>
      <c r="E742" t="s">
        <v>52</v>
      </c>
      <c r="F742" t="s">
        <v>53</v>
      </c>
      <c r="G742">
        <v>112006</v>
      </c>
      <c r="H742">
        <v>0</v>
      </c>
      <c r="I742">
        <v>0</v>
      </c>
      <c r="J742">
        <v>1</v>
      </c>
      <c r="K742">
        <v>1</v>
      </c>
      <c r="L742" t="s">
        <v>35</v>
      </c>
      <c r="M742" t="s">
        <v>35</v>
      </c>
      <c r="N742" t="s">
        <v>35</v>
      </c>
      <c r="O742" t="s">
        <v>35</v>
      </c>
      <c r="P742" t="s">
        <v>35</v>
      </c>
      <c r="Q742" t="s">
        <v>35</v>
      </c>
      <c r="R742" t="s">
        <v>35</v>
      </c>
      <c r="S742">
        <v>1</v>
      </c>
      <c r="T742">
        <v>0</v>
      </c>
      <c r="U742">
        <v>0</v>
      </c>
      <c r="V742">
        <v>1</v>
      </c>
      <c r="W742">
        <v>0</v>
      </c>
      <c r="X742">
        <v>1</v>
      </c>
      <c r="Y742">
        <v>0</v>
      </c>
      <c r="Z742">
        <v>1</v>
      </c>
      <c r="AA742">
        <v>0</v>
      </c>
      <c r="AB742">
        <v>0</v>
      </c>
      <c r="AC742">
        <v>1</v>
      </c>
      <c r="AD742">
        <v>0</v>
      </c>
      <c r="AE742">
        <v>0</v>
      </c>
    </row>
    <row r="743" spans="1:31" x14ac:dyDescent="0.2">
      <c r="A743" t="s">
        <v>270</v>
      </c>
      <c r="B743" t="s">
        <v>107</v>
      </c>
      <c r="C743">
        <v>35</v>
      </c>
      <c r="D743" t="s">
        <v>33</v>
      </c>
      <c r="E743" t="s">
        <v>75</v>
      </c>
      <c r="F743" t="s">
        <v>35</v>
      </c>
      <c r="G743">
        <v>83250</v>
      </c>
      <c r="H743" t="s">
        <v>271</v>
      </c>
      <c r="I743" t="s">
        <v>116</v>
      </c>
      <c r="J743" t="s">
        <v>255</v>
      </c>
      <c r="K743" t="s">
        <v>35</v>
      </c>
      <c r="L743" t="s">
        <v>35</v>
      </c>
      <c r="M743" t="s">
        <v>35</v>
      </c>
      <c r="N743" t="s">
        <v>35</v>
      </c>
      <c r="O743" t="s">
        <v>35</v>
      </c>
      <c r="P743" t="s">
        <v>35</v>
      </c>
      <c r="Q743" t="s">
        <v>35</v>
      </c>
      <c r="R743" t="s">
        <v>35</v>
      </c>
      <c r="S743" t="s">
        <v>35</v>
      </c>
      <c r="T743" t="s">
        <v>35</v>
      </c>
      <c r="U743" t="s">
        <v>35</v>
      </c>
      <c r="V743" t="s">
        <v>35</v>
      </c>
      <c r="W743" t="s">
        <v>35</v>
      </c>
      <c r="X743" t="s">
        <v>35</v>
      </c>
      <c r="Y743" t="s">
        <v>35</v>
      </c>
      <c r="Z743" t="s">
        <v>35</v>
      </c>
      <c r="AA743" t="s">
        <v>35</v>
      </c>
      <c r="AB743" t="s">
        <v>35</v>
      </c>
      <c r="AC743" t="s">
        <v>35</v>
      </c>
      <c r="AD743" t="s">
        <v>35</v>
      </c>
      <c r="AE743" t="s">
        <v>35</v>
      </c>
    </row>
    <row r="744" spans="1:31" x14ac:dyDescent="0.2">
      <c r="A744" t="s">
        <v>272</v>
      </c>
      <c r="B744" t="s">
        <v>102</v>
      </c>
      <c r="C744">
        <v>31</v>
      </c>
      <c r="D744" t="s">
        <v>33</v>
      </c>
      <c r="E744" t="s">
        <v>34</v>
      </c>
      <c r="F744" t="s">
        <v>35</v>
      </c>
      <c r="G744">
        <v>306920</v>
      </c>
      <c r="H744" t="s">
        <v>35</v>
      </c>
      <c r="I744" t="s">
        <v>35</v>
      </c>
      <c r="J744" t="s">
        <v>35</v>
      </c>
      <c r="K744" t="s">
        <v>35</v>
      </c>
      <c r="L744" t="s">
        <v>35</v>
      </c>
      <c r="M744" t="s">
        <v>35</v>
      </c>
      <c r="N744" t="s">
        <v>35</v>
      </c>
      <c r="O744" t="s">
        <v>35</v>
      </c>
      <c r="P744" t="s">
        <v>35</v>
      </c>
      <c r="Q744" t="s">
        <v>35</v>
      </c>
      <c r="R744" t="s">
        <v>35</v>
      </c>
      <c r="S744" t="s">
        <v>35</v>
      </c>
      <c r="T744" t="s">
        <v>35</v>
      </c>
      <c r="U744" t="s">
        <v>35</v>
      </c>
      <c r="V744" t="s">
        <v>35</v>
      </c>
      <c r="W744" t="s">
        <v>35</v>
      </c>
      <c r="X744" t="s">
        <v>35</v>
      </c>
      <c r="Y744" t="s">
        <v>35</v>
      </c>
      <c r="Z744" t="s">
        <v>35</v>
      </c>
      <c r="AA744" t="s">
        <v>35</v>
      </c>
      <c r="AB744" t="s">
        <v>35</v>
      </c>
      <c r="AC744" t="s">
        <v>35</v>
      </c>
      <c r="AD744" t="s">
        <v>35</v>
      </c>
      <c r="AE744" t="s">
        <v>35</v>
      </c>
    </row>
    <row r="745" spans="1:31" x14ac:dyDescent="0.2">
      <c r="A745" t="s">
        <v>272</v>
      </c>
      <c r="B745" t="s">
        <v>102</v>
      </c>
      <c r="C745">
        <v>31</v>
      </c>
      <c r="D745" t="s">
        <v>33</v>
      </c>
      <c r="E745" t="s">
        <v>36</v>
      </c>
      <c r="F745" t="s">
        <v>38</v>
      </c>
      <c r="G745">
        <v>29288</v>
      </c>
      <c r="H745">
        <v>0</v>
      </c>
      <c r="I745">
        <v>0</v>
      </c>
      <c r="J745">
        <v>0</v>
      </c>
      <c r="K745">
        <v>1</v>
      </c>
      <c r="L745" t="s">
        <v>35</v>
      </c>
      <c r="M745" t="s">
        <v>35</v>
      </c>
      <c r="N745" t="s">
        <v>35</v>
      </c>
      <c r="O745" t="s">
        <v>35</v>
      </c>
      <c r="P745" t="s">
        <v>35</v>
      </c>
      <c r="Q745" t="s">
        <v>35</v>
      </c>
      <c r="R745" t="s">
        <v>35</v>
      </c>
      <c r="S745" t="s">
        <v>35</v>
      </c>
      <c r="T745" t="s">
        <v>35</v>
      </c>
      <c r="U745" t="s">
        <v>35</v>
      </c>
      <c r="V745" t="s">
        <v>35</v>
      </c>
      <c r="W745" t="s">
        <v>35</v>
      </c>
      <c r="X745" t="s">
        <v>35</v>
      </c>
      <c r="Y745" t="s">
        <v>35</v>
      </c>
      <c r="Z745" t="s">
        <v>35</v>
      </c>
      <c r="AA745" t="s">
        <v>35</v>
      </c>
      <c r="AB745" t="s">
        <v>35</v>
      </c>
      <c r="AC745" t="s">
        <v>35</v>
      </c>
      <c r="AD745" t="s">
        <v>35</v>
      </c>
      <c r="AE745" t="s">
        <v>35</v>
      </c>
    </row>
    <row r="746" spans="1:31" x14ac:dyDescent="0.2">
      <c r="A746" t="s">
        <v>272</v>
      </c>
      <c r="B746" t="s">
        <v>102</v>
      </c>
      <c r="C746">
        <v>31</v>
      </c>
      <c r="D746" t="s">
        <v>33</v>
      </c>
      <c r="E746" t="s">
        <v>36</v>
      </c>
      <c r="F746" t="s">
        <v>37</v>
      </c>
      <c r="G746">
        <v>39004</v>
      </c>
      <c r="H746">
        <v>0</v>
      </c>
      <c r="I746">
        <v>0</v>
      </c>
      <c r="J746">
        <v>1</v>
      </c>
      <c r="K746">
        <v>0</v>
      </c>
      <c r="L746" t="s">
        <v>35</v>
      </c>
      <c r="M746" t="s">
        <v>35</v>
      </c>
      <c r="N746" t="s">
        <v>35</v>
      </c>
      <c r="O746" t="s">
        <v>35</v>
      </c>
      <c r="P746" t="s">
        <v>35</v>
      </c>
      <c r="Q746" t="s">
        <v>35</v>
      </c>
      <c r="R746" t="s">
        <v>35</v>
      </c>
      <c r="S746" t="s">
        <v>35</v>
      </c>
      <c r="T746" t="s">
        <v>35</v>
      </c>
      <c r="U746" t="s">
        <v>35</v>
      </c>
      <c r="V746" t="s">
        <v>35</v>
      </c>
      <c r="W746" t="s">
        <v>35</v>
      </c>
      <c r="X746" t="s">
        <v>35</v>
      </c>
      <c r="Y746" t="s">
        <v>35</v>
      </c>
      <c r="Z746" t="s">
        <v>35</v>
      </c>
      <c r="AA746" t="s">
        <v>35</v>
      </c>
      <c r="AB746" t="s">
        <v>35</v>
      </c>
      <c r="AC746" t="s">
        <v>35</v>
      </c>
      <c r="AD746" t="s">
        <v>35</v>
      </c>
      <c r="AE746" t="s">
        <v>35</v>
      </c>
    </row>
    <row r="747" spans="1:31" x14ac:dyDescent="0.2">
      <c r="A747" t="s">
        <v>272</v>
      </c>
      <c r="B747" t="s">
        <v>102</v>
      </c>
      <c r="C747">
        <v>31</v>
      </c>
      <c r="D747" t="s">
        <v>33</v>
      </c>
      <c r="E747" t="s">
        <v>39</v>
      </c>
      <c r="F747" t="s">
        <v>59</v>
      </c>
      <c r="G747">
        <v>83351</v>
      </c>
      <c r="H747">
        <v>1</v>
      </c>
      <c r="I747">
        <v>1</v>
      </c>
      <c r="J747">
        <v>1</v>
      </c>
      <c r="K747">
        <v>0</v>
      </c>
      <c r="L747" t="s">
        <v>62</v>
      </c>
      <c r="M747" t="s">
        <v>83</v>
      </c>
      <c r="N747" t="s">
        <v>60</v>
      </c>
      <c r="O747" t="s">
        <v>45</v>
      </c>
      <c r="P747" t="s">
        <v>51</v>
      </c>
      <c r="Q747" t="s">
        <v>44</v>
      </c>
      <c r="R747">
        <v>0</v>
      </c>
      <c r="S747">
        <v>1</v>
      </c>
      <c r="T747">
        <v>0</v>
      </c>
      <c r="U747">
        <v>0</v>
      </c>
      <c r="V747">
        <v>1</v>
      </c>
      <c r="W747">
        <v>0</v>
      </c>
      <c r="X747">
        <v>1</v>
      </c>
      <c r="Y747">
        <v>0</v>
      </c>
      <c r="Z747">
        <v>1</v>
      </c>
      <c r="AA747">
        <v>0</v>
      </c>
      <c r="AB747">
        <v>0</v>
      </c>
      <c r="AC747">
        <v>1</v>
      </c>
      <c r="AD747">
        <v>0</v>
      </c>
      <c r="AE747">
        <v>0</v>
      </c>
    </row>
    <row r="748" spans="1:31" x14ac:dyDescent="0.2">
      <c r="A748" t="s">
        <v>272</v>
      </c>
      <c r="B748" t="s">
        <v>102</v>
      </c>
      <c r="C748">
        <v>31</v>
      </c>
      <c r="D748" t="s">
        <v>33</v>
      </c>
      <c r="E748" t="s">
        <v>39</v>
      </c>
      <c r="F748" t="s">
        <v>47</v>
      </c>
      <c r="G748">
        <v>33074</v>
      </c>
      <c r="H748">
        <v>1</v>
      </c>
      <c r="I748">
        <v>1</v>
      </c>
      <c r="J748">
        <v>1</v>
      </c>
      <c r="K748">
        <v>0</v>
      </c>
      <c r="L748" t="s">
        <v>48</v>
      </c>
      <c r="M748" t="s">
        <v>79</v>
      </c>
      <c r="N748" t="s">
        <v>49</v>
      </c>
      <c r="O748" t="s">
        <v>46</v>
      </c>
      <c r="P748" t="s">
        <v>45</v>
      </c>
      <c r="Q748" t="s">
        <v>44</v>
      </c>
      <c r="R748">
        <v>0</v>
      </c>
      <c r="S748">
        <v>1</v>
      </c>
      <c r="T748">
        <v>1</v>
      </c>
      <c r="U748">
        <v>0</v>
      </c>
      <c r="V748">
        <v>1</v>
      </c>
      <c r="W748">
        <v>0</v>
      </c>
      <c r="X748">
        <v>1</v>
      </c>
      <c r="Y748">
        <v>0</v>
      </c>
      <c r="Z748">
        <v>1</v>
      </c>
      <c r="AA748">
        <v>1</v>
      </c>
      <c r="AB748">
        <v>0</v>
      </c>
      <c r="AC748">
        <v>1</v>
      </c>
      <c r="AD748">
        <v>0</v>
      </c>
      <c r="AE748">
        <v>0</v>
      </c>
    </row>
    <row r="749" spans="1:31" x14ac:dyDescent="0.2">
      <c r="A749" t="s">
        <v>272</v>
      </c>
      <c r="B749" t="s">
        <v>102</v>
      </c>
      <c r="C749">
        <v>31</v>
      </c>
      <c r="D749" t="s">
        <v>33</v>
      </c>
      <c r="E749" t="s">
        <v>52</v>
      </c>
      <c r="F749" t="s">
        <v>58</v>
      </c>
      <c r="G749">
        <v>53831</v>
      </c>
      <c r="H749">
        <v>0</v>
      </c>
      <c r="I749">
        <v>0</v>
      </c>
      <c r="J749">
        <v>0</v>
      </c>
      <c r="K749">
        <v>1</v>
      </c>
      <c r="L749" t="s">
        <v>35</v>
      </c>
      <c r="M749" t="s">
        <v>35</v>
      </c>
      <c r="N749" t="s">
        <v>35</v>
      </c>
      <c r="O749" t="s">
        <v>35</v>
      </c>
      <c r="P749" t="s">
        <v>35</v>
      </c>
      <c r="Q749" t="s">
        <v>35</v>
      </c>
      <c r="R749" t="s">
        <v>35</v>
      </c>
      <c r="S749">
        <v>1</v>
      </c>
      <c r="T749">
        <v>1</v>
      </c>
      <c r="U749">
        <v>0</v>
      </c>
      <c r="V749">
        <v>1</v>
      </c>
      <c r="W749">
        <v>0</v>
      </c>
      <c r="X749">
        <v>1</v>
      </c>
      <c r="Y749">
        <v>0</v>
      </c>
      <c r="Z749">
        <v>1</v>
      </c>
      <c r="AA749">
        <v>1</v>
      </c>
      <c r="AB749">
        <v>0</v>
      </c>
      <c r="AC749">
        <v>1</v>
      </c>
      <c r="AD749">
        <v>0</v>
      </c>
      <c r="AE749">
        <v>0</v>
      </c>
    </row>
    <row r="750" spans="1:31" x14ac:dyDescent="0.2">
      <c r="A750" t="s">
        <v>272</v>
      </c>
      <c r="B750" t="s">
        <v>102</v>
      </c>
      <c r="C750">
        <v>31</v>
      </c>
      <c r="D750" t="s">
        <v>33</v>
      </c>
      <c r="E750" t="s">
        <v>39</v>
      </c>
      <c r="F750" t="s">
        <v>70</v>
      </c>
      <c r="G750">
        <v>94707</v>
      </c>
      <c r="H750">
        <v>1</v>
      </c>
      <c r="I750">
        <v>1</v>
      </c>
      <c r="J750">
        <v>1</v>
      </c>
      <c r="K750">
        <v>0</v>
      </c>
      <c r="L750" t="s">
        <v>73</v>
      </c>
      <c r="M750" t="s">
        <v>72</v>
      </c>
      <c r="N750" t="s">
        <v>71</v>
      </c>
      <c r="O750" t="s">
        <v>44</v>
      </c>
      <c r="P750" t="s">
        <v>67</v>
      </c>
      <c r="Q750" t="s">
        <v>45</v>
      </c>
      <c r="R750">
        <v>0</v>
      </c>
      <c r="S750">
        <v>1</v>
      </c>
      <c r="T750">
        <v>0</v>
      </c>
      <c r="U750">
        <v>1</v>
      </c>
      <c r="V750">
        <v>1</v>
      </c>
      <c r="W750">
        <v>0</v>
      </c>
      <c r="X750">
        <v>1</v>
      </c>
      <c r="Y750">
        <v>0</v>
      </c>
      <c r="Z750">
        <v>1</v>
      </c>
      <c r="AA750">
        <v>0</v>
      </c>
      <c r="AB750">
        <v>1</v>
      </c>
      <c r="AC750">
        <v>1</v>
      </c>
      <c r="AD750">
        <v>0</v>
      </c>
      <c r="AE750">
        <v>0</v>
      </c>
    </row>
    <row r="751" spans="1:31" x14ac:dyDescent="0.2">
      <c r="A751" t="s">
        <v>272</v>
      </c>
      <c r="B751" t="s">
        <v>102</v>
      </c>
      <c r="C751">
        <v>31</v>
      </c>
      <c r="D751" t="s">
        <v>33</v>
      </c>
      <c r="E751" t="s">
        <v>52</v>
      </c>
      <c r="F751" t="s">
        <v>69</v>
      </c>
      <c r="G751">
        <v>57685</v>
      </c>
      <c r="H751">
        <v>1</v>
      </c>
      <c r="I751">
        <v>1</v>
      </c>
      <c r="J751">
        <v>1</v>
      </c>
      <c r="K751">
        <v>0</v>
      </c>
      <c r="L751" t="s">
        <v>35</v>
      </c>
      <c r="M751" t="s">
        <v>35</v>
      </c>
      <c r="N751" t="s">
        <v>35</v>
      </c>
      <c r="O751" t="s">
        <v>35</v>
      </c>
      <c r="P751" t="s">
        <v>35</v>
      </c>
      <c r="Q751" t="s">
        <v>35</v>
      </c>
      <c r="R751" t="s">
        <v>35</v>
      </c>
      <c r="S751">
        <v>1</v>
      </c>
      <c r="T751">
        <v>0</v>
      </c>
      <c r="U751">
        <v>1</v>
      </c>
      <c r="V751">
        <v>1</v>
      </c>
      <c r="W751">
        <v>0</v>
      </c>
      <c r="X751">
        <v>1</v>
      </c>
      <c r="Y751">
        <v>0</v>
      </c>
      <c r="Z751">
        <v>1</v>
      </c>
      <c r="AA751">
        <v>0</v>
      </c>
      <c r="AB751">
        <v>1</v>
      </c>
      <c r="AC751">
        <v>1</v>
      </c>
      <c r="AD751">
        <v>0</v>
      </c>
      <c r="AE751">
        <v>0</v>
      </c>
    </row>
    <row r="752" spans="1:31" x14ac:dyDescent="0.2">
      <c r="A752" t="s">
        <v>272</v>
      </c>
      <c r="B752" t="s">
        <v>102</v>
      </c>
      <c r="C752">
        <v>31</v>
      </c>
      <c r="D752" t="s">
        <v>33</v>
      </c>
      <c r="E752" t="s">
        <v>39</v>
      </c>
      <c r="F752" t="s">
        <v>63</v>
      </c>
      <c r="G752">
        <v>88782</v>
      </c>
      <c r="H752">
        <v>1</v>
      </c>
      <c r="I752">
        <v>1</v>
      </c>
      <c r="J752">
        <v>1</v>
      </c>
      <c r="K752">
        <v>0</v>
      </c>
      <c r="L752" t="s">
        <v>90</v>
      </c>
      <c r="M752" t="s">
        <v>64</v>
      </c>
      <c r="N752" t="s">
        <v>84</v>
      </c>
      <c r="O752" t="s">
        <v>44</v>
      </c>
      <c r="P752" t="s">
        <v>67</v>
      </c>
      <c r="Q752" t="s">
        <v>46</v>
      </c>
      <c r="R752">
        <v>0</v>
      </c>
      <c r="S752">
        <v>1</v>
      </c>
      <c r="T752">
        <v>1</v>
      </c>
      <c r="U752">
        <v>1</v>
      </c>
      <c r="V752">
        <v>0</v>
      </c>
      <c r="W752">
        <v>0</v>
      </c>
      <c r="X752">
        <v>1</v>
      </c>
      <c r="Y752">
        <v>0</v>
      </c>
      <c r="Z752">
        <v>1</v>
      </c>
      <c r="AA752">
        <v>1</v>
      </c>
      <c r="AB752">
        <v>1</v>
      </c>
      <c r="AC752">
        <v>0</v>
      </c>
      <c r="AD752">
        <v>0</v>
      </c>
      <c r="AE752">
        <v>0</v>
      </c>
    </row>
    <row r="753" spans="1:31" x14ac:dyDescent="0.2">
      <c r="A753" t="s">
        <v>272</v>
      </c>
      <c r="B753" t="s">
        <v>102</v>
      </c>
      <c r="C753">
        <v>31</v>
      </c>
      <c r="D753" t="s">
        <v>33</v>
      </c>
      <c r="E753" t="s">
        <v>39</v>
      </c>
      <c r="F753" t="s">
        <v>54</v>
      </c>
      <c r="G753">
        <v>169000</v>
      </c>
      <c r="H753">
        <v>1</v>
      </c>
      <c r="I753">
        <v>1</v>
      </c>
      <c r="J753">
        <v>1</v>
      </c>
      <c r="K753">
        <v>0</v>
      </c>
      <c r="L753" t="s">
        <v>89</v>
      </c>
      <c r="M753" t="s">
        <v>88</v>
      </c>
      <c r="N753" t="s">
        <v>55</v>
      </c>
      <c r="O753" t="s">
        <v>67</v>
      </c>
      <c r="P753" t="s">
        <v>51</v>
      </c>
      <c r="Q753" t="s">
        <v>44</v>
      </c>
      <c r="R753">
        <v>0</v>
      </c>
      <c r="S753">
        <v>1</v>
      </c>
      <c r="T753">
        <v>0</v>
      </c>
      <c r="U753">
        <v>1</v>
      </c>
      <c r="V753">
        <v>0</v>
      </c>
      <c r="W753">
        <v>0</v>
      </c>
      <c r="X753">
        <v>1</v>
      </c>
      <c r="Y753">
        <v>0</v>
      </c>
      <c r="Z753">
        <v>1</v>
      </c>
      <c r="AA753">
        <v>0</v>
      </c>
      <c r="AB753">
        <v>1</v>
      </c>
      <c r="AC753">
        <v>0</v>
      </c>
      <c r="AD753">
        <v>0</v>
      </c>
      <c r="AE753">
        <v>0</v>
      </c>
    </row>
    <row r="754" spans="1:31" x14ac:dyDescent="0.2">
      <c r="A754" t="s">
        <v>272</v>
      </c>
      <c r="B754" t="s">
        <v>102</v>
      </c>
      <c r="C754">
        <v>31</v>
      </c>
      <c r="D754" t="s">
        <v>33</v>
      </c>
      <c r="E754" t="s">
        <v>52</v>
      </c>
      <c r="F754" t="s">
        <v>53</v>
      </c>
      <c r="G754">
        <v>83675</v>
      </c>
      <c r="H754">
        <v>0</v>
      </c>
      <c r="I754">
        <v>1</v>
      </c>
      <c r="J754">
        <v>1</v>
      </c>
      <c r="K754">
        <v>0</v>
      </c>
      <c r="L754" t="s">
        <v>35</v>
      </c>
      <c r="M754" t="s">
        <v>35</v>
      </c>
      <c r="N754" t="s">
        <v>35</v>
      </c>
      <c r="O754" t="s">
        <v>35</v>
      </c>
      <c r="P754" t="s">
        <v>35</v>
      </c>
      <c r="Q754" t="s">
        <v>35</v>
      </c>
      <c r="R754" t="s">
        <v>35</v>
      </c>
      <c r="S754">
        <v>1</v>
      </c>
      <c r="T754">
        <v>0</v>
      </c>
      <c r="U754">
        <v>1</v>
      </c>
      <c r="V754">
        <v>0</v>
      </c>
      <c r="W754">
        <v>0</v>
      </c>
      <c r="X754">
        <v>1</v>
      </c>
      <c r="Y754">
        <v>0</v>
      </c>
      <c r="Z754">
        <v>1</v>
      </c>
      <c r="AA754">
        <v>0</v>
      </c>
      <c r="AB754">
        <v>1</v>
      </c>
      <c r="AC754">
        <v>0</v>
      </c>
      <c r="AD754">
        <v>0</v>
      </c>
      <c r="AE754">
        <v>0</v>
      </c>
    </row>
    <row r="755" spans="1:31" x14ac:dyDescent="0.2">
      <c r="A755" t="s">
        <v>272</v>
      </c>
      <c r="B755" t="s">
        <v>102</v>
      </c>
      <c r="C755">
        <v>31</v>
      </c>
      <c r="D755" t="s">
        <v>33</v>
      </c>
      <c r="E755" t="s">
        <v>39</v>
      </c>
      <c r="F755" t="s">
        <v>40</v>
      </c>
      <c r="G755">
        <v>125707</v>
      </c>
      <c r="H755">
        <v>1</v>
      </c>
      <c r="I755">
        <v>1</v>
      </c>
      <c r="J755">
        <v>1</v>
      </c>
      <c r="K755">
        <v>0</v>
      </c>
      <c r="L755" t="s">
        <v>41</v>
      </c>
      <c r="M755" t="s">
        <v>42</v>
      </c>
      <c r="N755" t="s">
        <v>82</v>
      </c>
      <c r="O755" t="s">
        <v>44</v>
      </c>
      <c r="P755" t="s">
        <v>45</v>
      </c>
      <c r="Q755" t="s">
        <v>68</v>
      </c>
      <c r="R755">
        <v>1</v>
      </c>
      <c r="S755">
        <v>1</v>
      </c>
      <c r="T755">
        <v>0</v>
      </c>
      <c r="U755">
        <v>0</v>
      </c>
      <c r="V755">
        <v>1</v>
      </c>
      <c r="W755">
        <v>0</v>
      </c>
      <c r="X755">
        <v>1</v>
      </c>
      <c r="Y755">
        <v>1</v>
      </c>
      <c r="Z755">
        <v>1</v>
      </c>
      <c r="AA755">
        <v>0</v>
      </c>
      <c r="AB755">
        <v>0</v>
      </c>
      <c r="AC755">
        <v>1</v>
      </c>
      <c r="AD755">
        <v>0</v>
      </c>
      <c r="AE755">
        <v>0</v>
      </c>
    </row>
    <row r="756" spans="1:31" x14ac:dyDescent="0.2">
      <c r="A756" t="s">
        <v>272</v>
      </c>
      <c r="B756" t="s">
        <v>102</v>
      </c>
      <c r="C756">
        <v>31</v>
      </c>
      <c r="D756" t="s">
        <v>33</v>
      </c>
      <c r="E756" t="s">
        <v>52</v>
      </c>
      <c r="F756" t="s">
        <v>74</v>
      </c>
      <c r="G756">
        <v>99700</v>
      </c>
      <c r="H756">
        <v>1</v>
      </c>
      <c r="I756">
        <v>1</v>
      </c>
      <c r="J756">
        <v>0</v>
      </c>
      <c r="K756">
        <v>0</v>
      </c>
      <c r="L756" t="s">
        <v>35</v>
      </c>
      <c r="M756" t="s">
        <v>35</v>
      </c>
      <c r="N756" t="s">
        <v>35</v>
      </c>
      <c r="O756" t="s">
        <v>35</v>
      </c>
      <c r="P756" t="s">
        <v>35</v>
      </c>
      <c r="Q756" t="s">
        <v>35</v>
      </c>
      <c r="R756" t="s">
        <v>35</v>
      </c>
      <c r="S756">
        <v>1</v>
      </c>
      <c r="T756">
        <v>0</v>
      </c>
      <c r="U756">
        <v>0</v>
      </c>
      <c r="V756">
        <v>1</v>
      </c>
      <c r="W756">
        <v>0</v>
      </c>
      <c r="X756">
        <v>1</v>
      </c>
      <c r="Y756">
        <v>1</v>
      </c>
      <c r="Z756">
        <v>1</v>
      </c>
      <c r="AA756">
        <v>0</v>
      </c>
      <c r="AB756">
        <v>0</v>
      </c>
      <c r="AC756">
        <v>1</v>
      </c>
      <c r="AD756">
        <v>0</v>
      </c>
      <c r="AE756">
        <v>0</v>
      </c>
    </row>
    <row r="757" spans="1:31" x14ac:dyDescent="0.2">
      <c r="A757" t="s">
        <v>272</v>
      </c>
      <c r="B757" t="s">
        <v>102</v>
      </c>
      <c r="C757">
        <v>31</v>
      </c>
      <c r="D757" t="s">
        <v>33</v>
      </c>
      <c r="E757" t="s">
        <v>75</v>
      </c>
      <c r="F757" t="s">
        <v>35</v>
      </c>
      <c r="G757">
        <v>17672</v>
      </c>
      <c r="H757" t="s">
        <v>273</v>
      </c>
      <c r="I757" t="s">
        <v>274</v>
      </c>
      <c r="J757" t="s">
        <v>181</v>
      </c>
      <c r="K757" t="s">
        <v>35</v>
      </c>
      <c r="L757" t="s">
        <v>35</v>
      </c>
      <c r="M757" t="s">
        <v>35</v>
      </c>
      <c r="N757" t="s">
        <v>35</v>
      </c>
      <c r="O757" t="s">
        <v>35</v>
      </c>
      <c r="P757" t="s">
        <v>35</v>
      </c>
      <c r="Q757" t="s">
        <v>35</v>
      </c>
      <c r="R757" t="s">
        <v>35</v>
      </c>
      <c r="S757" t="s">
        <v>35</v>
      </c>
      <c r="T757" t="s">
        <v>35</v>
      </c>
      <c r="U757" t="s">
        <v>35</v>
      </c>
      <c r="V757" t="s">
        <v>35</v>
      </c>
      <c r="W757" t="s">
        <v>35</v>
      </c>
      <c r="X757" t="s">
        <v>35</v>
      </c>
      <c r="Y757" t="s">
        <v>35</v>
      </c>
      <c r="Z757" t="s">
        <v>35</v>
      </c>
      <c r="AA757" t="s">
        <v>35</v>
      </c>
      <c r="AB757" t="s">
        <v>35</v>
      </c>
      <c r="AC757" t="s">
        <v>35</v>
      </c>
      <c r="AD757" t="s">
        <v>35</v>
      </c>
      <c r="AE757" t="s">
        <v>35</v>
      </c>
    </row>
    <row r="758" spans="1:31" x14ac:dyDescent="0.2">
      <c r="A758" t="s">
        <v>275</v>
      </c>
      <c r="B758" t="s">
        <v>102</v>
      </c>
      <c r="C758">
        <v>36</v>
      </c>
      <c r="D758" t="s">
        <v>33</v>
      </c>
      <c r="E758" t="s">
        <v>34</v>
      </c>
      <c r="F758" t="s">
        <v>35</v>
      </c>
      <c r="G758">
        <v>219366</v>
      </c>
      <c r="H758" t="s">
        <v>35</v>
      </c>
      <c r="I758" t="s">
        <v>35</v>
      </c>
      <c r="J758" t="s">
        <v>35</v>
      </c>
      <c r="K758" t="s">
        <v>35</v>
      </c>
      <c r="L758" t="s">
        <v>35</v>
      </c>
      <c r="M758" t="s">
        <v>35</v>
      </c>
      <c r="N758" t="s">
        <v>35</v>
      </c>
      <c r="O758" t="s">
        <v>35</v>
      </c>
      <c r="P758" t="s">
        <v>35</v>
      </c>
      <c r="Q758" t="s">
        <v>35</v>
      </c>
      <c r="R758" t="s">
        <v>35</v>
      </c>
      <c r="S758" t="s">
        <v>35</v>
      </c>
      <c r="T758" t="s">
        <v>35</v>
      </c>
      <c r="U758" t="s">
        <v>35</v>
      </c>
      <c r="V758" t="s">
        <v>35</v>
      </c>
      <c r="W758" t="s">
        <v>35</v>
      </c>
      <c r="X758" t="s">
        <v>35</v>
      </c>
      <c r="Y758" t="s">
        <v>35</v>
      </c>
      <c r="Z758" t="s">
        <v>35</v>
      </c>
      <c r="AA758" t="s">
        <v>35</v>
      </c>
      <c r="AB758" t="s">
        <v>35</v>
      </c>
      <c r="AC758" t="s">
        <v>35</v>
      </c>
      <c r="AD758" t="s">
        <v>35</v>
      </c>
      <c r="AE758" t="s">
        <v>35</v>
      </c>
    </row>
    <row r="759" spans="1:31" x14ac:dyDescent="0.2">
      <c r="A759" t="s">
        <v>275</v>
      </c>
      <c r="B759" t="s">
        <v>102</v>
      </c>
      <c r="C759">
        <v>36</v>
      </c>
      <c r="D759" t="s">
        <v>33</v>
      </c>
      <c r="E759" t="s">
        <v>36</v>
      </c>
      <c r="F759" t="s">
        <v>37</v>
      </c>
      <c r="G759">
        <v>326499</v>
      </c>
      <c r="H759">
        <v>0</v>
      </c>
      <c r="I759">
        <v>0</v>
      </c>
      <c r="J759">
        <v>1</v>
      </c>
      <c r="K759">
        <v>0</v>
      </c>
      <c r="L759" t="s">
        <v>35</v>
      </c>
      <c r="M759" t="s">
        <v>35</v>
      </c>
      <c r="N759" t="s">
        <v>35</v>
      </c>
      <c r="O759" t="s">
        <v>35</v>
      </c>
      <c r="P759" t="s">
        <v>35</v>
      </c>
      <c r="Q759" t="s">
        <v>35</v>
      </c>
      <c r="R759" t="s">
        <v>35</v>
      </c>
      <c r="S759" t="s">
        <v>35</v>
      </c>
      <c r="T759" t="s">
        <v>35</v>
      </c>
      <c r="U759" t="s">
        <v>35</v>
      </c>
      <c r="V759" t="s">
        <v>35</v>
      </c>
      <c r="W759" t="s">
        <v>35</v>
      </c>
      <c r="X759" t="s">
        <v>35</v>
      </c>
      <c r="Y759" t="s">
        <v>35</v>
      </c>
      <c r="Z759" t="s">
        <v>35</v>
      </c>
      <c r="AA759" t="s">
        <v>35</v>
      </c>
      <c r="AB759" t="s">
        <v>35</v>
      </c>
      <c r="AC759" t="s">
        <v>35</v>
      </c>
      <c r="AD759" t="s">
        <v>35</v>
      </c>
      <c r="AE759" t="s">
        <v>35</v>
      </c>
    </row>
    <row r="760" spans="1:31" x14ac:dyDescent="0.2">
      <c r="A760" t="s">
        <v>275</v>
      </c>
      <c r="B760" t="s">
        <v>102</v>
      </c>
      <c r="C760">
        <v>36</v>
      </c>
      <c r="D760" t="s">
        <v>33</v>
      </c>
      <c r="E760" t="s">
        <v>36</v>
      </c>
      <c r="F760" t="s">
        <v>38</v>
      </c>
      <c r="G760">
        <v>148107</v>
      </c>
      <c r="H760">
        <v>0</v>
      </c>
      <c r="I760">
        <v>0</v>
      </c>
      <c r="J760">
        <v>0</v>
      </c>
      <c r="K760">
        <v>1</v>
      </c>
      <c r="L760" t="s">
        <v>35</v>
      </c>
      <c r="M760" t="s">
        <v>35</v>
      </c>
      <c r="N760" t="s">
        <v>35</v>
      </c>
      <c r="O760" t="s">
        <v>35</v>
      </c>
      <c r="P760" t="s">
        <v>35</v>
      </c>
      <c r="Q760" t="s">
        <v>35</v>
      </c>
      <c r="R760" t="s">
        <v>35</v>
      </c>
      <c r="S760" t="s">
        <v>35</v>
      </c>
      <c r="T760" t="s">
        <v>35</v>
      </c>
      <c r="U760" t="s">
        <v>35</v>
      </c>
      <c r="V760" t="s">
        <v>35</v>
      </c>
      <c r="W760" t="s">
        <v>35</v>
      </c>
      <c r="X760" t="s">
        <v>35</v>
      </c>
      <c r="Y760" t="s">
        <v>35</v>
      </c>
      <c r="Z760" t="s">
        <v>35</v>
      </c>
      <c r="AA760" t="s">
        <v>35</v>
      </c>
      <c r="AB760" t="s">
        <v>35</v>
      </c>
      <c r="AC760" t="s">
        <v>35</v>
      </c>
      <c r="AD760" t="s">
        <v>35</v>
      </c>
      <c r="AE760" t="s">
        <v>35</v>
      </c>
    </row>
    <row r="761" spans="1:31" x14ac:dyDescent="0.2">
      <c r="A761" t="s">
        <v>275</v>
      </c>
      <c r="B761" t="s">
        <v>102</v>
      </c>
      <c r="C761">
        <v>36</v>
      </c>
      <c r="D761" t="s">
        <v>33</v>
      </c>
      <c r="E761" t="s">
        <v>39</v>
      </c>
      <c r="F761" t="s">
        <v>70</v>
      </c>
      <c r="G761">
        <v>80575</v>
      </c>
      <c r="H761">
        <v>1</v>
      </c>
      <c r="I761">
        <v>1</v>
      </c>
      <c r="J761">
        <v>1</v>
      </c>
      <c r="K761">
        <v>0</v>
      </c>
      <c r="L761" t="s">
        <v>73</v>
      </c>
      <c r="M761" t="s">
        <v>93</v>
      </c>
      <c r="N761" t="s">
        <v>72</v>
      </c>
      <c r="O761" t="s">
        <v>44</v>
      </c>
      <c r="P761" t="s">
        <v>68</v>
      </c>
      <c r="Q761" t="s">
        <v>67</v>
      </c>
      <c r="R761">
        <v>1</v>
      </c>
      <c r="S761">
        <v>1</v>
      </c>
      <c r="T761">
        <v>0</v>
      </c>
      <c r="U761">
        <v>1</v>
      </c>
      <c r="V761">
        <v>0</v>
      </c>
      <c r="W761">
        <v>0</v>
      </c>
      <c r="X761">
        <v>1</v>
      </c>
      <c r="Y761">
        <v>1</v>
      </c>
      <c r="Z761">
        <v>1</v>
      </c>
      <c r="AA761">
        <v>0</v>
      </c>
      <c r="AB761">
        <v>1</v>
      </c>
      <c r="AC761">
        <v>0</v>
      </c>
      <c r="AD761">
        <v>0</v>
      </c>
      <c r="AE761">
        <v>0</v>
      </c>
    </row>
    <row r="762" spans="1:31" x14ac:dyDescent="0.2">
      <c r="A762" t="s">
        <v>275</v>
      </c>
      <c r="B762" t="s">
        <v>102</v>
      </c>
      <c r="C762">
        <v>36</v>
      </c>
      <c r="D762" t="s">
        <v>33</v>
      </c>
      <c r="E762" t="s">
        <v>39</v>
      </c>
      <c r="F762" t="s">
        <v>40</v>
      </c>
      <c r="G762">
        <v>42268</v>
      </c>
      <c r="H762">
        <v>1</v>
      </c>
      <c r="I762">
        <v>1</v>
      </c>
      <c r="J762">
        <v>1</v>
      </c>
      <c r="K762">
        <v>0</v>
      </c>
      <c r="L762" t="s">
        <v>81</v>
      </c>
      <c r="M762" t="s">
        <v>42</v>
      </c>
      <c r="N762" t="s">
        <v>41</v>
      </c>
      <c r="O762" t="s">
        <v>67</v>
      </c>
      <c r="P762" t="s">
        <v>45</v>
      </c>
      <c r="Q762" t="s">
        <v>44</v>
      </c>
      <c r="R762">
        <v>0</v>
      </c>
      <c r="S762">
        <v>1</v>
      </c>
      <c r="T762">
        <v>0</v>
      </c>
      <c r="U762">
        <v>1</v>
      </c>
      <c r="V762">
        <v>1</v>
      </c>
      <c r="W762">
        <v>0</v>
      </c>
      <c r="X762">
        <v>1</v>
      </c>
      <c r="Y762">
        <v>0</v>
      </c>
      <c r="Z762">
        <v>1</v>
      </c>
      <c r="AA762">
        <v>0</v>
      </c>
      <c r="AB762">
        <v>1</v>
      </c>
      <c r="AC762">
        <v>1</v>
      </c>
      <c r="AD762">
        <v>0</v>
      </c>
      <c r="AE762">
        <v>0</v>
      </c>
    </row>
    <row r="763" spans="1:31" x14ac:dyDescent="0.2">
      <c r="A763" t="s">
        <v>275</v>
      </c>
      <c r="B763" t="s">
        <v>102</v>
      </c>
      <c r="C763">
        <v>36</v>
      </c>
      <c r="D763" t="s">
        <v>33</v>
      </c>
      <c r="E763" t="s">
        <v>52</v>
      </c>
      <c r="F763" t="s">
        <v>69</v>
      </c>
      <c r="G763">
        <v>97940</v>
      </c>
      <c r="H763">
        <v>0</v>
      </c>
      <c r="I763">
        <v>1</v>
      </c>
      <c r="J763">
        <v>1</v>
      </c>
      <c r="K763">
        <v>0</v>
      </c>
      <c r="L763" t="s">
        <v>35</v>
      </c>
      <c r="M763" t="s">
        <v>35</v>
      </c>
      <c r="N763" t="s">
        <v>35</v>
      </c>
      <c r="O763" t="s">
        <v>35</v>
      </c>
      <c r="P763" t="s">
        <v>35</v>
      </c>
      <c r="Q763" t="s">
        <v>35</v>
      </c>
      <c r="R763" t="s">
        <v>35</v>
      </c>
      <c r="S763">
        <v>1</v>
      </c>
      <c r="T763">
        <v>0</v>
      </c>
      <c r="U763">
        <v>1</v>
      </c>
      <c r="V763">
        <v>1</v>
      </c>
      <c r="W763">
        <v>0</v>
      </c>
      <c r="X763">
        <v>1</v>
      </c>
      <c r="Y763">
        <v>0</v>
      </c>
      <c r="Z763">
        <v>1</v>
      </c>
      <c r="AA763">
        <v>0</v>
      </c>
      <c r="AB763">
        <v>1</v>
      </c>
      <c r="AC763">
        <v>1</v>
      </c>
      <c r="AD763">
        <v>0</v>
      </c>
      <c r="AE763">
        <v>0</v>
      </c>
    </row>
    <row r="764" spans="1:31" x14ac:dyDescent="0.2">
      <c r="A764" t="s">
        <v>275</v>
      </c>
      <c r="B764" t="s">
        <v>102</v>
      </c>
      <c r="C764">
        <v>36</v>
      </c>
      <c r="D764" t="s">
        <v>33</v>
      </c>
      <c r="E764" t="s">
        <v>39</v>
      </c>
      <c r="F764" t="s">
        <v>63</v>
      </c>
      <c r="G764">
        <v>83376</v>
      </c>
      <c r="H764">
        <v>1</v>
      </c>
      <c r="I764">
        <v>1</v>
      </c>
      <c r="J764">
        <v>1</v>
      </c>
      <c r="K764">
        <v>0</v>
      </c>
      <c r="L764" t="s">
        <v>84</v>
      </c>
      <c r="M764" t="s">
        <v>64</v>
      </c>
      <c r="N764" t="s">
        <v>65</v>
      </c>
      <c r="O764" t="s">
        <v>46</v>
      </c>
      <c r="P764" t="s">
        <v>67</v>
      </c>
      <c r="Q764" t="s">
        <v>68</v>
      </c>
      <c r="R764">
        <v>1</v>
      </c>
      <c r="S764">
        <v>0</v>
      </c>
      <c r="T764">
        <v>1</v>
      </c>
      <c r="U764">
        <v>1</v>
      </c>
      <c r="V764">
        <v>0</v>
      </c>
      <c r="W764">
        <v>0</v>
      </c>
      <c r="X764">
        <v>1</v>
      </c>
      <c r="Y764">
        <v>1</v>
      </c>
      <c r="Z764">
        <v>0</v>
      </c>
      <c r="AA764">
        <v>1</v>
      </c>
      <c r="AB764">
        <v>1</v>
      </c>
      <c r="AC764">
        <v>0</v>
      </c>
      <c r="AD764">
        <v>0</v>
      </c>
      <c r="AE764">
        <v>0</v>
      </c>
    </row>
    <row r="765" spans="1:31" x14ac:dyDescent="0.2">
      <c r="A765" t="s">
        <v>275</v>
      </c>
      <c r="B765" t="s">
        <v>102</v>
      </c>
      <c r="C765">
        <v>36</v>
      </c>
      <c r="D765" t="s">
        <v>33</v>
      </c>
      <c r="E765" t="s">
        <v>39</v>
      </c>
      <c r="F765" t="s">
        <v>54</v>
      </c>
      <c r="G765">
        <v>82325</v>
      </c>
      <c r="H765">
        <v>1</v>
      </c>
      <c r="I765">
        <v>1</v>
      </c>
      <c r="J765">
        <v>1</v>
      </c>
      <c r="K765">
        <v>0</v>
      </c>
      <c r="L765" t="s">
        <v>55</v>
      </c>
      <c r="M765" t="s">
        <v>122</v>
      </c>
      <c r="N765" t="s">
        <v>57</v>
      </c>
      <c r="O765" t="s">
        <v>44</v>
      </c>
      <c r="P765" t="s">
        <v>68</v>
      </c>
      <c r="Q765" t="s">
        <v>46</v>
      </c>
      <c r="R765">
        <v>1</v>
      </c>
      <c r="S765">
        <v>1</v>
      </c>
      <c r="T765">
        <v>1</v>
      </c>
      <c r="U765">
        <v>0</v>
      </c>
      <c r="V765">
        <v>0</v>
      </c>
      <c r="W765">
        <v>0</v>
      </c>
      <c r="X765">
        <v>1</v>
      </c>
      <c r="Y765">
        <v>1</v>
      </c>
      <c r="Z765">
        <v>1</v>
      </c>
      <c r="AA765">
        <v>1</v>
      </c>
      <c r="AB765">
        <v>0</v>
      </c>
      <c r="AC765">
        <v>0</v>
      </c>
      <c r="AD765">
        <v>0</v>
      </c>
      <c r="AE765">
        <v>0</v>
      </c>
    </row>
    <row r="766" spans="1:31" x14ac:dyDescent="0.2">
      <c r="A766" t="s">
        <v>275</v>
      </c>
      <c r="B766" t="s">
        <v>102</v>
      </c>
      <c r="C766">
        <v>36</v>
      </c>
      <c r="D766" t="s">
        <v>33</v>
      </c>
      <c r="E766" t="s">
        <v>52</v>
      </c>
      <c r="F766" t="s">
        <v>58</v>
      </c>
      <c r="G766">
        <v>14833</v>
      </c>
      <c r="H766">
        <v>1</v>
      </c>
      <c r="I766">
        <v>0</v>
      </c>
      <c r="J766">
        <v>0</v>
      </c>
      <c r="K766">
        <v>0</v>
      </c>
      <c r="L766" t="s">
        <v>35</v>
      </c>
      <c r="M766" t="s">
        <v>35</v>
      </c>
      <c r="N766" t="s">
        <v>35</v>
      </c>
      <c r="O766" t="s">
        <v>35</v>
      </c>
      <c r="P766" t="s">
        <v>35</v>
      </c>
      <c r="Q766" t="s">
        <v>35</v>
      </c>
      <c r="R766" t="s">
        <v>35</v>
      </c>
      <c r="S766">
        <v>1</v>
      </c>
      <c r="T766">
        <v>1</v>
      </c>
      <c r="U766">
        <v>0</v>
      </c>
      <c r="V766">
        <v>0</v>
      </c>
      <c r="W766">
        <v>0</v>
      </c>
      <c r="X766">
        <v>1</v>
      </c>
      <c r="Y766">
        <v>1</v>
      </c>
      <c r="Z766">
        <v>1</v>
      </c>
      <c r="AA766">
        <v>1</v>
      </c>
      <c r="AB766">
        <v>0</v>
      </c>
      <c r="AC766">
        <v>0</v>
      </c>
      <c r="AD766">
        <v>0</v>
      </c>
      <c r="AE766">
        <v>0</v>
      </c>
    </row>
    <row r="767" spans="1:31" x14ac:dyDescent="0.2">
      <c r="A767" t="s">
        <v>275</v>
      </c>
      <c r="B767" t="s">
        <v>102</v>
      </c>
      <c r="C767">
        <v>36</v>
      </c>
      <c r="D767" t="s">
        <v>33</v>
      </c>
      <c r="E767" t="s">
        <v>39</v>
      </c>
      <c r="F767" t="s">
        <v>47</v>
      </c>
      <c r="G767">
        <v>12779</v>
      </c>
      <c r="H767">
        <v>1</v>
      </c>
      <c r="I767">
        <v>1</v>
      </c>
      <c r="J767">
        <v>1</v>
      </c>
      <c r="K767">
        <v>0</v>
      </c>
      <c r="L767" t="s">
        <v>79</v>
      </c>
      <c r="M767" t="s">
        <v>80</v>
      </c>
      <c r="N767" t="s">
        <v>48</v>
      </c>
      <c r="O767" t="s">
        <v>45</v>
      </c>
      <c r="P767" t="s">
        <v>67</v>
      </c>
      <c r="Q767" t="s">
        <v>46</v>
      </c>
      <c r="R767">
        <v>0</v>
      </c>
      <c r="S767">
        <v>0</v>
      </c>
      <c r="T767">
        <v>1</v>
      </c>
      <c r="U767">
        <v>1</v>
      </c>
      <c r="V767">
        <v>1</v>
      </c>
      <c r="W767">
        <v>0</v>
      </c>
      <c r="X767">
        <v>1</v>
      </c>
      <c r="Y767">
        <v>0</v>
      </c>
      <c r="Z767">
        <v>0</v>
      </c>
      <c r="AA767">
        <v>1</v>
      </c>
      <c r="AB767">
        <v>1</v>
      </c>
      <c r="AC767">
        <v>1</v>
      </c>
      <c r="AD767">
        <v>0</v>
      </c>
      <c r="AE767">
        <v>0</v>
      </c>
    </row>
    <row r="768" spans="1:31" x14ac:dyDescent="0.2">
      <c r="A768" t="s">
        <v>275</v>
      </c>
      <c r="B768" t="s">
        <v>102</v>
      </c>
      <c r="C768">
        <v>36</v>
      </c>
      <c r="D768" t="s">
        <v>33</v>
      </c>
      <c r="E768" t="s">
        <v>52</v>
      </c>
      <c r="F768" t="s">
        <v>74</v>
      </c>
      <c r="G768">
        <v>22744</v>
      </c>
      <c r="H768">
        <v>1</v>
      </c>
      <c r="I768">
        <v>0</v>
      </c>
      <c r="J768">
        <v>0</v>
      </c>
      <c r="K768">
        <v>0</v>
      </c>
      <c r="L768" t="s">
        <v>35</v>
      </c>
      <c r="M768" t="s">
        <v>35</v>
      </c>
      <c r="N768" t="s">
        <v>35</v>
      </c>
      <c r="O768" t="s">
        <v>35</v>
      </c>
      <c r="P768" t="s">
        <v>35</v>
      </c>
      <c r="Q768" t="s">
        <v>35</v>
      </c>
      <c r="R768" t="s">
        <v>35</v>
      </c>
      <c r="S768">
        <v>0</v>
      </c>
      <c r="T768">
        <v>1</v>
      </c>
      <c r="U768">
        <v>1</v>
      </c>
      <c r="V768">
        <v>1</v>
      </c>
      <c r="W768">
        <v>0</v>
      </c>
      <c r="X768">
        <v>1</v>
      </c>
      <c r="Y768">
        <v>0</v>
      </c>
      <c r="Z768">
        <v>0</v>
      </c>
      <c r="AA768">
        <v>1</v>
      </c>
      <c r="AB768">
        <v>1</v>
      </c>
      <c r="AC768">
        <v>1</v>
      </c>
      <c r="AD768">
        <v>0</v>
      </c>
      <c r="AE768">
        <v>0</v>
      </c>
    </row>
    <row r="769" spans="1:31" x14ac:dyDescent="0.2">
      <c r="A769" t="s">
        <v>275</v>
      </c>
      <c r="B769" t="s">
        <v>102</v>
      </c>
      <c r="C769">
        <v>36</v>
      </c>
      <c r="D769" t="s">
        <v>33</v>
      </c>
      <c r="E769" t="s">
        <v>39</v>
      </c>
      <c r="F769" t="s">
        <v>59</v>
      </c>
      <c r="G769">
        <v>7258</v>
      </c>
      <c r="H769">
        <v>1</v>
      </c>
      <c r="I769">
        <v>1</v>
      </c>
      <c r="J769">
        <v>1</v>
      </c>
      <c r="K769">
        <v>0</v>
      </c>
      <c r="L769" t="s">
        <v>99</v>
      </c>
      <c r="M769" t="s">
        <v>94</v>
      </c>
      <c r="N769" t="s">
        <v>62</v>
      </c>
      <c r="O769" t="s">
        <v>67</v>
      </c>
      <c r="P769" t="s">
        <v>68</v>
      </c>
      <c r="Q769" t="s">
        <v>45</v>
      </c>
      <c r="R769">
        <v>1</v>
      </c>
      <c r="S769">
        <v>0</v>
      </c>
      <c r="T769">
        <v>0</v>
      </c>
      <c r="U769">
        <v>1</v>
      </c>
      <c r="V769">
        <v>1</v>
      </c>
      <c r="W769">
        <v>0</v>
      </c>
      <c r="X769">
        <v>1</v>
      </c>
      <c r="Y769">
        <v>1</v>
      </c>
      <c r="Z769">
        <v>0</v>
      </c>
      <c r="AA769">
        <v>0</v>
      </c>
      <c r="AB769">
        <v>1</v>
      </c>
      <c r="AC769">
        <v>1</v>
      </c>
      <c r="AD769">
        <v>0</v>
      </c>
      <c r="AE769">
        <v>0</v>
      </c>
    </row>
    <row r="770" spans="1:31" x14ac:dyDescent="0.2">
      <c r="A770" t="s">
        <v>275</v>
      </c>
      <c r="B770" t="s">
        <v>102</v>
      </c>
      <c r="C770">
        <v>36</v>
      </c>
      <c r="D770" t="s">
        <v>33</v>
      </c>
      <c r="E770" t="s">
        <v>52</v>
      </c>
      <c r="F770" t="s">
        <v>53</v>
      </c>
      <c r="G770">
        <v>31807</v>
      </c>
      <c r="H770">
        <v>1</v>
      </c>
      <c r="I770">
        <v>1</v>
      </c>
      <c r="J770">
        <v>1</v>
      </c>
      <c r="K770">
        <v>0</v>
      </c>
      <c r="L770" t="s">
        <v>35</v>
      </c>
      <c r="M770" t="s">
        <v>35</v>
      </c>
      <c r="N770" t="s">
        <v>35</v>
      </c>
      <c r="O770" t="s">
        <v>35</v>
      </c>
      <c r="P770" t="s">
        <v>35</v>
      </c>
      <c r="Q770" t="s">
        <v>35</v>
      </c>
      <c r="R770" t="s">
        <v>35</v>
      </c>
      <c r="S770">
        <v>0</v>
      </c>
      <c r="T770">
        <v>0</v>
      </c>
      <c r="U770">
        <v>1</v>
      </c>
      <c r="V770">
        <v>1</v>
      </c>
      <c r="W770">
        <v>0</v>
      </c>
      <c r="X770">
        <v>1</v>
      </c>
      <c r="Y770">
        <v>1</v>
      </c>
      <c r="Z770">
        <v>0</v>
      </c>
      <c r="AA770">
        <v>0</v>
      </c>
      <c r="AB770">
        <v>1</v>
      </c>
      <c r="AC770">
        <v>1</v>
      </c>
      <c r="AD770">
        <v>0</v>
      </c>
      <c r="AE770">
        <v>0</v>
      </c>
    </row>
    <row r="771" spans="1:31" x14ac:dyDescent="0.2">
      <c r="A771" t="s">
        <v>275</v>
      </c>
      <c r="B771" t="s">
        <v>102</v>
      </c>
      <c r="C771">
        <v>36</v>
      </c>
      <c r="D771" t="s">
        <v>33</v>
      </c>
      <c r="E771" t="s">
        <v>75</v>
      </c>
      <c r="F771" t="s">
        <v>35</v>
      </c>
      <c r="G771">
        <v>92931</v>
      </c>
      <c r="H771" t="s">
        <v>276</v>
      </c>
      <c r="I771" t="s">
        <v>277</v>
      </c>
      <c r="J771" t="s">
        <v>100</v>
      </c>
      <c r="K771" t="s">
        <v>35</v>
      </c>
      <c r="L771" t="s">
        <v>35</v>
      </c>
      <c r="M771" t="s">
        <v>35</v>
      </c>
      <c r="N771" t="s">
        <v>35</v>
      </c>
      <c r="O771" t="s">
        <v>35</v>
      </c>
      <c r="P771" t="s">
        <v>35</v>
      </c>
      <c r="Q771" t="s">
        <v>35</v>
      </c>
      <c r="R771" t="s">
        <v>35</v>
      </c>
      <c r="S771" t="s">
        <v>35</v>
      </c>
      <c r="T771" t="s">
        <v>35</v>
      </c>
      <c r="U771" t="s">
        <v>35</v>
      </c>
      <c r="V771" t="s">
        <v>35</v>
      </c>
      <c r="W771" t="s">
        <v>35</v>
      </c>
      <c r="X771" t="s">
        <v>35</v>
      </c>
      <c r="Y771" t="s">
        <v>35</v>
      </c>
      <c r="Z771" t="s">
        <v>35</v>
      </c>
      <c r="AA771" t="s">
        <v>35</v>
      </c>
      <c r="AB771" t="s">
        <v>35</v>
      </c>
      <c r="AC771" t="s">
        <v>35</v>
      </c>
      <c r="AD771" t="s">
        <v>35</v>
      </c>
      <c r="AE771" t="s">
        <v>35</v>
      </c>
    </row>
    <row r="772" spans="1:31" x14ac:dyDescent="0.2">
      <c r="A772" t="s">
        <v>278</v>
      </c>
      <c r="B772" t="s">
        <v>107</v>
      </c>
      <c r="C772">
        <v>27</v>
      </c>
      <c r="D772" t="s">
        <v>78</v>
      </c>
      <c r="E772" t="s">
        <v>34</v>
      </c>
      <c r="F772" t="s">
        <v>35</v>
      </c>
      <c r="G772">
        <v>13817</v>
      </c>
      <c r="H772" t="s">
        <v>35</v>
      </c>
      <c r="I772" t="s">
        <v>35</v>
      </c>
      <c r="J772" t="s">
        <v>35</v>
      </c>
      <c r="K772" t="s">
        <v>35</v>
      </c>
      <c r="L772" t="s">
        <v>35</v>
      </c>
      <c r="M772" t="s">
        <v>35</v>
      </c>
      <c r="N772" t="s">
        <v>35</v>
      </c>
      <c r="O772" t="s">
        <v>35</v>
      </c>
      <c r="P772" t="s">
        <v>35</v>
      </c>
      <c r="Q772" t="s">
        <v>35</v>
      </c>
      <c r="R772" t="s">
        <v>35</v>
      </c>
      <c r="S772" t="s">
        <v>35</v>
      </c>
      <c r="T772" t="s">
        <v>35</v>
      </c>
      <c r="U772" t="s">
        <v>35</v>
      </c>
      <c r="V772" t="s">
        <v>35</v>
      </c>
      <c r="W772" t="s">
        <v>35</v>
      </c>
      <c r="X772" t="s">
        <v>35</v>
      </c>
      <c r="Y772" t="s">
        <v>35</v>
      </c>
      <c r="Z772" t="s">
        <v>35</v>
      </c>
      <c r="AA772" t="s">
        <v>35</v>
      </c>
      <c r="AB772" t="s">
        <v>35</v>
      </c>
      <c r="AC772" t="s">
        <v>35</v>
      </c>
      <c r="AD772" t="s">
        <v>35</v>
      </c>
      <c r="AE772" t="s">
        <v>35</v>
      </c>
    </row>
    <row r="773" spans="1:31" x14ac:dyDescent="0.2">
      <c r="A773" t="s">
        <v>278</v>
      </c>
      <c r="B773" t="s">
        <v>107</v>
      </c>
      <c r="C773">
        <v>27</v>
      </c>
      <c r="D773" t="s">
        <v>78</v>
      </c>
      <c r="E773" t="s">
        <v>36</v>
      </c>
      <c r="F773" t="s">
        <v>37</v>
      </c>
      <c r="G773">
        <v>20526</v>
      </c>
      <c r="H773">
        <v>0</v>
      </c>
      <c r="I773">
        <v>0</v>
      </c>
      <c r="J773">
        <v>1</v>
      </c>
      <c r="K773">
        <v>0</v>
      </c>
      <c r="L773" t="s">
        <v>35</v>
      </c>
      <c r="M773" t="s">
        <v>35</v>
      </c>
      <c r="N773" t="s">
        <v>35</v>
      </c>
      <c r="O773" t="s">
        <v>35</v>
      </c>
      <c r="P773" t="s">
        <v>35</v>
      </c>
      <c r="Q773" t="s">
        <v>35</v>
      </c>
      <c r="R773" t="s">
        <v>35</v>
      </c>
      <c r="S773" t="s">
        <v>35</v>
      </c>
      <c r="T773" t="s">
        <v>35</v>
      </c>
      <c r="U773" t="s">
        <v>35</v>
      </c>
      <c r="V773" t="s">
        <v>35</v>
      </c>
      <c r="W773" t="s">
        <v>35</v>
      </c>
      <c r="X773" t="s">
        <v>35</v>
      </c>
      <c r="Y773" t="s">
        <v>35</v>
      </c>
      <c r="Z773" t="s">
        <v>35</v>
      </c>
      <c r="AA773" t="s">
        <v>35</v>
      </c>
      <c r="AB773" t="s">
        <v>35</v>
      </c>
      <c r="AC773" t="s">
        <v>35</v>
      </c>
      <c r="AD773" t="s">
        <v>35</v>
      </c>
      <c r="AE773" t="s">
        <v>35</v>
      </c>
    </row>
    <row r="774" spans="1:31" x14ac:dyDescent="0.2">
      <c r="A774" t="s">
        <v>278</v>
      </c>
      <c r="B774" t="s">
        <v>107</v>
      </c>
      <c r="C774">
        <v>27</v>
      </c>
      <c r="D774" t="s">
        <v>78</v>
      </c>
      <c r="E774" t="s">
        <v>36</v>
      </c>
      <c r="F774" t="s">
        <v>38</v>
      </c>
      <c r="G774">
        <v>11661</v>
      </c>
      <c r="H774">
        <v>0</v>
      </c>
      <c r="I774">
        <v>0</v>
      </c>
      <c r="J774">
        <v>0</v>
      </c>
      <c r="K774">
        <v>1</v>
      </c>
      <c r="L774" t="s">
        <v>35</v>
      </c>
      <c r="M774" t="s">
        <v>35</v>
      </c>
      <c r="N774" t="s">
        <v>35</v>
      </c>
      <c r="O774" t="s">
        <v>35</v>
      </c>
      <c r="P774" t="s">
        <v>35</v>
      </c>
      <c r="Q774" t="s">
        <v>35</v>
      </c>
      <c r="R774" t="s">
        <v>35</v>
      </c>
      <c r="S774" t="s">
        <v>35</v>
      </c>
      <c r="T774" t="s">
        <v>35</v>
      </c>
      <c r="U774" t="s">
        <v>35</v>
      </c>
      <c r="V774" t="s">
        <v>35</v>
      </c>
      <c r="W774" t="s">
        <v>35</v>
      </c>
      <c r="X774" t="s">
        <v>35</v>
      </c>
      <c r="Y774" t="s">
        <v>35</v>
      </c>
      <c r="Z774" t="s">
        <v>35</v>
      </c>
      <c r="AA774" t="s">
        <v>35</v>
      </c>
      <c r="AB774" t="s">
        <v>35</v>
      </c>
      <c r="AC774" t="s">
        <v>35</v>
      </c>
      <c r="AD774" t="s">
        <v>35</v>
      </c>
      <c r="AE774" t="s">
        <v>35</v>
      </c>
    </row>
    <row r="775" spans="1:31" x14ac:dyDescent="0.2">
      <c r="A775" t="s">
        <v>278</v>
      </c>
      <c r="B775" t="s">
        <v>107</v>
      </c>
      <c r="C775">
        <v>27</v>
      </c>
      <c r="D775" t="s">
        <v>78</v>
      </c>
      <c r="E775" t="s">
        <v>39</v>
      </c>
      <c r="F775" t="s">
        <v>54</v>
      </c>
      <c r="G775">
        <v>64929</v>
      </c>
      <c r="H775">
        <v>1</v>
      </c>
      <c r="I775">
        <v>1</v>
      </c>
      <c r="J775">
        <v>1</v>
      </c>
      <c r="K775">
        <v>0</v>
      </c>
      <c r="L775" t="s">
        <v>57</v>
      </c>
      <c r="M775" t="s">
        <v>55</v>
      </c>
      <c r="N775" t="s">
        <v>89</v>
      </c>
      <c r="O775" t="s">
        <v>46</v>
      </c>
      <c r="P775" t="s">
        <v>44</v>
      </c>
      <c r="Q775" t="s">
        <v>67</v>
      </c>
      <c r="R775">
        <v>0</v>
      </c>
      <c r="S775">
        <v>1</v>
      </c>
      <c r="T775">
        <v>1</v>
      </c>
      <c r="U775">
        <v>1</v>
      </c>
      <c r="V775">
        <v>0</v>
      </c>
      <c r="W775">
        <v>0</v>
      </c>
      <c r="X775">
        <v>1</v>
      </c>
      <c r="Y775">
        <v>0</v>
      </c>
      <c r="Z775">
        <v>1</v>
      </c>
      <c r="AA775">
        <v>1</v>
      </c>
      <c r="AB775">
        <v>1</v>
      </c>
      <c r="AC775">
        <v>0</v>
      </c>
      <c r="AD775">
        <v>0</v>
      </c>
      <c r="AE775">
        <v>0</v>
      </c>
    </row>
    <row r="776" spans="1:31" x14ac:dyDescent="0.2">
      <c r="A776" t="s">
        <v>278</v>
      </c>
      <c r="B776" t="s">
        <v>107</v>
      </c>
      <c r="C776">
        <v>27</v>
      </c>
      <c r="D776" t="s">
        <v>78</v>
      </c>
      <c r="E776" t="s">
        <v>39</v>
      </c>
      <c r="F776" t="s">
        <v>70</v>
      </c>
      <c r="G776">
        <v>4806</v>
      </c>
      <c r="H776">
        <v>1</v>
      </c>
      <c r="I776">
        <v>1</v>
      </c>
      <c r="J776">
        <v>1</v>
      </c>
      <c r="K776">
        <v>0</v>
      </c>
      <c r="L776" t="s">
        <v>71</v>
      </c>
      <c r="M776" t="s">
        <v>72</v>
      </c>
      <c r="N776" t="s">
        <v>73</v>
      </c>
      <c r="O776" t="s">
        <v>45</v>
      </c>
      <c r="P776" t="s">
        <v>67</v>
      </c>
      <c r="Q776" t="s">
        <v>44</v>
      </c>
      <c r="R776">
        <v>0</v>
      </c>
      <c r="S776">
        <v>1</v>
      </c>
      <c r="T776">
        <v>0</v>
      </c>
      <c r="U776">
        <v>1</v>
      </c>
      <c r="V776">
        <v>1</v>
      </c>
      <c r="W776">
        <v>0</v>
      </c>
      <c r="X776">
        <v>1</v>
      </c>
      <c r="Y776">
        <v>0</v>
      </c>
      <c r="Z776">
        <v>1</v>
      </c>
      <c r="AA776">
        <v>0</v>
      </c>
      <c r="AB776">
        <v>1</v>
      </c>
      <c r="AC776">
        <v>1</v>
      </c>
      <c r="AD776">
        <v>0</v>
      </c>
      <c r="AE776">
        <v>0</v>
      </c>
    </row>
    <row r="777" spans="1:31" x14ac:dyDescent="0.2">
      <c r="A777" t="s">
        <v>278</v>
      </c>
      <c r="B777" t="s">
        <v>107</v>
      </c>
      <c r="C777">
        <v>27</v>
      </c>
      <c r="D777" t="s">
        <v>78</v>
      </c>
      <c r="E777" t="s">
        <v>52</v>
      </c>
      <c r="F777" t="s">
        <v>53</v>
      </c>
      <c r="G777">
        <v>24299</v>
      </c>
      <c r="H777">
        <v>1</v>
      </c>
      <c r="I777">
        <v>1</v>
      </c>
      <c r="J777">
        <v>0</v>
      </c>
      <c r="K777">
        <v>0</v>
      </c>
      <c r="L777" t="s">
        <v>35</v>
      </c>
      <c r="M777" t="s">
        <v>35</v>
      </c>
      <c r="N777" t="s">
        <v>35</v>
      </c>
      <c r="O777" t="s">
        <v>35</v>
      </c>
      <c r="P777" t="s">
        <v>35</v>
      </c>
      <c r="Q777" t="s">
        <v>35</v>
      </c>
      <c r="R777" t="s">
        <v>35</v>
      </c>
      <c r="S777">
        <v>1</v>
      </c>
      <c r="T777">
        <v>0</v>
      </c>
      <c r="U777">
        <v>1</v>
      </c>
      <c r="V777">
        <v>1</v>
      </c>
      <c r="W777">
        <v>0</v>
      </c>
      <c r="X777">
        <v>1</v>
      </c>
      <c r="Y777">
        <v>0</v>
      </c>
      <c r="Z777">
        <v>1</v>
      </c>
      <c r="AA777">
        <v>0</v>
      </c>
      <c r="AB777">
        <v>1</v>
      </c>
      <c r="AC777">
        <v>1</v>
      </c>
      <c r="AD777">
        <v>0</v>
      </c>
      <c r="AE777">
        <v>0</v>
      </c>
    </row>
    <row r="778" spans="1:31" x14ac:dyDescent="0.2">
      <c r="A778" t="s">
        <v>278</v>
      </c>
      <c r="B778" t="s">
        <v>107</v>
      </c>
      <c r="C778">
        <v>27</v>
      </c>
      <c r="D778" t="s">
        <v>78</v>
      </c>
      <c r="E778" t="s">
        <v>39</v>
      </c>
      <c r="F778" t="s">
        <v>63</v>
      </c>
      <c r="G778">
        <v>5220</v>
      </c>
      <c r="H778">
        <v>1</v>
      </c>
      <c r="I778">
        <v>1</v>
      </c>
      <c r="J778">
        <v>1</v>
      </c>
      <c r="K778">
        <v>0</v>
      </c>
      <c r="L778" t="s">
        <v>84</v>
      </c>
      <c r="M778" t="s">
        <v>85</v>
      </c>
      <c r="N778" t="s">
        <v>66</v>
      </c>
      <c r="O778" t="s">
        <v>46</v>
      </c>
      <c r="P778" t="s">
        <v>51</v>
      </c>
      <c r="Q778" t="s">
        <v>45</v>
      </c>
      <c r="R778">
        <v>0</v>
      </c>
      <c r="S778">
        <v>0</v>
      </c>
      <c r="T778">
        <v>1</v>
      </c>
      <c r="U778">
        <v>0</v>
      </c>
      <c r="V778">
        <v>1</v>
      </c>
      <c r="W778">
        <v>0</v>
      </c>
      <c r="X778">
        <v>1</v>
      </c>
      <c r="Y778">
        <v>0</v>
      </c>
      <c r="Z778">
        <v>0</v>
      </c>
      <c r="AA778">
        <v>1</v>
      </c>
      <c r="AB778">
        <v>0</v>
      </c>
      <c r="AC778">
        <v>1</v>
      </c>
      <c r="AD778">
        <v>0</v>
      </c>
      <c r="AE778">
        <v>0</v>
      </c>
    </row>
    <row r="779" spans="1:31" x14ac:dyDescent="0.2">
      <c r="A779" t="s">
        <v>278</v>
      </c>
      <c r="B779" t="s">
        <v>107</v>
      </c>
      <c r="C779">
        <v>27</v>
      </c>
      <c r="D779" t="s">
        <v>78</v>
      </c>
      <c r="E779" t="s">
        <v>52</v>
      </c>
      <c r="F779" t="s">
        <v>74</v>
      </c>
      <c r="G779">
        <v>7478</v>
      </c>
      <c r="H779">
        <v>1</v>
      </c>
      <c r="I779">
        <v>1</v>
      </c>
      <c r="J779">
        <v>1</v>
      </c>
      <c r="K779">
        <v>0</v>
      </c>
      <c r="L779" t="s">
        <v>35</v>
      </c>
      <c r="M779" t="s">
        <v>35</v>
      </c>
      <c r="N779" t="s">
        <v>35</v>
      </c>
      <c r="O779" t="s">
        <v>35</v>
      </c>
      <c r="P779" t="s">
        <v>35</v>
      </c>
      <c r="Q779" t="s">
        <v>35</v>
      </c>
      <c r="R779" t="s">
        <v>35</v>
      </c>
      <c r="S779">
        <v>0</v>
      </c>
      <c r="T779">
        <v>1</v>
      </c>
      <c r="U779">
        <v>0</v>
      </c>
      <c r="V779">
        <v>1</v>
      </c>
      <c r="W779">
        <v>0</v>
      </c>
      <c r="X779">
        <v>1</v>
      </c>
      <c r="Y779">
        <v>0</v>
      </c>
      <c r="Z779">
        <v>0</v>
      </c>
      <c r="AA779">
        <v>1</v>
      </c>
      <c r="AB779">
        <v>0</v>
      </c>
      <c r="AC779">
        <v>1</v>
      </c>
      <c r="AD779">
        <v>0</v>
      </c>
      <c r="AE779">
        <v>0</v>
      </c>
    </row>
    <row r="780" spans="1:31" x14ac:dyDescent="0.2">
      <c r="A780" t="s">
        <v>278</v>
      </c>
      <c r="B780" t="s">
        <v>107</v>
      </c>
      <c r="C780">
        <v>27</v>
      </c>
      <c r="D780" t="s">
        <v>78</v>
      </c>
      <c r="E780" t="s">
        <v>39</v>
      </c>
      <c r="F780" t="s">
        <v>40</v>
      </c>
      <c r="G780">
        <v>4701</v>
      </c>
      <c r="H780">
        <v>1</v>
      </c>
      <c r="I780">
        <v>1</v>
      </c>
      <c r="J780">
        <v>1</v>
      </c>
      <c r="K780">
        <v>0</v>
      </c>
      <c r="L780" t="s">
        <v>91</v>
      </c>
      <c r="M780" t="s">
        <v>43</v>
      </c>
      <c r="N780" t="s">
        <v>82</v>
      </c>
      <c r="O780" t="s">
        <v>51</v>
      </c>
      <c r="P780" t="s">
        <v>46</v>
      </c>
      <c r="Q780" t="s">
        <v>68</v>
      </c>
      <c r="R780">
        <v>1</v>
      </c>
      <c r="S780">
        <v>0</v>
      </c>
      <c r="T780">
        <v>1</v>
      </c>
      <c r="U780">
        <v>0</v>
      </c>
      <c r="V780">
        <v>0</v>
      </c>
      <c r="W780">
        <v>0</v>
      </c>
      <c r="X780">
        <v>1</v>
      </c>
      <c r="Y780">
        <v>1</v>
      </c>
      <c r="Z780">
        <v>0</v>
      </c>
      <c r="AA780">
        <v>1</v>
      </c>
      <c r="AB780">
        <v>0</v>
      </c>
      <c r="AC780">
        <v>0</v>
      </c>
      <c r="AD780">
        <v>0</v>
      </c>
      <c r="AE780">
        <v>0</v>
      </c>
    </row>
    <row r="781" spans="1:31" x14ac:dyDescent="0.2">
      <c r="A781" t="s">
        <v>278</v>
      </c>
      <c r="B781" t="s">
        <v>107</v>
      </c>
      <c r="C781">
        <v>27</v>
      </c>
      <c r="D781" t="s">
        <v>78</v>
      </c>
      <c r="E781" t="s">
        <v>39</v>
      </c>
      <c r="F781" t="s">
        <v>47</v>
      </c>
      <c r="G781">
        <v>7644</v>
      </c>
      <c r="H781">
        <v>1</v>
      </c>
      <c r="I781">
        <v>1</v>
      </c>
      <c r="J781">
        <v>1</v>
      </c>
      <c r="K781">
        <v>0</v>
      </c>
      <c r="L781" t="s">
        <v>80</v>
      </c>
      <c r="M781" t="s">
        <v>79</v>
      </c>
      <c r="N781" t="s">
        <v>49</v>
      </c>
      <c r="O781" t="s">
        <v>67</v>
      </c>
      <c r="P781" t="s">
        <v>45</v>
      </c>
      <c r="Q781" t="s">
        <v>44</v>
      </c>
      <c r="R781">
        <v>0</v>
      </c>
      <c r="S781">
        <v>1</v>
      </c>
      <c r="T781">
        <v>0</v>
      </c>
      <c r="U781">
        <v>1</v>
      </c>
      <c r="V781">
        <v>1</v>
      </c>
      <c r="W781">
        <v>0</v>
      </c>
      <c r="X781">
        <v>1</v>
      </c>
      <c r="Y781">
        <v>0</v>
      </c>
      <c r="Z781">
        <v>1</v>
      </c>
      <c r="AA781">
        <v>0</v>
      </c>
      <c r="AB781">
        <v>1</v>
      </c>
      <c r="AC781">
        <v>1</v>
      </c>
      <c r="AD781">
        <v>0</v>
      </c>
      <c r="AE781">
        <v>0</v>
      </c>
    </row>
    <row r="782" spans="1:31" x14ac:dyDescent="0.2">
      <c r="A782" t="s">
        <v>278</v>
      </c>
      <c r="B782" t="s">
        <v>107</v>
      </c>
      <c r="C782">
        <v>27</v>
      </c>
      <c r="D782" t="s">
        <v>78</v>
      </c>
      <c r="E782" t="s">
        <v>52</v>
      </c>
      <c r="F782" t="s">
        <v>58</v>
      </c>
      <c r="G782">
        <v>50115</v>
      </c>
      <c r="H782">
        <v>0</v>
      </c>
      <c r="I782">
        <v>0</v>
      </c>
      <c r="J782">
        <v>1</v>
      </c>
      <c r="K782">
        <v>0</v>
      </c>
      <c r="L782" t="s">
        <v>35</v>
      </c>
      <c r="M782" t="s">
        <v>35</v>
      </c>
      <c r="N782" t="s">
        <v>35</v>
      </c>
      <c r="O782" t="s">
        <v>35</v>
      </c>
      <c r="P782" t="s">
        <v>35</v>
      </c>
      <c r="Q782" t="s">
        <v>35</v>
      </c>
      <c r="R782" t="s">
        <v>35</v>
      </c>
      <c r="S782">
        <v>1</v>
      </c>
      <c r="T782">
        <v>0</v>
      </c>
      <c r="U782">
        <v>1</v>
      </c>
      <c r="V782">
        <v>1</v>
      </c>
      <c r="W782">
        <v>0</v>
      </c>
      <c r="X782">
        <v>1</v>
      </c>
      <c r="Y782">
        <v>0</v>
      </c>
      <c r="Z782">
        <v>1</v>
      </c>
      <c r="AA782">
        <v>0</v>
      </c>
      <c r="AB782">
        <v>1</v>
      </c>
      <c r="AC782">
        <v>1</v>
      </c>
      <c r="AD782">
        <v>0</v>
      </c>
      <c r="AE782">
        <v>0</v>
      </c>
    </row>
    <row r="783" spans="1:31" x14ac:dyDescent="0.2">
      <c r="A783" t="s">
        <v>278</v>
      </c>
      <c r="B783" t="s">
        <v>107</v>
      </c>
      <c r="C783">
        <v>27</v>
      </c>
      <c r="D783" t="s">
        <v>78</v>
      </c>
      <c r="E783" t="s">
        <v>39</v>
      </c>
      <c r="F783" t="s">
        <v>59</v>
      </c>
      <c r="G783">
        <v>10003</v>
      </c>
      <c r="H783">
        <v>1</v>
      </c>
      <c r="I783">
        <v>1</v>
      </c>
      <c r="J783">
        <v>1</v>
      </c>
      <c r="K783">
        <v>0</v>
      </c>
      <c r="L783" t="s">
        <v>60</v>
      </c>
      <c r="M783" t="s">
        <v>99</v>
      </c>
      <c r="N783" t="s">
        <v>83</v>
      </c>
      <c r="O783" t="s">
        <v>44</v>
      </c>
      <c r="P783" t="s">
        <v>67</v>
      </c>
      <c r="Q783" t="s">
        <v>51</v>
      </c>
      <c r="R783">
        <v>0</v>
      </c>
      <c r="S783">
        <v>1</v>
      </c>
      <c r="T783">
        <v>0</v>
      </c>
      <c r="U783">
        <v>1</v>
      </c>
      <c r="V783">
        <v>0</v>
      </c>
      <c r="W783">
        <v>0</v>
      </c>
      <c r="X783">
        <v>1</v>
      </c>
      <c r="Y783">
        <v>0</v>
      </c>
      <c r="Z783">
        <v>1</v>
      </c>
      <c r="AA783">
        <v>0</v>
      </c>
      <c r="AB783">
        <v>1</v>
      </c>
      <c r="AC783">
        <v>0</v>
      </c>
      <c r="AD783">
        <v>0</v>
      </c>
      <c r="AE783">
        <v>0</v>
      </c>
    </row>
    <row r="784" spans="1:31" x14ac:dyDescent="0.2">
      <c r="A784" t="s">
        <v>278</v>
      </c>
      <c r="B784" t="s">
        <v>107</v>
      </c>
      <c r="C784">
        <v>27</v>
      </c>
      <c r="D784" t="s">
        <v>78</v>
      </c>
      <c r="E784" t="s">
        <v>52</v>
      </c>
      <c r="F784" t="s">
        <v>69</v>
      </c>
      <c r="G784">
        <v>14861</v>
      </c>
      <c r="H784">
        <v>1</v>
      </c>
      <c r="I784">
        <v>1</v>
      </c>
      <c r="J784">
        <v>1</v>
      </c>
      <c r="K784">
        <v>0</v>
      </c>
      <c r="L784" t="s">
        <v>35</v>
      </c>
      <c r="M784" t="s">
        <v>35</v>
      </c>
      <c r="N784" t="s">
        <v>35</v>
      </c>
      <c r="O784" t="s">
        <v>35</v>
      </c>
      <c r="P784" t="s">
        <v>35</v>
      </c>
      <c r="Q784" t="s">
        <v>35</v>
      </c>
      <c r="R784" t="s">
        <v>35</v>
      </c>
      <c r="S784">
        <v>1</v>
      </c>
      <c r="T784">
        <v>0</v>
      </c>
      <c r="U784">
        <v>1</v>
      </c>
      <c r="V784">
        <v>0</v>
      </c>
      <c r="W784">
        <v>0</v>
      </c>
      <c r="X784">
        <v>1</v>
      </c>
      <c r="Y784">
        <v>0</v>
      </c>
      <c r="Z784">
        <v>1</v>
      </c>
      <c r="AA784">
        <v>0</v>
      </c>
      <c r="AB784">
        <v>1</v>
      </c>
      <c r="AC784">
        <v>0</v>
      </c>
      <c r="AD784">
        <v>0</v>
      </c>
      <c r="AE784">
        <v>0</v>
      </c>
    </row>
    <row r="785" spans="1:31" x14ac:dyDescent="0.2">
      <c r="A785" t="s">
        <v>278</v>
      </c>
      <c r="B785" t="s">
        <v>107</v>
      </c>
      <c r="C785">
        <v>27</v>
      </c>
      <c r="D785" t="s">
        <v>78</v>
      </c>
      <c r="E785" t="s">
        <v>75</v>
      </c>
      <c r="F785" t="s">
        <v>35</v>
      </c>
      <c r="G785">
        <v>718260</v>
      </c>
      <c r="H785" t="s">
        <v>279</v>
      </c>
      <c r="I785" t="s">
        <v>280</v>
      </c>
      <c r="J785" t="s">
        <v>116</v>
      </c>
      <c r="K785" t="s">
        <v>35</v>
      </c>
      <c r="L785" t="s">
        <v>35</v>
      </c>
      <c r="M785" t="s">
        <v>35</v>
      </c>
      <c r="N785" t="s">
        <v>35</v>
      </c>
      <c r="O785" t="s">
        <v>35</v>
      </c>
      <c r="P785" t="s">
        <v>35</v>
      </c>
      <c r="Q785" t="s">
        <v>35</v>
      </c>
      <c r="R785" t="s">
        <v>35</v>
      </c>
      <c r="S785" t="s">
        <v>35</v>
      </c>
      <c r="T785" t="s">
        <v>35</v>
      </c>
      <c r="U785" t="s">
        <v>35</v>
      </c>
      <c r="V785" t="s">
        <v>35</v>
      </c>
      <c r="W785" t="s">
        <v>35</v>
      </c>
      <c r="X785" t="s">
        <v>35</v>
      </c>
      <c r="Y785" t="s">
        <v>35</v>
      </c>
      <c r="Z785" t="s">
        <v>35</v>
      </c>
      <c r="AA785" t="s">
        <v>35</v>
      </c>
      <c r="AB785" t="s">
        <v>35</v>
      </c>
      <c r="AC785" t="s">
        <v>35</v>
      </c>
      <c r="AD785" t="s">
        <v>35</v>
      </c>
      <c r="AE785" t="s">
        <v>35</v>
      </c>
    </row>
    <row r="786" spans="1:31" x14ac:dyDescent="0.2">
      <c r="A786" t="s">
        <v>281</v>
      </c>
      <c r="B786" t="s">
        <v>102</v>
      </c>
      <c r="C786">
        <v>44</v>
      </c>
      <c r="D786" t="s">
        <v>78</v>
      </c>
      <c r="E786" t="s">
        <v>34</v>
      </c>
      <c r="F786" t="s">
        <v>35</v>
      </c>
      <c r="G786">
        <v>374020</v>
      </c>
      <c r="H786" t="s">
        <v>35</v>
      </c>
      <c r="I786" t="s">
        <v>35</v>
      </c>
      <c r="J786" t="s">
        <v>35</v>
      </c>
      <c r="K786" t="s">
        <v>35</v>
      </c>
      <c r="L786" t="s">
        <v>35</v>
      </c>
      <c r="M786" t="s">
        <v>35</v>
      </c>
      <c r="N786" t="s">
        <v>35</v>
      </c>
      <c r="O786" t="s">
        <v>35</v>
      </c>
      <c r="P786" t="s">
        <v>35</v>
      </c>
      <c r="Q786" t="s">
        <v>35</v>
      </c>
      <c r="R786" t="s">
        <v>35</v>
      </c>
      <c r="S786" t="s">
        <v>35</v>
      </c>
      <c r="T786" t="s">
        <v>35</v>
      </c>
      <c r="U786" t="s">
        <v>35</v>
      </c>
      <c r="V786" t="s">
        <v>35</v>
      </c>
      <c r="W786" t="s">
        <v>35</v>
      </c>
      <c r="X786" t="s">
        <v>35</v>
      </c>
      <c r="Y786" t="s">
        <v>35</v>
      </c>
      <c r="Z786" t="s">
        <v>35</v>
      </c>
      <c r="AA786" t="s">
        <v>35</v>
      </c>
      <c r="AB786" t="s">
        <v>35</v>
      </c>
      <c r="AC786" t="s">
        <v>35</v>
      </c>
      <c r="AD786" t="s">
        <v>35</v>
      </c>
      <c r="AE786" t="s">
        <v>35</v>
      </c>
    </row>
    <row r="787" spans="1:31" x14ac:dyDescent="0.2">
      <c r="A787" t="s">
        <v>281</v>
      </c>
      <c r="B787" t="s">
        <v>102</v>
      </c>
      <c r="C787">
        <v>44</v>
      </c>
      <c r="D787" t="s">
        <v>78</v>
      </c>
      <c r="E787" t="s">
        <v>36</v>
      </c>
      <c r="F787" t="s">
        <v>37</v>
      </c>
      <c r="G787">
        <v>75695</v>
      </c>
      <c r="H787">
        <v>0</v>
      </c>
      <c r="I787">
        <v>0</v>
      </c>
      <c r="J787">
        <v>1</v>
      </c>
      <c r="K787">
        <v>0</v>
      </c>
      <c r="L787" t="s">
        <v>35</v>
      </c>
      <c r="M787" t="s">
        <v>35</v>
      </c>
      <c r="N787" t="s">
        <v>35</v>
      </c>
      <c r="O787" t="s">
        <v>35</v>
      </c>
      <c r="P787" t="s">
        <v>35</v>
      </c>
      <c r="Q787" t="s">
        <v>35</v>
      </c>
      <c r="R787" t="s">
        <v>35</v>
      </c>
      <c r="S787" t="s">
        <v>35</v>
      </c>
      <c r="T787" t="s">
        <v>35</v>
      </c>
      <c r="U787" t="s">
        <v>35</v>
      </c>
      <c r="V787" t="s">
        <v>35</v>
      </c>
      <c r="W787" t="s">
        <v>35</v>
      </c>
      <c r="X787" t="s">
        <v>35</v>
      </c>
      <c r="Y787" t="s">
        <v>35</v>
      </c>
      <c r="Z787" t="s">
        <v>35</v>
      </c>
      <c r="AA787" t="s">
        <v>35</v>
      </c>
      <c r="AB787" t="s">
        <v>35</v>
      </c>
      <c r="AC787" t="s">
        <v>35</v>
      </c>
      <c r="AD787" t="s">
        <v>35</v>
      </c>
      <c r="AE787" t="s">
        <v>35</v>
      </c>
    </row>
    <row r="788" spans="1:31" x14ac:dyDescent="0.2">
      <c r="A788" t="s">
        <v>281</v>
      </c>
      <c r="B788" t="s">
        <v>102</v>
      </c>
      <c r="C788">
        <v>44</v>
      </c>
      <c r="D788" t="s">
        <v>78</v>
      </c>
      <c r="E788" t="s">
        <v>36</v>
      </c>
      <c r="F788" t="s">
        <v>38</v>
      </c>
      <c r="G788">
        <v>77304</v>
      </c>
      <c r="H788">
        <v>0</v>
      </c>
      <c r="I788">
        <v>0</v>
      </c>
      <c r="J788">
        <v>0</v>
      </c>
      <c r="K788">
        <v>1</v>
      </c>
      <c r="L788" t="s">
        <v>35</v>
      </c>
      <c r="M788" t="s">
        <v>35</v>
      </c>
      <c r="N788" t="s">
        <v>35</v>
      </c>
      <c r="O788" t="s">
        <v>35</v>
      </c>
      <c r="P788" t="s">
        <v>35</v>
      </c>
      <c r="Q788" t="s">
        <v>35</v>
      </c>
      <c r="R788" t="s">
        <v>35</v>
      </c>
      <c r="S788" t="s">
        <v>35</v>
      </c>
      <c r="T788" t="s">
        <v>35</v>
      </c>
      <c r="U788" t="s">
        <v>35</v>
      </c>
      <c r="V788" t="s">
        <v>35</v>
      </c>
      <c r="W788" t="s">
        <v>35</v>
      </c>
      <c r="X788" t="s">
        <v>35</v>
      </c>
      <c r="Y788" t="s">
        <v>35</v>
      </c>
      <c r="Z788" t="s">
        <v>35</v>
      </c>
      <c r="AA788" t="s">
        <v>35</v>
      </c>
      <c r="AB788" t="s">
        <v>35</v>
      </c>
      <c r="AC788" t="s">
        <v>35</v>
      </c>
      <c r="AD788" t="s">
        <v>35</v>
      </c>
      <c r="AE788" t="s">
        <v>35</v>
      </c>
    </row>
    <row r="789" spans="1:31" x14ac:dyDescent="0.2">
      <c r="A789" t="s">
        <v>281</v>
      </c>
      <c r="B789" t="s">
        <v>102</v>
      </c>
      <c r="C789">
        <v>44</v>
      </c>
      <c r="D789" t="s">
        <v>78</v>
      </c>
      <c r="E789" t="s">
        <v>39</v>
      </c>
      <c r="F789" t="s">
        <v>54</v>
      </c>
      <c r="G789">
        <v>76268</v>
      </c>
      <c r="H789">
        <v>0</v>
      </c>
      <c r="I789">
        <v>0</v>
      </c>
      <c r="J789">
        <v>0</v>
      </c>
      <c r="K789">
        <v>1</v>
      </c>
      <c r="L789" t="s">
        <v>55</v>
      </c>
      <c r="M789" t="s">
        <v>122</v>
      </c>
      <c r="N789" t="s">
        <v>56</v>
      </c>
      <c r="O789" t="s">
        <v>44</v>
      </c>
      <c r="P789" t="s">
        <v>68</v>
      </c>
      <c r="Q789" t="s">
        <v>45</v>
      </c>
      <c r="R789">
        <v>1</v>
      </c>
      <c r="S789">
        <v>1</v>
      </c>
      <c r="T789">
        <v>0</v>
      </c>
      <c r="U789">
        <v>0</v>
      </c>
      <c r="V789">
        <v>1</v>
      </c>
      <c r="W789">
        <v>0</v>
      </c>
      <c r="X789">
        <v>1</v>
      </c>
      <c r="Y789">
        <v>0</v>
      </c>
      <c r="Z789">
        <v>0</v>
      </c>
      <c r="AA789">
        <v>0</v>
      </c>
      <c r="AB789">
        <v>0</v>
      </c>
      <c r="AC789">
        <v>0</v>
      </c>
      <c r="AD789">
        <v>0</v>
      </c>
      <c r="AE789">
        <v>1</v>
      </c>
    </row>
    <row r="790" spans="1:31" x14ac:dyDescent="0.2">
      <c r="A790" t="s">
        <v>281</v>
      </c>
      <c r="B790" t="s">
        <v>102</v>
      </c>
      <c r="C790">
        <v>44</v>
      </c>
      <c r="D790" t="s">
        <v>78</v>
      </c>
      <c r="E790" t="s">
        <v>39</v>
      </c>
      <c r="F790" t="s">
        <v>63</v>
      </c>
      <c r="G790">
        <v>102929</v>
      </c>
      <c r="H790">
        <v>1</v>
      </c>
      <c r="I790">
        <v>1</v>
      </c>
      <c r="J790">
        <v>1</v>
      </c>
      <c r="K790">
        <v>0</v>
      </c>
      <c r="L790" t="s">
        <v>66</v>
      </c>
      <c r="M790" t="s">
        <v>90</v>
      </c>
      <c r="N790" t="s">
        <v>84</v>
      </c>
      <c r="O790" t="s">
        <v>45</v>
      </c>
      <c r="P790" t="s">
        <v>44</v>
      </c>
      <c r="Q790" t="s">
        <v>46</v>
      </c>
      <c r="R790">
        <v>0</v>
      </c>
      <c r="S790">
        <v>1</v>
      </c>
      <c r="T790">
        <v>1</v>
      </c>
      <c r="U790">
        <v>0</v>
      </c>
      <c r="V790">
        <v>1</v>
      </c>
      <c r="W790">
        <v>0</v>
      </c>
      <c r="X790">
        <v>1</v>
      </c>
      <c r="Y790">
        <v>0</v>
      </c>
      <c r="Z790">
        <v>1</v>
      </c>
      <c r="AA790">
        <v>1</v>
      </c>
      <c r="AB790">
        <v>0</v>
      </c>
      <c r="AC790">
        <v>1</v>
      </c>
      <c r="AD790">
        <v>0</v>
      </c>
      <c r="AE790">
        <v>0</v>
      </c>
    </row>
    <row r="791" spans="1:31" x14ac:dyDescent="0.2">
      <c r="A791" t="s">
        <v>281</v>
      </c>
      <c r="B791" t="s">
        <v>102</v>
      </c>
      <c r="C791">
        <v>44</v>
      </c>
      <c r="D791" t="s">
        <v>78</v>
      </c>
      <c r="E791" t="s">
        <v>52</v>
      </c>
      <c r="F791" t="s">
        <v>58</v>
      </c>
      <c r="G791">
        <v>63094</v>
      </c>
      <c r="H791">
        <v>1</v>
      </c>
      <c r="I791">
        <v>1</v>
      </c>
      <c r="J791">
        <v>0</v>
      </c>
      <c r="K791">
        <v>0</v>
      </c>
      <c r="L791" t="s">
        <v>35</v>
      </c>
      <c r="M791" t="s">
        <v>35</v>
      </c>
      <c r="N791" t="s">
        <v>35</v>
      </c>
      <c r="O791" t="s">
        <v>35</v>
      </c>
      <c r="P791" t="s">
        <v>35</v>
      </c>
      <c r="Q791" t="s">
        <v>35</v>
      </c>
      <c r="R791" t="s">
        <v>35</v>
      </c>
      <c r="S791">
        <v>1</v>
      </c>
      <c r="T791">
        <v>1</v>
      </c>
      <c r="U791">
        <v>0</v>
      </c>
      <c r="V791">
        <v>1</v>
      </c>
      <c r="W791">
        <v>0</v>
      </c>
      <c r="X791">
        <v>1</v>
      </c>
      <c r="Y791">
        <v>0</v>
      </c>
      <c r="Z791">
        <v>1</v>
      </c>
      <c r="AA791">
        <v>1</v>
      </c>
      <c r="AB791">
        <v>0</v>
      </c>
      <c r="AC791">
        <v>1</v>
      </c>
      <c r="AD791">
        <v>0</v>
      </c>
      <c r="AE791">
        <v>0</v>
      </c>
    </row>
    <row r="792" spans="1:31" x14ac:dyDescent="0.2">
      <c r="A792" t="s">
        <v>281</v>
      </c>
      <c r="B792" t="s">
        <v>102</v>
      </c>
      <c r="C792">
        <v>44</v>
      </c>
      <c r="D792" t="s">
        <v>78</v>
      </c>
      <c r="E792" t="s">
        <v>39</v>
      </c>
      <c r="F792" t="s">
        <v>40</v>
      </c>
      <c r="G792">
        <v>50070</v>
      </c>
      <c r="H792">
        <v>1</v>
      </c>
      <c r="I792">
        <v>1</v>
      </c>
      <c r="J792">
        <v>1</v>
      </c>
      <c r="K792">
        <v>0</v>
      </c>
      <c r="L792" t="s">
        <v>41</v>
      </c>
      <c r="M792" t="s">
        <v>81</v>
      </c>
      <c r="N792" t="s">
        <v>42</v>
      </c>
      <c r="O792" t="s">
        <v>44</v>
      </c>
      <c r="P792" t="s">
        <v>67</v>
      </c>
      <c r="Q792" t="s">
        <v>45</v>
      </c>
      <c r="R792">
        <v>0</v>
      </c>
      <c r="S792">
        <v>1</v>
      </c>
      <c r="T792">
        <v>0</v>
      </c>
      <c r="U792">
        <v>1</v>
      </c>
      <c r="V792">
        <v>1</v>
      </c>
      <c r="W792">
        <v>0</v>
      </c>
      <c r="X792">
        <v>1</v>
      </c>
      <c r="Y792">
        <v>0</v>
      </c>
      <c r="Z792">
        <v>1</v>
      </c>
      <c r="AA792">
        <v>0</v>
      </c>
      <c r="AB792">
        <v>1</v>
      </c>
      <c r="AC792">
        <v>1</v>
      </c>
      <c r="AD792">
        <v>0</v>
      </c>
      <c r="AE792">
        <v>0</v>
      </c>
    </row>
    <row r="793" spans="1:31" x14ac:dyDescent="0.2">
      <c r="A793" t="s">
        <v>281</v>
      </c>
      <c r="B793" t="s">
        <v>102</v>
      </c>
      <c r="C793">
        <v>44</v>
      </c>
      <c r="D793" t="s">
        <v>78</v>
      </c>
      <c r="E793" t="s">
        <v>39</v>
      </c>
      <c r="F793" t="s">
        <v>59</v>
      </c>
      <c r="G793">
        <v>78915</v>
      </c>
      <c r="H793">
        <v>0</v>
      </c>
      <c r="I793">
        <v>1</v>
      </c>
      <c r="J793">
        <v>0</v>
      </c>
      <c r="K793">
        <v>0</v>
      </c>
      <c r="L793" t="s">
        <v>61</v>
      </c>
      <c r="M793" t="s">
        <v>99</v>
      </c>
      <c r="N793" t="s">
        <v>62</v>
      </c>
      <c r="O793" t="s">
        <v>46</v>
      </c>
      <c r="P793" t="s">
        <v>67</v>
      </c>
      <c r="Q793" t="s">
        <v>45</v>
      </c>
      <c r="R793">
        <v>0</v>
      </c>
      <c r="S793">
        <v>0</v>
      </c>
      <c r="T793">
        <v>1</v>
      </c>
      <c r="U793">
        <v>1</v>
      </c>
      <c r="V793">
        <v>1</v>
      </c>
      <c r="W793">
        <v>0</v>
      </c>
      <c r="X793">
        <v>1</v>
      </c>
      <c r="Y793">
        <v>0</v>
      </c>
      <c r="Z793">
        <v>0</v>
      </c>
      <c r="AA793">
        <v>0</v>
      </c>
      <c r="AB793">
        <v>1</v>
      </c>
      <c r="AC793">
        <v>0</v>
      </c>
      <c r="AD793">
        <v>0</v>
      </c>
      <c r="AE793">
        <v>0</v>
      </c>
    </row>
    <row r="794" spans="1:31" x14ac:dyDescent="0.2">
      <c r="A794" t="s">
        <v>281</v>
      </c>
      <c r="B794" t="s">
        <v>102</v>
      </c>
      <c r="C794">
        <v>44</v>
      </c>
      <c r="D794" t="s">
        <v>78</v>
      </c>
      <c r="E794" t="s">
        <v>52</v>
      </c>
      <c r="F794" t="s">
        <v>74</v>
      </c>
      <c r="G794">
        <v>54215</v>
      </c>
      <c r="H794">
        <v>1</v>
      </c>
      <c r="I794">
        <v>1</v>
      </c>
      <c r="J794">
        <v>0</v>
      </c>
      <c r="K794">
        <v>0</v>
      </c>
      <c r="L794" t="s">
        <v>35</v>
      </c>
      <c r="M794" t="s">
        <v>35</v>
      </c>
      <c r="N794" t="s">
        <v>35</v>
      </c>
      <c r="O794" t="s">
        <v>35</v>
      </c>
      <c r="P794" t="s">
        <v>35</v>
      </c>
      <c r="Q794" t="s">
        <v>35</v>
      </c>
      <c r="R794" t="s">
        <v>35</v>
      </c>
      <c r="S794">
        <v>0</v>
      </c>
      <c r="T794">
        <v>1</v>
      </c>
      <c r="U794">
        <v>1</v>
      </c>
      <c r="V794">
        <v>1</v>
      </c>
      <c r="W794">
        <v>0</v>
      </c>
      <c r="X794">
        <v>1</v>
      </c>
      <c r="Y794">
        <v>0</v>
      </c>
      <c r="Z794">
        <v>0</v>
      </c>
      <c r="AA794">
        <v>0</v>
      </c>
      <c r="AB794">
        <v>1</v>
      </c>
      <c r="AC794">
        <v>0</v>
      </c>
      <c r="AD794">
        <v>0</v>
      </c>
      <c r="AE794">
        <v>0</v>
      </c>
    </row>
    <row r="795" spans="1:31" x14ac:dyDescent="0.2">
      <c r="A795" t="s">
        <v>281</v>
      </c>
      <c r="B795" t="s">
        <v>102</v>
      </c>
      <c r="C795">
        <v>44</v>
      </c>
      <c r="D795" t="s">
        <v>78</v>
      </c>
      <c r="E795" t="s">
        <v>39</v>
      </c>
      <c r="F795" t="s">
        <v>70</v>
      </c>
      <c r="G795">
        <v>63412</v>
      </c>
      <c r="H795">
        <v>1</v>
      </c>
      <c r="I795">
        <v>0</v>
      </c>
      <c r="J795">
        <v>0</v>
      </c>
      <c r="K795">
        <v>0</v>
      </c>
      <c r="L795" t="s">
        <v>92</v>
      </c>
      <c r="M795" t="s">
        <v>86</v>
      </c>
      <c r="N795" t="s">
        <v>73</v>
      </c>
      <c r="O795" t="s">
        <v>51</v>
      </c>
      <c r="P795" t="s">
        <v>46</v>
      </c>
      <c r="Q795" t="s">
        <v>44</v>
      </c>
      <c r="R795">
        <v>0</v>
      </c>
      <c r="S795">
        <v>1</v>
      </c>
      <c r="T795">
        <v>1</v>
      </c>
      <c r="U795">
        <v>0</v>
      </c>
      <c r="V795">
        <v>0</v>
      </c>
      <c r="W795">
        <v>0</v>
      </c>
      <c r="X795">
        <v>1</v>
      </c>
      <c r="Y795">
        <v>0</v>
      </c>
      <c r="Z795">
        <v>0</v>
      </c>
      <c r="AA795">
        <v>0</v>
      </c>
      <c r="AB795">
        <v>0</v>
      </c>
      <c r="AC795">
        <v>0</v>
      </c>
      <c r="AD795">
        <v>0</v>
      </c>
      <c r="AE795">
        <v>0</v>
      </c>
    </row>
    <row r="796" spans="1:31" x14ac:dyDescent="0.2">
      <c r="A796" t="s">
        <v>281</v>
      </c>
      <c r="B796" t="s">
        <v>102</v>
      </c>
      <c r="C796">
        <v>44</v>
      </c>
      <c r="D796" t="s">
        <v>78</v>
      </c>
      <c r="E796" t="s">
        <v>52</v>
      </c>
      <c r="F796" t="s">
        <v>53</v>
      </c>
      <c r="G796">
        <v>80472</v>
      </c>
      <c r="H796">
        <v>1</v>
      </c>
      <c r="I796">
        <v>1</v>
      </c>
      <c r="J796">
        <v>1</v>
      </c>
      <c r="K796">
        <v>0</v>
      </c>
      <c r="L796" t="s">
        <v>35</v>
      </c>
      <c r="M796" t="s">
        <v>35</v>
      </c>
      <c r="N796" t="s">
        <v>35</v>
      </c>
      <c r="O796" t="s">
        <v>35</v>
      </c>
      <c r="P796" t="s">
        <v>35</v>
      </c>
      <c r="Q796" t="s">
        <v>35</v>
      </c>
      <c r="R796" t="s">
        <v>35</v>
      </c>
      <c r="S796">
        <v>1</v>
      </c>
      <c r="T796">
        <v>1</v>
      </c>
      <c r="U796">
        <v>0</v>
      </c>
      <c r="V796">
        <v>0</v>
      </c>
      <c r="W796">
        <v>0</v>
      </c>
      <c r="X796">
        <v>1</v>
      </c>
      <c r="Y796">
        <v>0</v>
      </c>
      <c r="Z796">
        <v>0</v>
      </c>
      <c r="AA796">
        <v>0</v>
      </c>
      <c r="AB796">
        <v>0</v>
      </c>
      <c r="AC796">
        <v>0</v>
      </c>
      <c r="AD796">
        <v>0</v>
      </c>
      <c r="AE796">
        <v>0</v>
      </c>
    </row>
    <row r="797" spans="1:31" x14ac:dyDescent="0.2">
      <c r="A797" t="s">
        <v>281</v>
      </c>
      <c r="B797" t="s">
        <v>102</v>
      </c>
      <c r="C797">
        <v>44</v>
      </c>
      <c r="D797" t="s">
        <v>78</v>
      </c>
      <c r="E797" t="s">
        <v>39</v>
      </c>
      <c r="F797" t="s">
        <v>47</v>
      </c>
      <c r="G797">
        <v>41082</v>
      </c>
      <c r="H797">
        <v>1</v>
      </c>
      <c r="I797">
        <v>1</v>
      </c>
      <c r="J797">
        <v>1</v>
      </c>
      <c r="K797">
        <v>0</v>
      </c>
      <c r="L797" t="s">
        <v>79</v>
      </c>
      <c r="M797" t="s">
        <v>49</v>
      </c>
      <c r="N797" t="s">
        <v>80</v>
      </c>
      <c r="O797" t="s">
        <v>45</v>
      </c>
      <c r="P797" t="s">
        <v>44</v>
      </c>
      <c r="Q797" t="s">
        <v>67</v>
      </c>
      <c r="R797">
        <v>0</v>
      </c>
      <c r="S797">
        <v>1</v>
      </c>
      <c r="T797">
        <v>0</v>
      </c>
      <c r="U797">
        <v>1</v>
      </c>
      <c r="V797">
        <v>1</v>
      </c>
      <c r="W797">
        <v>0</v>
      </c>
      <c r="X797">
        <v>1</v>
      </c>
      <c r="Y797">
        <v>0</v>
      </c>
      <c r="Z797">
        <v>1</v>
      </c>
      <c r="AA797">
        <v>0</v>
      </c>
      <c r="AB797">
        <v>1</v>
      </c>
      <c r="AC797">
        <v>1</v>
      </c>
      <c r="AD797">
        <v>0</v>
      </c>
      <c r="AE797">
        <v>0</v>
      </c>
    </row>
    <row r="798" spans="1:31" x14ac:dyDescent="0.2">
      <c r="A798" t="s">
        <v>281</v>
      </c>
      <c r="B798" t="s">
        <v>102</v>
      </c>
      <c r="C798">
        <v>44</v>
      </c>
      <c r="D798" t="s">
        <v>78</v>
      </c>
      <c r="E798" t="s">
        <v>52</v>
      </c>
      <c r="F798" t="s">
        <v>69</v>
      </c>
      <c r="G798">
        <v>54147</v>
      </c>
      <c r="H798">
        <v>0</v>
      </c>
      <c r="I798">
        <v>0</v>
      </c>
      <c r="J798">
        <v>1</v>
      </c>
      <c r="K798">
        <v>0</v>
      </c>
      <c r="L798" t="s">
        <v>35</v>
      </c>
      <c r="M798" t="s">
        <v>35</v>
      </c>
      <c r="N798" t="s">
        <v>35</v>
      </c>
      <c r="O798" t="s">
        <v>35</v>
      </c>
      <c r="P798" t="s">
        <v>35</v>
      </c>
      <c r="Q798" t="s">
        <v>35</v>
      </c>
      <c r="R798" t="s">
        <v>35</v>
      </c>
      <c r="S798">
        <v>1</v>
      </c>
      <c r="T798">
        <v>0</v>
      </c>
      <c r="U798">
        <v>1</v>
      </c>
      <c r="V798">
        <v>1</v>
      </c>
      <c r="W798">
        <v>0</v>
      </c>
      <c r="X798">
        <v>1</v>
      </c>
      <c r="Y798">
        <v>0</v>
      </c>
      <c r="Z798">
        <v>1</v>
      </c>
      <c r="AA798">
        <v>0</v>
      </c>
      <c r="AB798">
        <v>1</v>
      </c>
      <c r="AC798">
        <v>1</v>
      </c>
      <c r="AD798">
        <v>0</v>
      </c>
      <c r="AE798">
        <v>0</v>
      </c>
    </row>
    <row r="799" spans="1:31" x14ac:dyDescent="0.2">
      <c r="A799" t="s">
        <v>281</v>
      </c>
      <c r="B799" t="s">
        <v>102</v>
      </c>
      <c r="C799">
        <v>44</v>
      </c>
      <c r="D799" t="s">
        <v>78</v>
      </c>
      <c r="E799" t="s">
        <v>75</v>
      </c>
      <c r="F799" t="s">
        <v>35</v>
      </c>
      <c r="G799">
        <v>207734</v>
      </c>
      <c r="H799" t="s">
        <v>282</v>
      </c>
      <c r="I799" t="s">
        <v>283</v>
      </c>
      <c r="J799" t="s">
        <v>105</v>
      </c>
      <c r="K799" t="s">
        <v>35</v>
      </c>
      <c r="L799" t="s">
        <v>35</v>
      </c>
      <c r="M799" t="s">
        <v>35</v>
      </c>
      <c r="N799" t="s">
        <v>35</v>
      </c>
      <c r="O799" t="s">
        <v>35</v>
      </c>
      <c r="P799" t="s">
        <v>35</v>
      </c>
      <c r="Q799" t="s">
        <v>35</v>
      </c>
      <c r="R799" t="s">
        <v>35</v>
      </c>
      <c r="S799" t="s">
        <v>35</v>
      </c>
      <c r="T799" t="s">
        <v>35</v>
      </c>
      <c r="U799" t="s">
        <v>35</v>
      </c>
      <c r="V799" t="s">
        <v>35</v>
      </c>
      <c r="W799" t="s">
        <v>35</v>
      </c>
      <c r="X799" t="s">
        <v>35</v>
      </c>
      <c r="Y799" t="s">
        <v>35</v>
      </c>
      <c r="Z799" t="s">
        <v>35</v>
      </c>
      <c r="AA799" t="s">
        <v>35</v>
      </c>
      <c r="AB799" t="s">
        <v>35</v>
      </c>
      <c r="AC799" t="s">
        <v>35</v>
      </c>
      <c r="AD799" t="s">
        <v>35</v>
      </c>
      <c r="AE799" t="s">
        <v>35</v>
      </c>
    </row>
    <row r="800" spans="1:31" x14ac:dyDescent="0.2">
      <c r="A800" t="s">
        <v>284</v>
      </c>
      <c r="B800" t="s">
        <v>32</v>
      </c>
      <c r="C800">
        <v>34</v>
      </c>
      <c r="D800" t="s">
        <v>33</v>
      </c>
      <c r="E800" t="s">
        <v>34</v>
      </c>
      <c r="F800" t="s">
        <v>35</v>
      </c>
      <c r="G800">
        <v>45323</v>
      </c>
      <c r="H800" t="s">
        <v>35</v>
      </c>
      <c r="I800" t="s">
        <v>35</v>
      </c>
      <c r="J800" t="s">
        <v>35</v>
      </c>
      <c r="K800" t="s">
        <v>35</v>
      </c>
      <c r="L800" t="s">
        <v>35</v>
      </c>
      <c r="M800" t="s">
        <v>35</v>
      </c>
      <c r="N800" t="s">
        <v>35</v>
      </c>
      <c r="O800" t="s">
        <v>35</v>
      </c>
      <c r="P800" t="s">
        <v>35</v>
      </c>
      <c r="Q800" t="s">
        <v>35</v>
      </c>
      <c r="R800" t="s">
        <v>35</v>
      </c>
      <c r="S800" t="s">
        <v>35</v>
      </c>
      <c r="T800" t="s">
        <v>35</v>
      </c>
      <c r="U800" t="s">
        <v>35</v>
      </c>
      <c r="V800" t="s">
        <v>35</v>
      </c>
      <c r="W800" t="s">
        <v>35</v>
      </c>
      <c r="X800" t="s">
        <v>35</v>
      </c>
      <c r="Y800" t="s">
        <v>35</v>
      </c>
      <c r="Z800" t="s">
        <v>35</v>
      </c>
      <c r="AA800" t="s">
        <v>35</v>
      </c>
      <c r="AB800" t="s">
        <v>35</v>
      </c>
      <c r="AC800" t="s">
        <v>35</v>
      </c>
      <c r="AD800" t="s">
        <v>35</v>
      </c>
      <c r="AE800" t="s">
        <v>35</v>
      </c>
    </row>
    <row r="801" spans="1:31" x14ac:dyDescent="0.2">
      <c r="A801" t="s">
        <v>284</v>
      </c>
      <c r="B801" t="s">
        <v>32</v>
      </c>
      <c r="C801">
        <v>34</v>
      </c>
      <c r="D801" t="s">
        <v>33</v>
      </c>
      <c r="E801" t="s">
        <v>36</v>
      </c>
      <c r="F801" t="s">
        <v>37</v>
      </c>
      <c r="G801">
        <v>113563</v>
      </c>
      <c r="H801">
        <v>0</v>
      </c>
      <c r="I801">
        <v>0</v>
      </c>
      <c r="J801">
        <v>1</v>
      </c>
      <c r="K801">
        <v>0</v>
      </c>
      <c r="L801" t="s">
        <v>35</v>
      </c>
      <c r="M801" t="s">
        <v>35</v>
      </c>
      <c r="N801" t="s">
        <v>35</v>
      </c>
      <c r="O801" t="s">
        <v>35</v>
      </c>
      <c r="P801" t="s">
        <v>35</v>
      </c>
      <c r="Q801" t="s">
        <v>35</v>
      </c>
      <c r="R801" t="s">
        <v>35</v>
      </c>
      <c r="S801" t="s">
        <v>35</v>
      </c>
      <c r="T801" t="s">
        <v>35</v>
      </c>
      <c r="U801" t="s">
        <v>35</v>
      </c>
      <c r="V801" t="s">
        <v>35</v>
      </c>
      <c r="W801" t="s">
        <v>35</v>
      </c>
      <c r="X801" t="s">
        <v>35</v>
      </c>
      <c r="Y801" t="s">
        <v>35</v>
      </c>
      <c r="Z801" t="s">
        <v>35</v>
      </c>
      <c r="AA801" t="s">
        <v>35</v>
      </c>
      <c r="AB801" t="s">
        <v>35</v>
      </c>
      <c r="AC801" t="s">
        <v>35</v>
      </c>
      <c r="AD801" t="s">
        <v>35</v>
      </c>
      <c r="AE801" t="s">
        <v>35</v>
      </c>
    </row>
    <row r="802" spans="1:31" x14ac:dyDescent="0.2">
      <c r="A802" t="s">
        <v>284</v>
      </c>
      <c r="B802" t="s">
        <v>32</v>
      </c>
      <c r="C802">
        <v>34</v>
      </c>
      <c r="D802" t="s">
        <v>33</v>
      </c>
      <c r="E802" t="s">
        <v>36</v>
      </c>
      <c r="F802" t="s">
        <v>38</v>
      </c>
      <c r="G802">
        <v>43679</v>
      </c>
      <c r="H802">
        <v>0</v>
      </c>
      <c r="I802">
        <v>0</v>
      </c>
      <c r="J802">
        <v>0</v>
      </c>
      <c r="K802">
        <v>1</v>
      </c>
      <c r="L802" t="s">
        <v>35</v>
      </c>
      <c r="M802" t="s">
        <v>35</v>
      </c>
      <c r="N802" t="s">
        <v>35</v>
      </c>
      <c r="O802" t="s">
        <v>35</v>
      </c>
      <c r="P802" t="s">
        <v>35</v>
      </c>
      <c r="Q802" t="s">
        <v>35</v>
      </c>
      <c r="R802" t="s">
        <v>35</v>
      </c>
      <c r="S802" t="s">
        <v>35</v>
      </c>
      <c r="T802" t="s">
        <v>35</v>
      </c>
      <c r="U802" t="s">
        <v>35</v>
      </c>
      <c r="V802" t="s">
        <v>35</v>
      </c>
      <c r="W802" t="s">
        <v>35</v>
      </c>
      <c r="X802" t="s">
        <v>35</v>
      </c>
      <c r="Y802" t="s">
        <v>35</v>
      </c>
      <c r="Z802" t="s">
        <v>35</v>
      </c>
      <c r="AA802" t="s">
        <v>35</v>
      </c>
      <c r="AB802" t="s">
        <v>35</v>
      </c>
      <c r="AC802" t="s">
        <v>35</v>
      </c>
      <c r="AD802" t="s">
        <v>35</v>
      </c>
      <c r="AE802" t="s">
        <v>35</v>
      </c>
    </row>
    <row r="803" spans="1:31" x14ac:dyDescent="0.2">
      <c r="A803" t="s">
        <v>284</v>
      </c>
      <c r="B803" t="s">
        <v>32</v>
      </c>
      <c r="C803">
        <v>34</v>
      </c>
      <c r="D803" t="s">
        <v>33</v>
      </c>
      <c r="E803" t="s">
        <v>39</v>
      </c>
      <c r="F803" t="s">
        <v>70</v>
      </c>
      <c r="G803">
        <v>76122</v>
      </c>
      <c r="H803">
        <v>0</v>
      </c>
      <c r="I803">
        <v>1</v>
      </c>
      <c r="J803">
        <v>0</v>
      </c>
      <c r="K803">
        <v>0</v>
      </c>
      <c r="L803" t="s">
        <v>72</v>
      </c>
      <c r="M803" t="s">
        <v>93</v>
      </c>
      <c r="N803" t="s">
        <v>86</v>
      </c>
      <c r="O803" t="s">
        <v>67</v>
      </c>
      <c r="P803" t="s">
        <v>68</v>
      </c>
      <c r="Q803" t="s">
        <v>46</v>
      </c>
      <c r="R803">
        <v>1</v>
      </c>
      <c r="S803">
        <v>0</v>
      </c>
      <c r="T803">
        <v>1</v>
      </c>
      <c r="U803">
        <v>1</v>
      </c>
      <c r="V803">
        <v>0</v>
      </c>
      <c r="W803">
        <v>0</v>
      </c>
      <c r="X803">
        <v>1</v>
      </c>
      <c r="Y803">
        <v>1</v>
      </c>
      <c r="Z803">
        <v>0</v>
      </c>
      <c r="AA803">
        <v>0</v>
      </c>
      <c r="AB803">
        <v>0</v>
      </c>
      <c r="AC803">
        <v>0</v>
      </c>
      <c r="AD803">
        <v>0</v>
      </c>
      <c r="AE803">
        <v>0</v>
      </c>
    </row>
    <row r="804" spans="1:31" x14ac:dyDescent="0.2">
      <c r="A804" t="s">
        <v>284</v>
      </c>
      <c r="B804" t="s">
        <v>32</v>
      </c>
      <c r="C804">
        <v>34</v>
      </c>
      <c r="D804" t="s">
        <v>33</v>
      </c>
      <c r="E804" t="s">
        <v>52</v>
      </c>
      <c r="F804" t="s">
        <v>69</v>
      </c>
      <c r="G804">
        <v>54322</v>
      </c>
      <c r="H804">
        <v>0</v>
      </c>
      <c r="I804">
        <v>0</v>
      </c>
      <c r="J804">
        <v>1</v>
      </c>
      <c r="K804">
        <v>0</v>
      </c>
      <c r="L804" t="s">
        <v>35</v>
      </c>
      <c r="M804" t="s">
        <v>35</v>
      </c>
      <c r="N804" t="s">
        <v>35</v>
      </c>
      <c r="O804" t="s">
        <v>35</v>
      </c>
      <c r="P804" t="s">
        <v>35</v>
      </c>
      <c r="Q804" t="s">
        <v>35</v>
      </c>
      <c r="R804" t="s">
        <v>35</v>
      </c>
      <c r="S804">
        <v>0</v>
      </c>
      <c r="T804">
        <v>1</v>
      </c>
      <c r="U804">
        <v>1</v>
      </c>
      <c r="V804">
        <v>0</v>
      </c>
      <c r="W804">
        <v>0</v>
      </c>
      <c r="X804">
        <v>1</v>
      </c>
      <c r="Y804">
        <v>1</v>
      </c>
      <c r="Z804">
        <v>0</v>
      </c>
      <c r="AA804">
        <v>0</v>
      </c>
      <c r="AB804">
        <v>0</v>
      </c>
      <c r="AC804">
        <v>0</v>
      </c>
      <c r="AD804">
        <v>0</v>
      </c>
      <c r="AE804">
        <v>0</v>
      </c>
    </row>
    <row r="805" spans="1:31" x14ac:dyDescent="0.2">
      <c r="A805" t="s">
        <v>284</v>
      </c>
      <c r="B805" t="s">
        <v>32</v>
      </c>
      <c r="C805">
        <v>34</v>
      </c>
      <c r="D805" t="s">
        <v>33</v>
      </c>
      <c r="E805" t="s">
        <v>39</v>
      </c>
      <c r="F805" t="s">
        <v>63</v>
      </c>
      <c r="G805">
        <v>350330</v>
      </c>
      <c r="H805">
        <v>0</v>
      </c>
      <c r="I805">
        <v>1</v>
      </c>
      <c r="J805">
        <v>0</v>
      </c>
      <c r="K805">
        <v>0</v>
      </c>
      <c r="L805" t="s">
        <v>90</v>
      </c>
      <c r="M805" t="s">
        <v>65</v>
      </c>
      <c r="N805" t="s">
        <v>84</v>
      </c>
      <c r="O805" t="s">
        <v>44</v>
      </c>
      <c r="P805" t="s">
        <v>68</v>
      </c>
      <c r="Q805" t="s">
        <v>46</v>
      </c>
      <c r="R805">
        <v>1</v>
      </c>
      <c r="S805">
        <v>1</v>
      </c>
      <c r="T805">
        <v>1</v>
      </c>
      <c r="U805">
        <v>0</v>
      </c>
      <c r="V805">
        <v>0</v>
      </c>
      <c r="W805">
        <v>0</v>
      </c>
      <c r="X805">
        <v>1</v>
      </c>
      <c r="Y805">
        <v>1</v>
      </c>
      <c r="Z805">
        <v>0</v>
      </c>
      <c r="AA805">
        <v>0</v>
      </c>
      <c r="AB805">
        <v>0</v>
      </c>
      <c r="AC805">
        <v>0</v>
      </c>
      <c r="AD805">
        <v>0</v>
      </c>
      <c r="AE805">
        <v>0</v>
      </c>
    </row>
    <row r="806" spans="1:31" x14ac:dyDescent="0.2">
      <c r="A806" t="s">
        <v>284</v>
      </c>
      <c r="B806" t="s">
        <v>32</v>
      </c>
      <c r="C806">
        <v>34</v>
      </c>
      <c r="D806" t="s">
        <v>33</v>
      </c>
      <c r="E806" t="s">
        <v>39</v>
      </c>
      <c r="F806" t="s">
        <v>59</v>
      </c>
      <c r="G806">
        <v>353230</v>
      </c>
      <c r="H806">
        <v>1</v>
      </c>
      <c r="I806">
        <v>0</v>
      </c>
      <c r="J806">
        <v>0</v>
      </c>
      <c r="K806">
        <v>0</v>
      </c>
      <c r="L806" t="s">
        <v>94</v>
      </c>
      <c r="M806" t="s">
        <v>99</v>
      </c>
      <c r="N806" t="s">
        <v>62</v>
      </c>
      <c r="O806" t="s">
        <v>68</v>
      </c>
      <c r="P806" t="s">
        <v>67</v>
      </c>
      <c r="Q806" t="s">
        <v>45</v>
      </c>
      <c r="R806">
        <v>1</v>
      </c>
      <c r="S806">
        <v>0</v>
      </c>
      <c r="T806">
        <v>0</v>
      </c>
      <c r="U806">
        <v>1</v>
      </c>
      <c r="V806">
        <v>1</v>
      </c>
      <c r="W806">
        <v>0</v>
      </c>
      <c r="X806">
        <v>1</v>
      </c>
      <c r="Y806">
        <v>1</v>
      </c>
      <c r="Z806">
        <v>0</v>
      </c>
      <c r="AA806">
        <v>0</v>
      </c>
      <c r="AB806">
        <v>0</v>
      </c>
      <c r="AC806">
        <v>0</v>
      </c>
      <c r="AD806">
        <v>0</v>
      </c>
      <c r="AE806">
        <v>0</v>
      </c>
    </row>
    <row r="807" spans="1:31" x14ac:dyDescent="0.2">
      <c r="A807" t="s">
        <v>284</v>
      </c>
      <c r="B807" t="s">
        <v>32</v>
      </c>
      <c r="C807">
        <v>34</v>
      </c>
      <c r="D807" t="s">
        <v>33</v>
      </c>
      <c r="E807" t="s">
        <v>52</v>
      </c>
      <c r="F807" t="s">
        <v>58</v>
      </c>
      <c r="G807">
        <v>21996</v>
      </c>
      <c r="H807">
        <v>1</v>
      </c>
      <c r="I807">
        <v>0</v>
      </c>
      <c r="J807">
        <v>0</v>
      </c>
      <c r="K807">
        <v>0</v>
      </c>
      <c r="L807" t="s">
        <v>35</v>
      </c>
      <c r="M807" t="s">
        <v>35</v>
      </c>
      <c r="N807" t="s">
        <v>35</v>
      </c>
      <c r="O807" t="s">
        <v>35</v>
      </c>
      <c r="P807" t="s">
        <v>35</v>
      </c>
      <c r="Q807" t="s">
        <v>35</v>
      </c>
      <c r="R807" t="s">
        <v>35</v>
      </c>
      <c r="S807">
        <v>0</v>
      </c>
      <c r="T807">
        <v>0</v>
      </c>
      <c r="U807">
        <v>1</v>
      </c>
      <c r="V807">
        <v>1</v>
      </c>
      <c r="W807">
        <v>0</v>
      </c>
      <c r="X807">
        <v>1</v>
      </c>
      <c r="Y807">
        <v>1</v>
      </c>
      <c r="Z807">
        <v>0</v>
      </c>
      <c r="AA807">
        <v>0</v>
      </c>
      <c r="AB807">
        <v>0</v>
      </c>
      <c r="AC807">
        <v>0</v>
      </c>
      <c r="AD807">
        <v>0</v>
      </c>
      <c r="AE807">
        <v>0</v>
      </c>
    </row>
    <row r="808" spans="1:31" x14ac:dyDescent="0.2">
      <c r="A808" t="s">
        <v>284</v>
      </c>
      <c r="B808" t="s">
        <v>32</v>
      </c>
      <c r="C808">
        <v>34</v>
      </c>
      <c r="D808" t="s">
        <v>33</v>
      </c>
      <c r="E808" t="s">
        <v>39</v>
      </c>
      <c r="F808" t="s">
        <v>47</v>
      </c>
      <c r="G808">
        <v>26988</v>
      </c>
      <c r="H808">
        <v>0</v>
      </c>
      <c r="I808">
        <v>0</v>
      </c>
      <c r="J808">
        <v>0</v>
      </c>
      <c r="K808">
        <v>1</v>
      </c>
      <c r="L808" t="s">
        <v>49</v>
      </c>
      <c r="M808" t="s">
        <v>95</v>
      </c>
      <c r="N808" t="s">
        <v>50</v>
      </c>
      <c r="O808" t="s">
        <v>44</v>
      </c>
      <c r="P808" t="s">
        <v>68</v>
      </c>
      <c r="Q808" t="s">
        <v>51</v>
      </c>
      <c r="R808">
        <v>1</v>
      </c>
      <c r="S808">
        <v>1</v>
      </c>
      <c r="T808">
        <v>0</v>
      </c>
      <c r="U808">
        <v>0</v>
      </c>
      <c r="V808">
        <v>0</v>
      </c>
      <c r="W808">
        <v>0</v>
      </c>
      <c r="X808">
        <v>1</v>
      </c>
      <c r="Y808">
        <v>0</v>
      </c>
      <c r="Z808">
        <v>0</v>
      </c>
      <c r="AA808">
        <v>0</v>
      </c>
      <c r="AB808">
        <v>0</v>
      </c>
      <c r="AC808">
        <v>0</v>
      </c>
      <c r="AD808">
        <v>0</v>
      </c>
      <c r="AE808">
        <v>1</v>
      </c>
    </row>
    <row r="809" spans="1:31" x14ac:dyDescent="0.2">
      <c r="A809" t="s">
        <v>284</v>
      </c>
      <c r="B809" t="s">
        <v>32</v>
      </c>
      <c r="C809">
        <v>34</v>
      </c>
      <c r="D809" t="s">
        <v>33</v>
      </c>
      <c r="E809" t="s">
        <v>52</v>
      </c>
      <c r="F809" t="s">
        <v>74</v>
      </c>
      <c r="G809">
        <v>24214</v>
      </c>
      <c r="H809">
        <v>0</v>
      </c>
      <c r="I809">
        <v>1</v>
      </c>
      <c r="J809">
        <v>0</v>
      </c>
      <c r="K809">
        <v>0</v>
      </c>
      <c r="L809" t="s">
        <v>35</v>
      </c>
      <c r="M809" t="s">
        <v>35</v>
      </c>
      <c r="N809" t="s">
        <v>35</v>
      </c>
      <c r="O809" t="s">
        <v>35</v>
      </c>
      <c r="P809" t="s">
        <v>35</v>
      </c>
      <c r="Q809" t="s">
        <v>35</v>
      </c>
      <c r="R809" t="s">
        <v>35</v>
      </c>
      <c r="S809">
        <v>1</v>
      </c>
      <c r="T809">
        <v>0</v>
      </c>
      <c r="U809">
        <v>0</v>
      </c>
      <c r="V809">
        <v>0</v>
      </c>
      <c r="W809">
        <v>0</v>
      </c>
      <c r="X809">
        <v>1</v>
      </c>
      <c r="Y809">
        <v>0</v>
      </c>
      <c r="Z809">
        <v>0</v>
      </c>
      <c r="AA809">
        <v>0</v>
      </c>
      <c r="AB809">
        <v>0</v>
      </c>
      <c r="AC809">
        <v>0</v>
      </c>
      <c r="AD809">
        <v>0</v>
      </c>
      <c r="AE809">
        <v>1</v>
      </c>
    </row>
    <row r="810" spans="1:31" x14ac:dyDescent="0.2">
      <c r="A810" t="s">
        <v>284</v>
      </c>
      <c r="B810" t="s">
        <v>32</v>
      </c>
      <c r="C810">
        <v>34</v>
      </c>
      <c r="D810" t="s">
        <v>33</v>
      </c>
      <c r="E810" t="s">
        <v>39</v>
      </c>
      <c r="F810" t="s">
        <v>40</v>
      </c>
      <c r="G810">
        <v>9415</v>
      </c>
      <c r="H810">
        <v>0</v>
      </c>
      <c r="I810">
        <v>1</v>
      </c>
      <c r="J810">
        <v>0</v>
      </c>
      <c r="K810">
        <v>0</v>
      </c>
      <c r="L810" t="s">
        <v>42</v>
      </c>
      <c r="M810" t="s">
        <v>41</v>
      </c>
      <c r="N810" t="s">
        <v>43</v>
      </c>
      <c r="O810" t="s">
        <v>45</v>
      </c>
      <c r="P810" t="s">
        <v>44</v>
      </c>
      <c r="Q810" t="s">
        <v>46</v>
      </c>
      <c r="R810">
        <v>0</v>
      </c>
      <c r="S810">
        <v>1</v>
      </c>
      <c r="T810">
        <v>1</v>
      </c>
      <c r="U810">
        <v>0</v>
      </c>
      <c r="V810">
        <v>1</v>
      </c>
      <c r="W810">
        <v>0</v>
      </c>
      <c r="X810">
        <v>1</v>
      </c>
      <c r="Y810">
        <v>0</v>
      </c>
      <c r="Z810">
        <v>1</v>
      </c>
      <c r="AA810">
        <v>0</v>
      </c>
      <c r="AB810">
        <v>0</v>
      </c>
      <c r="AC810">
        <v>0</v>
      </c>
      <c r="AD810">
        <v>0</v>
      </c>
      <c r="AE810">
        <v>0</v>
      </c>
    </row>
    <row r="811" spans="1:31" x14ac:dyDescent="0.2">
      <c r="A811" t="s">
        <v>284</v>
      </c>
      <c r="B811" t="s">
        <v>32</v>
      </c>
      <c r="C811">
        <v>34</v>
      </c>
      <c r="D811" t="s">
        <v>33</v>
      </c>
      <c r="E811" t="s">
        <v>39</v>
      </c>
      <c r="F811" t="s">
        <v>54</v>
      </c>
      <c r="G811">
        <v>15412</v>
      </c>
      <c r="H811">
        <v>1</v>
      </c>
      <c r="I811">
        <v>0</v>
      </c>
      <c r="J811">
        <v>0</v>
      </c>
      <c r="K811">
        <v>0</v>
      </c>
      <c r="L811" t="s">
        <v>89</v>
      </c>
      <c r="M811" t="s">
        <v>56</v>
      </c>
      <c r="N811" t="s">
        <v>57</v>
      </c>
      <c r="O811" t="s">
        <v>67</v>
      </c>
      <c r="P811" t="s">
        <v>45</v>
      </c>
      <c r="Q811" t="s">
        <v>46</v>
      </c>
      <c r="R811">
        <v>0</v>
      </c>
      <c r="S811">
        <v>0</v>
      </c>
      <c r="T811">
        <v>1</v>
      </c>
      <c r="U811">
        <v>1</v>
      </c>
      <c r="V811">
        <v>1</v>
      </c>
      <c r="W811">
        <v>0</v>
      </c>
      <c r="X811">
        <v>1</v>
      </c>
      <c r="Y811">
        <v>0</v>
      </c>
      <c r="Z811">
        <v>0</v>
      </c>
      <c r="AA811">
        <v>0</v>
      </c>
      <c r="AB811">
        <v>1</v>
      </c>
      <c r="AC811">
        <v>0</v>
      </c>
      <c r="AD811">
        <v>0</v>
      </c>
      <c r="AE811">
        <v>0</v>
      </c>
    </row>
    <row r="812" spans="1:31" x14ac:dyDescent="0.2">
      <c r="A812" t="s">
        <v>284</v>
      </c>
      <c r="B812" t="s">
        <v>32</v>
      </c>
      <c r="C812">
        <v>34</v>
      </c>
      <c r="D812" t="s">
        <v>33</v>
      </c>
      <c r="E812" t="s">
        <v>52</v>
      </c>
      <c r="F812" t="s">
        <v>53</v>
      </c>
      <c r="G812">
        <v>34849</v>
      </c>
      <c r="H812">
        <v>0</v>
      </c>
      <c r="I812">
        <v>0</v>
      </c>
      <c r="J812">
        <v>0</v>
      </c>
      <c r="K812">
        <v>1</v>
      </c>
      <c r="L812" t="s">
        <v>35</v>
      </c>
      <c r="M812" t="s">
        <v>35</v>
      </c>
      <c r="N812" t="s">
        <v>35</v>
      </c>
      <c r="O812" t="s">
        <v>35</v>
      </c>
      <c r="P812" t="s">
        <v>35</v>
      </c>
      <c r="Q812" t="s">
        <v>35</v>
      </c>
      <c r="R812" t="s">
        <v>35</v>
      </c>
      <c r="S812">
        <v>0</v>
      </c>
      <c r="T812">
        <v>1</v>
      </c>
      <c r="U812">
        <v>1</v>
      </c>
      <c r="V812">
        <v>1</v>
      </c>
      <c r="W812">
        <v>0</v>
      </c>
      <c r="X812">
        <v>1</v>
      </c>
      <c r="Y812">
        <v>0</v>
      </c>
      <c r="Z812">
        <v>0</v>
      </c>
      <c r="AA812">
        <v>0</v>
      </c>
      <c r="AB812">
        <v>1</v>
      </c>
      <c r="AC812">
        <v>0</v>
      </c>
      <c r="AD812">
        <v>0</v>
      </c>
      <c r="AE812">
        <v>0</v>
      </c>
    </row>
    <row r="813" spans="1:31" x14ac:dyDescent="0.2">
      <c r="A813" t="s">
        <v>284</v>
      </c>
      <c r="B813" t="s">
        <v>32</v>
      </c>
      <c r="C813">
        <v>34</v>
      </c>
      <c r="D813" t="s">
        <v>33</v>
      </c>
      <c r="E813" t="s">
        <v>75</v>
      </c>
      <c r="F813" t="s">
        <v>35</v>
      </c>
      <c r="G813">
        <v>63405</v>
      </c>
      <c r="H813" t="s">
        <v>285</v>
      </c>
      <c r="I813" t="s">
        <v>286</v>
      </c>
      <c r="J813" t="s">
        <v>100</v>
      </c>
      <c r="K813" t="s">
        <v>35</v>
      </c>
      <c r="L813" t="s">
        <v>35</v>
      </c>
      <c r="M813" t="s">
        <v>35</v>
      </c>
      <c r="N813" t="s">
        <v>35</v>
      </c>
      <c r="O813" t="s">
        <v>35</v>
      </c>
      <c r="P813" t="s">
        <v>35</v>
      </c>
      <c r="Q813" t="s">
        <v>35</v>
      </c>
      <c r="R813" t="s">
        <v>35</v>
      </c>
      <c r="S813" t="s">
        <v>35</v>
      </c>
      <c r="T813" t="s">
        <v>35</v>
      </c>
      <c r="U813" t="s">
        <v>35</v>
      </c>
      <c r="V813" t="s">
        <v>35</v>
      </c>
      <c r="W813" t="s">
        <v>35</v>
      </c>
      <c r="X813" t="s">
        <v>35</v>
      </c>
      <c r="Y813" t="s">
        <v>35</v>
      </c>
      <c r="Z813" t="s">
        <v>35</v>
      </c>
      <c r="AA813" t="s">
        <v>35</v>
      </c>
      <c r="AB813" t="s">
        <v>35</v>
      </c>
      <c r="AC813" t="s">
        <v>35</v>
      </c>
      <c r="AD813" t="s">
        <v>35</v>
      </c>
      <c r="AE813" t="s">
        <v>35</v>
      </c>
    </row>
    <row r="814" spans="1:31" x14ac:dyDescent="0.2">
      <c r="A814" t="s">
        <v>287</v>
      </c>
      <c r="B814" t="s">
        <v>107</v>
      </c>
      <c r="C814">
        <v>27</v>
      </c>
      <c r="D814" t="s">
        <v>33</v>
      </c>
      <c r="E814" t="s">
        <v>34</v>
      </c>
      <c r="F814" t="s">
        <v>35</v>
      </c>
      <c r="G814">
        <v>14788</v>
      </c>
      <c r="H814" t="s">
        <v>35</v>
      </c>
      <c r="I814" t="s">
        <v>35</v>
      </c>
      <c r="J814" t="s">
        <v>35</v>
      </c>
      <c r="K814" t="s">
        <v>35</v>
      </c>
      <c r="L814" t="s">
        <v>35</v>
      </c>
      <c r="M814" t="s">
        <v>35</v>
      </c>
      <c r="N814" t="s">
        <v>35</v>
      </c>
      <c r="O814" t="s">
        <v>35</v>
      </c>
      <c r="P814" t="s">
        <v>35</v>
      </c>
      <c r="Q814" t="s">
        <v>35</v>
      </c>
      <c r="R814" t="s">
        <v>35</v>
      </c>
      <c r="S814" t="s">
        <v>35</v>
      </c>
      <c r="T814" t="s">
        <v>35</v>
      </c>
      <c r="U814" t="s">
        <v>35</v>
      </c>
      <c r="V814" t="s">
        <v>35</v>
      </c>
      <c r="W814" t="s">
        <v>35</v>
      </c>
      <c r="X814" t="s">
        <v>35</v>
      </c>
      <c r="Y814" t="s">
        <v>35</v>
      </c>
      <c r="Z814" t="s">
        <v>35</v>
      </c>
      <c r="AA814" t="s">
        <v>35</v>
      </c>
      <c r="AB814" t="s">
        <v>35</v>
      </c>
      <c r="AC814" t="s">
        <v>35</v>
      </c>
      <c r="AD814" t="s">
        <v>35</v>
      </c>
      <c r="AE814" t="s">
        <v>35</v>
      </c>
    </row>
    <row r="815" spans="1:31" x14ac:dyDescent="0.2">
      <c r="A815" t="s">
        <v>287</v>
      </c>
      <c r="B815" t="s">
        <v>107</v>
      </c>
      <c r="C815">
        <v>27</v>
      </c>
      <c r="D815" t="s">
        <v>33</v>
      </c>
      <c r="E815" t="s">
        <v>36</v>
      </c>
      <c r="F815" t="s">
        <v>37</v>
      </c>
      <c r="G815">
        <v>2186</v>
      </c>
      <c r="H815">
        <v>0</v>
      </c>
      <c r="I815">
        <v>0</v>
      </c>
      <c r="J815">
        <v>1</v>
      </c>
      <c r="K815">
        <v>0</v>
      </c>
      <c r="L815" t="s">
        <v>35</v>
      </c>
      <c r="M815" t="s">
        <v>35</v>
      </c>
      <c r="N815" t="s">
        <v>35</v>
      </c>
      <c r="O815" t="s">
        <v>35</v>
      </c>
      <c r="P815" t="s">
        <v>35</v>
      </c>
      <c r="Q815" t="s">
        <v>35</v>
      </c>
      <c r="R815" t="s">
        <v>35</v>
      </c>
      <c r="S815" t="s">
        <v>35</v>
      </c>
      <c r="T815" t="s">
        <v>35</v>
      </c>
      <c r="U815" t="s">
        <v>35</v>
      </c>
      <c r="V815" t="s">
        <v>35</v>
      </c>
      <c r="W815" t="s">
        <v>35</v>
      </c>
      <c r="X815" t="s">
        <v>35</v>
      </c>
      <c r="Y815" t="s">
        <v>35</v>
      </c>
      <c r="Z815" t="s">
        <v>35</v>
      </c>
      <c r="AA815" t="s">
        <v>35</v>
      </c>
      <c r="AB815" t="s">
        <v>35</v>
      </c>
      <c r="AC815" t="s">
        <v>35</v>
      </c>
      <c r="AD815" t="s">
        <v>35</v>
      </c>
      <c r="AE815" t="s">
        <v>35</v>
      </c>
    </row>
    <row r="816" spans="1:31" x14ac:dyDescent="0.2">
      <c r="A816" t="s">
        <v>287</v>
      </c>
      <c r="B816" t="s">
        <v>107</v>
      </c>
      <c r="C816">
        <v>27</v>
      </c>
      <c r="D816" t="s">
        <v>33</v>
      </c>
      <c r="E816" t="s">
        <v>36</v>
      </c>
      <c r="F816" t="s">
        <v>38</v>
      </c>
      <c r="G816">
        <v>3927</v>
      </c>
      <c r="H816">
        <v>0</v>
      </c>
      <c r="I816">
        <v>0</v>
      </c>
      <c r="J816">
        <v>0</v>
      </c>
      <c r="K816">
        <v>1</v>
      </c>
      <c r="L816" t="s">
        <v>35</v>
      </c>
      <c r="M816" t="s">
        <v>35</v>
      </c>
      <c r="N816" t="s">
        <v>35</v>
      </c>
      <c r="O816" t="s">
        <v>35</v>
      </c>
      <c r="P816" t="s">
        <v>35</v>
      </c>
      <c r="Q816" t="s">
        <v>35</v>
      </c>
      <c r="R816" t="s">
        <v>35</v>
      </c>
      <c r="S816" t="s">
        <v>35</v>
      </c>
      <c r="T816" t="s">
        <v>35</v>
      </c>
      <c r="U816" t="s">
        <v>35</v>
      </c>
      <c r="V816" t="s">
        <v>35</v>
      </c>
      <c r="W816" t="s">
        <v>35</v>
      </c>
      <c r="X816" t="s">
        <v>35</v>
      </c>
      <c r="Y816" t="s">
        <v>35</v>
      </c>
      <c r="Z816" t="s">
        <v>35</v>
      </c>
      <c r="AA816" t="s">
        <v>35</v>
      </c>
      <c r="AB816" t="s">
        <v>35</v>
      </c>
      <c r="AC816" t="s">
        <v>35</v>
      </c>
      <c r="AD816" t="s">
        <v>35</v>
      </c>
      <c r="AE816" t="s">
        <v>35</v>
      </c>
    </row>
    <row r="817" spans="1:31" x14ac:dyDescent="0.2">
      <c r="A817" t="s">
        <v>287</v>
      </c>
      <c r="B817" t="s">
        <v>107</v>
      </c>
      <c r="C817">
        <v>27</v>
      </c>
      <c r="D817" t="s">
        <v>33</v>
      </c>
      <c r="E817" t="s">
        <v>39</v>
      </c>
      <c r="F817" t="s">
        <v>40</v>
      </c>
      <c r="G817">
        <v>3986</v>
      </c>
      <c r="H817">
        <v>1</v>
      </c>
      <c r="I817">
        <v>1</v>
      </c>
      <c r="J817">
        <v>1</v>
      </c>
      <c r="K817">
        <v>0</v>
      </c>
      <c r="L817" t="s">
        <v>41</v>
      </c>
      <c r="M817" t="s">
        <v>42</v>
      </c>
      <c r="N817" t="s">
        <v>43</v>
      </c>
      <c r="O817" t="s">
        <v>44</v>
      </c>
      <c r="P817" t="s">
        <v>45</v>
      </c>
      <c r="Q817" t="s">
        <v>46</v>
      </c>
      <c r="R817">
        <v>0</v>
      </c>
      <c r="S817">
        <v>1</v>
      </c>
      <c r="T817">
        <v>1</v>
      </c>
      <c r="U817">
        <v>0</v>
      </c>
      <c r="V817">
        <v>1</v>
      </c>
      <c r="W817">
        <v>0</v>
      </c>
      <c r="X817">
        <v>1</v>
      </c>
      <c r="Y817">
        <v>0</v>
      </c>
      <c r="Z817">
        <v>1</v>
      </c>
      <c r="AA817">
        <v>1</v>
      </c>
      <c r="AB817">
        <v>0</v>
      </c>
      <c r="AC817">
        <v>1</v>
      </c>
      <c r="AD817">
        <v>0</v>
      </c>
      <c r="AE817">
        <v>0</v>
      </c>
    </row>
    <row r="818" spans="1:31" x14ac:dyDescent="0.2">
      <c r="A818" t="s">
        <v>287</v>
      </c>
      <c r="B818" t="s">
        <v>107</v>
      </c>
      <c r="C818">
        <v>27</v>
      </c>
      <c r="D818" t="s">
        <v>33</v>
      </c>
      <c r="E818" t="s">
        <v>39</v>
      </c>
      <c r="F818" t="s">
        <v>59</v>
      </c>
      <c r="G818">
        <v>2259</v>
      </c>
      <c r="H818">
        <v>1</v>
      </c>
      <c r="I818">
        <v>1</v>
      </c>
      <c r="J818">
        <v>1</v>
      </c>
      <c r="K818">
        <v>0</v>
      </c>
      <c r="L818" t="s">
        <v>62</v>
      </c>
      <c r="M818" t="s">
        <v>60</v>
      </c>
      <c r="N818" t="s">
        <v>61</v>
      </c>
      <c r="O818" t="s">
        <v>45</v>
      </c>
      <c r="P818" t="s">
        <v>44</v>
      </c>
      <c r="Q818" t="s">
        <v>46</v>
      </c>
      <c r="R818">
        <v>0</v>
      </c>
      <c r="S818">
        <v>1</v>
      </c>
      <c r="T818">
        <v>1</v>
      </c>
      <c r="U818">
        <v>0</v>
      </c>
      <c r="V818">
        <v>1</v>
      </c>
      <c r="W818">
        <v>0</v>
      </c>
      <c r="X818">
        <v>1</v>
      </c>
      <c r="Y818">
        <v>0</v>
      </c>
      <c r="Z818">
        <v>1</v>
      </c>
      <c r="AA818">
        <v>1</v>
      </c>
      <c r="AB818">
        <v>0</v>
      </c>
      <c r="AC818">
        <v>1</v>
      </c>
      <c r="AD818">
        <v>0</v>
      </c>
      <c r="AE818">
        <v>0</v>
      </c>
    </row>
    <row r="819" spans="1:31" x14ac:dyDescent="0.2">
      <c r="A819" t="s">
        <v>287</v>
      </c>
      <c r="B819" t="s">
        <v>107</v>
      </c>
      <c r="C819">
        <v>27</v>
      </c>
      <c r="D819" t="s">
        <v>33</v>
      </c>
      <c r="E819" t="s">
        <v>52</v>
      </c>
      <c r="F819" t="s">
        <v>74</v>
      </c>
      <c r="G819">
        <v>3283</v>
      </c>
      <c r="H819">
        <v>1</v>
      </c>
      <c r="I819">
        <v>1</v>
      </c>
      <c r="J819">
        <v>1</v>
      </c>
      <c r="K819">
        <v>0</v>
      </c>
      <c r="L819" t="s">
        <v>35</v>
      </c>
      <c r="M819" t="s">
        <v>35</v>
      </c>
      <c r="N819" t="s">
        <v>35</v>
      </c>
      <c r="O819" t="s">
        <v>35</v>
      </c>
      <c r="P819" t="s">
        <v>35</v>
      </c>
      <c r="Q819" t="s">
        <v>35</v>
      </c>
      <c r="R819" t="s">
        <v>35</v>
      </c>
      <c r="S819">
        <v>1</v>
      </c>
      <c r="T819">
        <v>1</v>
      </c>
      <c r="U819">
        <v>0</v>
      </c>
      <c r="V819">
        <v>1</v>
      </c>
      <c r="W819">
        <v>0</v>
      </c>
      <c r="X819">
        <v>1</v>
      </c>
      <c r="Y819">
        <v>0</v>
      </c>
      <c r="Z819">
        <v>1</v>
      </c>
      <c r="AA819">
        <v>1</v>
      </c>
      <c r="AB819">
        <v>0</v>
      </c>
      <c r="AC819">
        <v>1</v>
      </c>
      <c r="AD819">
        <v>0</v>
      </c>
      <c r="AE819">
        <v>0</v>
      </c>
    </row>
    <row r="820" spans="1:31" x14ac:dyDescent="0.2">
      <c r="A820" t="s">
        <v>287</v>
      </c>
      <c r="B820" t="s">
        <v>107</v>
      </c>
      <c r="C820">
        <v>27</v>
      </c>
      <c r="D820" t="s">
        <v>33</v>
      </c>
      <c r="E820" t="s">
        <v>39</v>
      </c>
      <c r="F820" t="s">
        <v>47</v>
      </c>
      <c r="G820">
        <v>4633</v>
      </c>
      <c r="H820">
        <v>1</v>
      </c>
      <c r="I820">
        <v>1</v>
      </c>
      <c r="J820">
        <v>1</v>
      </c>
      <c r="K820">
        <v>0</v>
      </c>
      <c r="L820" t="s">
        <v>48</v>
      </c>
      <c r="M820" t="s">
        <v>80</v>
      </c>
      <c r="N820" t="s">
        <v>79</v>
      </c>
      <c r="O820" t="s">
        <v>46</v>
      </c>
      <c r="P820" t="s">
        <v>67</v>
      </c>
      <c r="Q820" t="s">
        <v>45</v>
      </c>
      <c r="R820">
        <v>0</v>
      </c>
      <c r="S820">
        <v>0</v>
      </c>
      <c r="T820">
        <v>1</v>
      </c>
      <c r="U820">
        <v>1</v>
      </c>
      <c r="V820">
        <v>1</v>
      </c>
      <c r="W820">
        <v>0</v>
      </c>
      <c r="X820">
        <v>1</v>
      </c>
      <c r="Y820">
        <v>0</v>
      </c>
      <c r="Z820">
        <v>0</v>
      </c>
      <c r="AA820">
        <v>1</v>
      </c>
      <c r="AB820">
        <v>1</v>
      </c>
      <c r="AC820">
        <v>1</v>
      </c>
      <c r="AD820">
        <v>0</v>
      </c>
      <c r="AE820">
        <v>0</v>
      </c>
    </row>
    <row r="821" spans="1:31" x14ac:dyDescent="0.2">
      <c r="A821" t="s">
        <v>287</v>
      </c>
      <c r="B821" t="s">
        <v>107</v>
      </c>
      <c r="C821">
        <v>27</v>
      </c>
      <c r="D821" t="s">
        <v>33</v>
      </c>
      <c r="E821" t="s">
        <v>39</v>
      </c>
      <c r="F821" t="s">
        <v>54</v>
      </c>
      <c r="G821">
        <v>3876</v>
      </c>
      <c r="H821">
        <v>1</v>
      </c>
      <c r="I821">
        <v>1</v>
      </c>
      <c r="J821">
        <v>1</v>
      </c>
      <c r="K821">
        <v>0</v>
      </c>
      <c r="L821" t="s">
        <v>88</v>
      </c>
      <c r="M821" t="s">
        <v>89</v>
      </c>
      <c r="N821" t="s">
        <v>56</v>
      </c>
      <c r="O821" t="s">
        <v>51</v>
      </c>
      <c r="P821" t="s">
        <v>67</v>
      </c>
      <c r="Q821" t="s">
        <v>45</v>
      </c>
      <c r="R821">
        <v>0</v>
      </c>
      <c r="S821">
        <v>0</v>
      </c>
      <c r="T821">
        <v>0</v>
      </c>
      <c r="U821">
        <v>1</v>
      </c>
      <c r="V821">
        <v>1</v>
      </c>
      <c r="W821">
        <v>0</v>
      </c>
      <c r="X821">
        <v>1</v>
      </c>
      <c r="Y821">
        <v>0</v>
      </c>
      <c r="Z821">
        <v>0</v>
      </c>
      <c r="AA821">
        <v>0</v>
      </c>
      <c r="AB821">
        <v>1</v>
      </c>
      <c r="AC821">
        <v>1</v>
      </c>
      <c r="AD821">
        <v>0</v>
      </c>
      <c r="AE821">
        <v>0</v>
      </c>
    </row>
    <row r="822" spans="1:31" x14ac:dyDescent="0.2">
      <c r="A822" t="s">
        <v>287</v>
      </c>
      <c r="B822" t="s">
        <v>107</v>
      </c>
      <c r="C822">
        <v>27</v>
      </c>
      <c r="D822" t="s">
        <v>33</v>
      </c>
      <c r="E822" t="s">
        <v>52</v>
      </c>
      <c r="F822" t="s">
        <v>58</v>
      </c>
      <c r="G822">
        <v>4514</v>
      </c>
      <c r="H822">
        <v>1</v>
      </c>
      <c r="I822">
        <v>1</v>
      </c>
      <c r="J822">
        <v>1</v>
      </c>
      <c r="K822">
        <v>0</v>
      </c>
      <c r="L822" t="s">
        <v>35</v>
      </c>
      <c r="M822" t="s">
        <v>35</v>
      </c>
      <c r="N822" t="s">
        <v>35</v>
      </c>
      <c r="O822" t="s">
        <v>35</v>
      </c>
      <c r="P822" t="s">
        <v>35</v>
      </c>
      <c r="Q822" t="s">
        <v>35</v>
      </c>
      <c r="R822" t="s">
        <v>35</v>
      </c>
      <c r="S822">
        <v>0</v>
      </c>
      <c r="T822">
        <v>0</v>
      </c>
      <c r="U822">
        <v>1</v>
      </c>
      <c r="V822">
        <v>1</v>
      </c>
      <c r="W822">
        <v>0</v>
      </c>
      <c r="X822">
        <v>1</v>
      </c>
      <c r="Y822">
        <v>0</v>
      </c>
      <c r="Z822">
        <v>0</v>
      </c>
      <c r="AA822">
        <v>0</v>
      </c>
      <c r="AB822">
        <v>1</v>
      </c>
      <c r="AC822">
        <v>1</v>
      </c>
      <c r="AD822">
        <v>0</v>
      </c>
      <c r="AE822">
        <v>0</v>
      </c>
    </row>
    <row r="823" spans="1:31" x14ac:dyDescent="0.2">
      <c r="A823" t="s">
        <v>287</v>
      </c>
      <c r="B823" t="s">
        <v>107</v>
      </c>
      <c r="C823">
        <v>27</v>
      </c>
      <c r="D823" t="s">
        <v>33</v>
      </c>
      <c r="E823" t="s">
        <v>39</v>
      </c>
      <c r="F823" t="s">
        <v>70</v>
      </c>
      <c r="G823">
        <v>8993</v>
      </c>
      <c r="H823">
        <v>1</v>
      </c>
      <c r="I823">
        <v>1</v>
      </c>
      <c r="J823">
        <v>1</v>
      </c>
      <c r="K823">
        <v>0</v>
      </c>
      <c r="L823" t="s">
        <v>93</v>
      </c>
      <c r="M823" t="s">
        <v>86</v>
      </c>
      <c r="N823" t="s">
        <v>72</v>
      </c>
      <c r="O823" t="s">
        <v>68</v>
      </c>
      <c r="P823" t="s">
        <v>46</v>
      </c>
      <c r="Q823" t="s">
        <v>67</v>
      </c>
      <c r="R823">
        <v>1</v>
      </c>
      <c r="S823">
        <v>0</v>
      </c>
      <c r="T823">
        <v>1</v>
      </c>
      <c r="U823">
        <v>1</v>
      </c>
      <c r="V823">
        <v>0</v>
      </c>
      <c r="W823">
        <v>0</v>
      </c>
      <c r="X823">
        <v>1</v>
      </c>
      <c r="Y823">
        <v>1</v>
      </c>
      <c r="Z823">
        <v>0</v>
      </c>
      <c r="AA823">
        <v>1</v>
      </c>
      <c r="AB823">
        <v>1</v>
      </c>
      <c r="AC823">
        <v>0</v>
      </c>
      <c r="AD823">
        <v>0</v>
      </c>
      <c r="AE823">
        <v>0</v>
      </c>
    </row>
    <row r="824" spans="1:31" x14ac:dyDescent="0.2">
      <c r="A824" t="s">
        <v>287</v>
      </c>
      <c r="B824" t="s">
        <v>107</v>
      </c>
      <c r="C824">
        <v>27</v>
      </c>
      <c r="D824" t="s">
        <v>33</v>
      </c>
      <c r="E824" t="s">
        <v>52</v>
      </c>
      <c r="F824" t="s">
        <v>53</v>
      </c>
      <c r="G824">
        <v>3116</v>
      </c>
      <c r="H824">
        <v>1</v>
      </c>
      <c r="I824">
        <v>1</v>
      </c>
      <c r="J824">
        <v>1</v>
      </c>
      <c r="K824">
        <v>0</v>
      </c>
      <c r="L824" t="s">
        <v>35</v>
      </c>
      <c r="M824" t="s">
        <v>35</v>
      </c>
      <c r="N824" t="s">
        <v>35</v>
      </c>
      <c r="O824" t="s">
        <v>35</v>
      </c>
      <c r="P824" t="s">
        <v>35</v>
      </c>
      <c r="Q824" t="s">
        <v>35</v>
      </c>
      <c r="R824" t="s">
        <v>35</v>
      </c>
      <c r="S824">
        <v>0</v>
      </c>
      <c r="T824">
        <v>1</v>
      </c>
      <c r="U824">
        <v>1</v>
      </c>
      <c r="V824">
        <v>0</v>
      </c>
      <c r="W824">
        <v>0</v>
      </c>
      <c r="X824">
        <v>1</v>
      </c>
      <c r="Y824">
        <v>1</v>
      </c>
      <c r="Z824">
        <v>0</v>
      </c>
      <c r="AA824">
        <v>1</v>
      </c>
      <c r="AB824">
        <v>1</v>
      </c>
      <c r="AC824">
        <v>0</v>
      </c>
      <c r="AD824">
        <v>0</v>
      </c>
      <c r="AE824">
        <v>0</v>
      </c>
    </row>
    <row r="825" spans="1:31" x14ac:dyDescent="0.2">
      <c r="A825" t="s">
        <v>287</v>
      </c>
      <c r="B825" t="s">
        <v>107</v>
      </c>
      <c r="C825">
        <v>27</v>
      </c>
      <c r="D825" t="s">
        <v>33</v>
      </c>
      <c r="E825" t="s">
        <v>39</v>
      </c>
      <c r="F825" t="s">
        <v>63</v>
      </c>
      <c r="G825">
        <v>9765</v>
      </c>
      <c r="H825">
        <v>1</v>
      </c>
      <c r="I825">
        <v>1</v>
      </c>
      <c r="J825">
        <v>1</v>
      </c>
      <c r="K825">
        <v>0</v>
      </c>
      <c r="L825" t="s">
        <v>84</v>
      </c>
      <c r="M825" t="s">
        <v>85</v>
      </c>
      <c r="N825" t="s">
        <v>65</v>
      </c>
      <c r="O825" t="s">
        <v>46</v>
      </c>
      <c r="P825" t="s">
        <v>51</v>
      </c>
      <c r="Q825" t="s">
        <v>68</v>
      </c>
      <c r="R825">
        <v>1</v>
      </c>
      <c r="S825">
        <v>0</v>
      </c>
      <c r="T825">
        <v>1</v>
      </c>
      <c r="U825">
        <v>0</v>
      </c>
      <c r="V825">
        <v>0</v>
      </c>
      <c r="W825">
        <v>0</v>
      </c>
      <c r="X825">
        <v>1</v>
      </c>
      <c r="Y825">
        <v>1</v>
      </c>
      <c r="Z825">
        <v>0</v>
      </c>
      <c r="AA825">
        <v>1</v>
      </c>
      <c r="AB825">
        <v>0</v>
      </c>
      <c r="AC825">
        <v>0</v>
      </c>
      <c r="AD825">
        <v>0</v>
      </c>
      <c r="AE825">
        <v>0</v>
      </c>
    </row>
    <row r="826" spans="1:31" x14ac:dyDescent="0.2">
      <c r="A826" t="s">
        <v>287</v>
      </c>
      <c r="B826" t="s">
        <v>107</v>
      </c>
      <c r="C826">
        <v>27</v>
      </c>
      <c r="D826" t="s">
        <v>33</v>
      </c>
      <c r="E826" t="s">
        <v>52</v>
      </c>
      <c r="F826" t="s">
        <v>69</v>
      </c>
      <c r="G826">
        <v>4404</v>
      </c>
      <c r="H826">
        <v>1</v>
      </c>
      <c r="I826">
        <v>1</v>
      </c>
      <c r="J826">
        <v>1</v>
      </c>
      <c r="K826">
        <v>0</v>
      </c>
      <c r="L826" t="s">
        <v>35</v>
      </c>
      <c r="M826" t="s">
        <v>35</v>
      </c>
      <c r="N826" t="s">
        <v>35</v>
      </c>
      <c r="O826" t="s">
        <v>35</v>
      </c>
      <c r="P826" t="s">
        <v>35</v>
      </c>
      <c r="Q826" t="s">
        <v>35</v>
      </c>
      <c r="R826" t="s">
        <v>35</v>
      </c>
      <c r="S826">
        <v>0</v>
      </c>
      <c r="T826">
        <v>1</v>
      </c>
      <c r="U826">
        <v>0</v>
      </c>
      <c r="V826">
        <v>0</v>
      </c>
      <c r="W826">
        <v>0</v>
      </c>
      <c r="X826">
        <v>1</v>
      </c>
      <c r="Y826">
        <v>1</v>
      </c>
      <c r="Z826">
        <v>0</v>
      </c>
      <c r="AA826">
        <v>1</v>
      </c>
      <c r="AB826">
        <v>0</v>
      </c>
      <c r="AC826">
        <v>0</v>
      </c>
      <c r="AD826">
        <v>0</v>
      </c>
      <c r="AE826">
        <v>0</v>
      </c>
    </row>
    <row r="827" spans="1:31" x14ac:dyDescent="0.2">
      <c r="A827" t="s">
        <v>287</v>
      </c>
      <c r="B827" t="s">
        <v>107</v>
      </c>
      <c r="C827">
        <v>27</v>
      </c>
      <c r="D827" t="s">
        <v>33</v>
      </c>
      <c r="E827" t="s">
        <v>75</v>
      </c>
      <c r="F827" t="s">
        <v>35</v>
      </c>
      <c r="G827">
        <v>406867</v>
      </c>
      <c r="H827" t="s">
        <v>288</v>
      </c>
      <c r="I827" t="s">
        <v>280</v>
      </c>
      <c r="J827" t="s">
        <v>289</v>
      </c>
      <c r="K827" t="s">
        <v>35</v>
      </c>
      <c r="L827" t="s">
        <v>35</v>
      </c>
      <c r="M827" t="s">
        <v>35</v>
      </c>
      <c r="N827" t="s">
        <v>35</v>
      </c>
      <c r="O827" t="s">
        <v>35</v>
      </c>
      <c r="P827" t="s">
        <v>35</v>
      </c>
      <c r="Q827" t="s">
        <v>35</v>
      </c>
      <c r="R827" t="s">
        <v>35</v>
      </c>
      <c r="S827" t="s">
        <v>35</v>
      </c>
      <c r="T827" t="s">
        <v>35</v>
      </c>
      <c r="U827" t="s">
        <v>35</v>
      </c>
      <c r="V827" t="s">
        <v>35</v>
      </c>
      <c r="W827" t="s">
        <v>35</v>
      </c>
      <c r="X827" t="s">
        <v>35</v>
      </c>
      <c r="Y827" t="s">
        <v>35</v>
      </c>
      <c r="Z827" t="s">
        <v>35</v>
      </c>
      <c r="AA827" t="s">
        <v>35</v>
      </c>
      <c r="AB827" t="s">
        <v>35</v>
      </c>
      <c r="AC827" t="s">
        <v>35</v>
      </c>
      <c r="AD827" t="s">
        <v>35</v>
      </c>
      <c r="AE827" t="s">
        <v>35</v>
      </c>
    </row>
    <row r="828" spans="1:31" x14ac:dyDescent="0.2">
      <c r="A828" t="s">
        <v>290</v>
      </c>
      <c r="B828" t="s">
        <v>107</v>
      </c>
      <c r="C828">
        <v>28</v>
      </c>
      <c r="D828" t="s">
        <v>78</v>
      </c>
      <c r="E828" t="s">
        <v>34</v>
      </c>
      <c r="F828" t="s">
        <v>35</v>
      </c>
      <c r="G828">
        <v>14787</v>
      </c>
      <c r="H828" t="s">
        <v>35</v>
      </c>
      <c r="I828" t="s">
        <v>35</v>
      </c>
      <c r="J828" t="s">
        <v>35</v>
      </c>
      <c r="K828" t="s">
        <v>35</v>
      </c>
      <c r="L828" t="s">
        <v>35</v>
      </c>
      <c r="M828" t="s">
        <v>35</v>
      </c>
      <c r="N828" t="s">
        <v>35</v>
      </c>
      <c r="O828" t="s">
        <v>35</v>
      </c>
      <c r="P828" t="s">
        <v>35</v>
      </c>
      <c r="Q828" t="s">
        <v>35</v>
      </c>
      <c r="R828" t="s">
        <v>35</v>
      </c>
      <c r="S828" t="s">
        <v>35</v>
      </c>
      <c r="T828" t="s">
        <v>35</v>
      </c>
      <c r="U828" t="s">
        <v>35</v>
      </c>
      <c r="V828" t="s">
        <v>35</v>
      </c>
      <c r="W828" t="s">
        <v>35</v>
      </c>
      <c r="X828" t="s">
        <v>35</v>
      </c>
      <c r="Y828" t="s">
        <v>35</v>
      </c>
      <c r="Z828" t="s">
        <v>35</v>
      </c>
      <c r="AA828" t="s">
        <v>35</v>
      </c>
      <c r="AB828" t="s">
        <v>35</v>
      </c>
      <c r="AC828" t="s">
        <v>35</v>
      </c>
      <c r="AD828" t="s">
        <v>35</v>
      </c>
      <c r="AE828" t="s">
        <v>35</v>
      </c>
    </row>
    <row r="829" spans="1:31" x14ac:dyDescent="0.2">
      <c r="A829" t="s">
        <v>290</v>
      </c>
      <c r="B829" t="s">
        <v>107</v>
      </c>
      <c r="C829">
        <v>28</v>
      </c>
      <c r="D829" t="s">
        <v>78</v>
      </c>
      <c r="E829" t="s">
        <v>36</v>
      </c>
      <c r="F829" t="s">
        <v>37</v>
      </c>
      <c r="G829">
        <v>49514</v>
      </c>
      <c r="H829">
        <v>0</v>
      </c>
      <c r="I829">
        <v>0</v>
      </c>
      <c r="J829">
        <v>1</v>
      </c>
      <c r="K829">
        <v>0</v>
      </c>
      <c r="L829" t="s">
        <v>35</v>
      </c>
      <c r="M829" t="s">
        <v>35</v>
      </c>
      <c r="N829" t="s">
        <v>35</v>
      </c>
      <c r="O829" t="s">
        <v>35</v>
      </c>
      <c r="P829" t="s">
        <v>35</v>
      </c>
      <c r="Q829" t="s">
        <v>35</v>
      </c>
      <c r="R829" t="s">
        <v>35</v>
      </c>
      <c r="S829" t="s">
        <v>35</v>
      </c>
      <c r="T829" t="s">
        <v>35</v>
      </c>
      <c r="U829" t="s">
        <v>35</v>
      </c>
      <c r="V829" t="s">
        <v>35</v>
      </c>
      <c r="W829" t="s">
        <v>35</v>
      </c>
      <c r="X829" t="s">
        <v>35</v>
      </c>
      <c r="Y829" t="s">
        <v>35</v>
      </c>
      <c r="Z829" t="s">
        <v>35</v>
      </c>
      <c r="AA829" t="s">
        <v>35</v>
      </c>
      <c r="AB829" t="s">
        <v>35</v>
      </c>
      <c r="AC829" t="s">
        <v>35</v>
      </c>
      <c r="AD829" t="s">
        <v>35</v>
      </c>
      <c r="AE829" t="s">
        <v>35</v>
      </c>
    </row>
    <row r="830" spans="1:31" x14ac:dyDescent="0.2">
      <c r="A830" t="s">
        <v>290</v>
      </c>
      <c r="B830" t="s">
        <v>107</v>
      </c>
      <c r="C830">
        <v>28</v>
      </c>
      <c r="D830" t="s">
        <v>78</v>
      </c>
      <c r="E830" t="s">
        <v>36</v>
      </c>
      <c r="F830" t="s">
        <v>38</v>
      </c>
      <c r="G830">
        <v>3443</v>
      </c>
      <c r="H830">
        <v>0</v>
      </c>
      <c r="I830">
        <v>0</v>
      </c>
      <c r="J830">
        <v>0</v>
      </c>
      <c r="K830">
        <v>1</v>
      </c>
      <c r="L830" t="s">
        <v>35</v>
      </c>
      <c r="M830" t="s">
        <v>35</v>
      </c>
      <c r="N830" t="s">
        <v>35</v>
      </c>
      <c r="O830" t="s">
        <v>35</v>
      </c>
      <c r="P830" t="s">
        <v>35</v>
      </c>
      <c r="Q830" t="s">
        <v>35</v>
      </c>
      <c r="R830" t="s">
        <v>35</v>
      </c>
      <c r="S830" t="s">
        <v>35</v>
      </c>
      <c r="T830" t="s">
        <v>35</v>
      </c>
      <c r="U830" t="s">
        <v>35</v>
      </c>
      <c r="V830" t="s">
        <v>35</v>
      </c>
      <c r="W830" t="s">
        <v>35</v>
      </c>
      <c r="X830" t="s">
        <v>35</v>
      </c>
      <c r="Y830" t="s">
        <v>35</v>
      </c>
      <c r="Z830" t="s">
        <v>35</v>
      </c>
      <c r="AA830" t="s">
        <v>35</v>
      </c>
      <c r="AB830" t="s">
        <v>35</v>
      </c>
      <c r="AC830" t="s">
        <v>35</v>
      </c>
      <c r="AD830" t="s">
        <v>35</v>
      </c>
      <c r="AE830" t="s">
        <v>35</v>
      </c>
    </row>
    <row r="831" spans="1:31" x14ac:dyDescent="0.2">
      <c r="A831" t="s">
        <v>290</v>
      </c>
      <c r="B831" t="s">
        <v>107</v>
      </c>
      <c r="C831">
        <v>28</v>
      </c>
      <c r="D831" t="s">
        <v>78</v>
      </c>
      <c r="E831" t="s">
        <v>39</v>
      </c>
      <c r="F831" t="s">
        <v>70</v>
      </c>
      <c r="G831">
        <v>101551</v>
      </c>
      <c r="H831">
        <v>1</v>
      </c>
      <c r="I831">
        <v>1</v>
      </c>
      <c r="J831">
        <v>1</v>
      </c>
      <c r="K831">
        <v>0</v>
      </c>
      <c r="L831" t="s">
        <v>73</v>
      </c>
      <c r="M831" t="s">
        <v>72</v>
      </c>
      <c r="N831" t="s">
        <v>71</v>
      </c>
      <c r="O831" t="s">
        <v>44</v>
      </c>
      <c r="P831" t="s">
        <v>67</v>
      </c>
      <c r="Q831" t="s">
        <v>45</v>
      </c>
      <c r="R831">
        <v>0</v>
      </c>
      <c r="S831">
        <v>1</v>
      </c>
      <c r="T831">
        <v>0</v>
      </c>
      <c r="U831">
        <v>1</v>
      </c>
      <c r="V831">
        <v>1</v>
      </c>
      <c r="W831">
        <v>0</v>
      </c>
      <c r="X831">
        <v>1</v>
      </c>
      <c r="Y831">
        <v>0</v>
      </c>
      <c r="Z831">
        <v>1</v>
      </c>
      <c r="AA831">
        <v>0</v>
      </c>
      <c r="AB831">
        <v>1</v>
      </c>
      <c r="AC831">
        <v>1</v>
      </c>
      <c r="AD831">
        <v>0</v>
      </c>
      <c r="AE831">
        <v>0</v>
      </c>
    </row>
    <row r="832" spans="1:31" x14ac:dyDescent="0.2">
      <c r="A832" t="s">
        <v>290</v>
      </c>
      <c r="B832" t="s">
        <v>107</v>
      </c>
      <c r="C832">
        <v>28</v>
      </c>
      <c r="D832" t="s">
        <v>78</v>
      </c>
      <c r="E832" t="s">
        <v>39</v>
      </c>
      <c r="F832" t="s">
        <v>59</v>
      </c>
      <c r="G832">
        <v>32256</v>
      </c>
      <c r="H832">
        <v>1</v>
      </c>
      <c r="I832">
        <v>1</v>
      </c>
      <c r="J832">
        <v>0</v>
      </c>
      <c r="K832">
        <v>0</v>
      </c>
      <c r="L832" t="s">
        <v>99</v>
      </c>
      <c r="M832" t="s">
        <v>61</v>
      </c>
      <c r="N832" t="s">
        <v>60</v>
      </c>
      <c r="O832" t="s">
        <v>67</v>
      </c>
      <c r="P832" t="s">
        <v>46</v>
      </c>
      <c r="Q832" t="s">
        <v>44</v>
      </c>
      <c r="R832">
        <v>0</v>
      </c>
      <c r="S832">
        <v>1</v>
      </c>
      <c r="T832">
        <v>1</v>
      </c>
      <c r="U832">
        <v>1</v>
      </c>
      <c r="V832">
        <v>0</v>
      </c>
      <c r="W832">
        <v>0</v>
      </c>
      <c r="X832">
        <v>1</v>
      </c>
      <c r="Y832">
        <v>0</v>
      </c>
      <c r="Z832">
        <v>0</v>
      </c>
      <c r="AA832">
        <v>1</v>
      </c>
      <c r="AB832">
        <v>1</v>
      </c>
      <c r="AC832">
        <v>0</v>
      </c>
      <c r="AD832">
        <v>0</v>
      </c>
      <c r="AE832">
        <v>0</v>
      </c>
    </row>
    <row r="833" spans="1:31" x14ac:dyDescent="0.2">
      <c r="A833" t="s">
        <v>290</v>
      </c>
      <c r="B833" t="s">
        <v>107</v>
      </c>
      <c r="C833">
        <v>28</v>
      </c>
      <c r="D833" t="s">
        <v>78</v>
      </c>
      <c r="E833" t="s">
        <v>52</v>
      </c>
      <c r="F833" t="s">
        <v>69</v>
      </c>
      <c r="G833">
        <v>25688</v>
      </c>
      <c r="H833">
        <v>1</v>
      </c>
      <c r="I833">
        <v>1</v>
      </c>
      <c r="J833">
        <v>1</v>
      </c>
      <c r="K833">
        <v>0</v>
      </c>
      <c r="L833" t="s">
        <v>35</v>
      </c>
      <c r="M833" t="s">
        <v>35</v>
      </c>
      <c r="N833" t="s">
        <v>35</v>
      </c>
      <c r="O833" t="s">
        <v>35</v>
      </c>
      <c r="P833" t="s">
        <v>35</v>
      </c>
      <c r="Q833" t="s">
        <v>35</v>
      </c>
      <c r="R833" t="s">
        <v>35</v>
      </c>
      <c r="S833">
        <v>1</v>
      </c>
      <c r="T833">
        <v>1</v>
      </c>
      <c r="U833">
        <v>1</v>
      </c>
      <c r="V833">
        <v>0</v>
      </c>
      <c r="W833">
        <v>0</v>
      </c>
      <c r="X833">
        <v>1</v>
      </c>
      <c r="Y833">
        <v>0</v>
      </c>
      <c r="Z833">
        <v>0</v>
      </c>
      <c r="AA833">
        <v>1</v>
      </c>
      <c r="AB833">
        <v>1</v>
      </c>
      <c r="AC833">
        <v>0</v>
      </c>
      <c r="AD833">
        <v>0</v>
      </c>
      <c r="AE833">
        <v>0</v>
      </c>
    </row>
    <row r="834" spans="1:31" x14ac:dyDescent="0.2">
      <c r="A834" t="s">
        <v>290</v>
      </c>
      <c r="B834" t="s">
        <v>107</v>
      </c>
      <c r="C834">
        <v>28</v>
      </c>
      <c r="D834" t="s">
        <v>78</v>
      </c>
      <c r="E834" t="s">
        <v>39</v>
      </c>
      <c r="F834" t="s">
        <v>63</v>
      </c>
      <c r="G834">
        <v>10361</v>
      </c>
      <c r="H834">
        <v>1</v>
      </c>
      <c r="I834">
        <v>1</v>
      </c>
      <c r="J834">
        <v>1</v>
      </c>
      <c r="K834">
        <v>0</v>
      </c>
      <c r="L834" t="s">
        <v>84</v>
      </c>
      <c r="M834" t="s">
        <v>85</v>
      </c>
      <c r="N834" t="s">
        <v>66</v>
      </c>
      <c r="O834" t="s">
        <v>46</v>
      </c>
      <c r="P834" t="s">
        <v>51</v>
      </c>
      <c r="Q834" t="s">
        <v>45</v>
      </c>
      <c r="R834">
        <v>0</v>
      </c>
      <c r="S834">
        <v>0</v>
      </c>
      <c r="T834">
        <v>1</v>
      </c>
      <c r="U834">
        <v>0</v>
      </c>
      <c r="V834">
        <v>1</v>
      </c>
      <c r="W834">
        <v>0</v>
      </c>
      <c r="X834">
        <v>1</v>
      </c>
      <c r="Y834">
        <v>0</v>
      </c>
      <c r="Z834">
        <v>0</v>
      </c>
      <c r="AA834">
        <v>1</v>
      </c>
      <c r="AB834">
        <v>0</v>
      </c>
      <c r="AC834">
        <v>1</v>
      </c>
      <c r="AD834">
        <v>0</v>
      </c>
      <c r="AE834">
        <v>0</v>
      </c>
    </row>
    <row r="835" spans="1:31" x14ac:dyDescent="0.2">
      <c r="A835" t="s">
        <v>290</v>
      </c>
      <c r="B835" t="s">
        <v>107</v>
      </c>
      <c r="C835">
        <v>28</v>
      </c>
      <c r="D835" t="s">
        <v>78</v>
      </c>
      <c r="E835" t="s">
        <v>52</v>
      </c>
      <c r="F835" t="s">
        <v>53</v>
      </c>
      <c r="G835">
        <v>6634</v>
      </c>
      <c r="H835">
        <v>1</v>
      </c>
      <c r="I835">
        <v>1</v>
      </c>
      <c r="J835">
        <v>1</v>
      </c>
      <c r="K835">
        <v>0</v>
      </c>
      <c r="L835" t="s">
        <v>35</v>
      </c>
      <c r="M835" t="s">
        <v>35</v>
      </c>
      <c r="N835" t="s">
        <v>35</v>
      </c>
      <c r="O835" t="s">
        <v>35</v>
      </c>
      <c r="P835" t="s">
        <v>35</v>
      </c>
      <c r="Q835" t="s">
        <v>35</v>
      </c>
      <c r="R835" t="s">
        <v>35</v>
      </c>
      <c r="S835">
        <v>0</v>
      </c>
      <c r="T835">
        <v>1</v>
      </c>
      <c r="U835">
        <v>0</v>
      </c>
      <c r="V835">
        <v>1</v>
      </c>
      <c r="W835">
        <v>0</v>
      </c>
      <c r="X835">
        <v>1</v>
      </c>
      <c r="Y835">
        <v>0</v>
      </c>
      <c r="Z835">
        <v>0</v>
      </c>
      <c r="AA835">
        <v>1</v>
      </c>
      <c r="AB835">
        <v>0</v>
      </c>
      <c r="AC835">
        <v>1</v>
      </c>
      <c r="AD835">
        <v>0</v>
      </c>
      <c r="AE835">
        <v>0</v>
      </c>
    </row>
    <row r="836" spans="1:31" x14ac:dyDescent="0.2">
      <c r="A836" t="s">
        <v>290</v>
      </c>
      <c r="B836" t="s">
        <v>107</v>
      </c>
      <c r="C836">
        <v>28</v>
      </c>
      <c r="D836" t="s">
        <v>78</v>
      </c>
      <c r="E836" t="s">
        <v>39</v>
      </c>
      <c r="F836" t="s">
        <v>47</v>
      </c>
      <c r="G836">
        <v>7314</v>
      </c>
      <c r="H836">
        <v>0</v>
      </c>
      <c r="I836">
        <v>1</v>
      </c>
      <c r="J836">
        <v>1</v>
      </c>
      <c r="K836">
        <v>0</v>
      </c>
      <c r="L836" t="s">
        <v>79</v>
      </c>
      <c r="M836" t="s">
        <v>49</v>
      </c>
      <c r="N836" t="s">
        <v>95</v>
      </c>
      <c r="O836" t="s">
        <v>45</v>
      </c>
      <c r="P836" t="s">
        <v>44</v>
      </c>
      <c r="Q836" t="s">
        <v>68</v>
      </c>
      <c r="R836">
        <v>1</v>
      </c>
      <c r="S836">
        <v>1</v>
      </c>
      <c r="T836">
        <v>0</v>
      </c>
      <c r="U836">
        <v>0</v>
      </c>
      <c r="V836">
        <v>1</v>
      </c>
      <c r="W836">
        <v>0</v>
      </c>
      <c r="X836">
        <v>1</v>
      </c>
      <c r="Y836">
        <v>1</v>
      </c>
      <c r="Z836">
        <v>1</v>
      </c>
      <c r="AA836">
        <v>0</v>
      </c>
      <c r="AB836">
        <v>0</v>
      </c>
      <c r="AC836">
        <v>0</v>
      </c>
      <c r="AD836">
        <v>0</v>
      </c>
      <c r="AE836">
        <v>0</v>
      </c>
    </row>
    <row r="837" spans="1:31" x14ac:dyDescent="0.2">
      <c r="A837" t="s">
        <v>290</v>
      </c>
      <c r="B837" t="s">
        <v>107</v>
      </c>
      <c r="C837">
        <v>28</v>
      </c>
      <c r="D837" t="s">
        <v>78</v>
      </c>
      <c r="E837" t="s">
        <v>39</v>
      </c>
      <c r="F837" t="s">
        <v>40</v>
      </c>
      <c r="G837">
        <v>36240</v>
      </c>
      <c r="H837">
        <v>1</v>
      </c>
      <c r="I837">
        <v>1</v>
      </c>
      <c r="J837">
        <v>1</v>
      </c>
      <c r="K837">
        <v>0</v>
      </c>
      <c r="L837" t="s">
        <v>42</v>
      </c>
      <c r="M837" t="s">
        <v>82</v>
      </c>
      <c r="N837" t="s">
        <v>81</v>
      </c>
      <c r="O837" t="s">
        <v>45</v>
      </c>
      <c r="P837" t="s">
        <v>68</v>
      </c>
      <c r="Q837" t="s">
        <v>67</v>
      </c>
      <c r="R837">
        <v>1</v>
      </c>
      <c r="S837">
        <v>0</v>
      </c>
      <c r="T837">
        <v>0</v>
      </c>
      <c r="U837">
        <v>1</v>
      </c>
      <c r="V837">
        <v>1</v>
      </c>
      <c r="W837">
        <v>0</v>
      </c>
      <c r="X837">
        <v>1</v>
      </c>
      <c r="Y837">
        <v>1</v>
      </c>
      <c r="Z837">
        <v>0</v>
      </c>
      <c r="AA837">
        <v>0</v>
      </c>
      <c r="AB837">
        <v>1</v>
      </c>
      <c r="AC837">
        <v>1</v>
      </c>
      <c r="AD837">
        <v>0</v>
      </c>
      <c r="AE837">
        <v>0</v>
      </c>
    </row>
    <row r="838" spans="1:31" x14ac:dyDescent="0.2">
      <c r="A838" t="s">
        <v>290</v>
      </c>
      <c r="B838" t="s">
        <v>107</v>
      </c>
      <c r="C838">
        <v>28</v>
      </c>
      <c r="D838" t="s">
        <v>78</v>
      </c>
      <c r="E838" t="s">
        <v>52</v>
      </c>
      <c r="F838" t="s">
        <v>58</v>
      </c>
      <c r="G838">
        <v>83931</v>
      </c>
      <c r="H838">
        <v>1</v>
      </c>
      <c r="I838">
        <v>1</v>
      </c>
      <c r="J838">
        <v>1</v>
      </c>
      <c r="K838">
        <v>0</v>
      </c>
      <c r="L838" t="s">
        <v>35</v>
      </c>
      <c r="M838" t="s">
        <v>35</v>
      </c>
      <c r="N838" t="s">
        <v>35</v>
      </c>
      <c r="O838" t="s">
        <v>35</v>
      </c>
      <c r="P838" t="s">
        <v>35</v>
      </c>
      <c r="Q838" t="s">
        <v>35</v>
      </c>
      <c r="R838" t="s">
        <v>35</v>
      </c>
      <c r="S838">
        <v>0</v>
      </c>
      <c r="T838">
        <v>0</v>
      </c>
      <c r="U838">
        <v>1</v>
      </c>
      <c r="V838">
        <v>1</v>
      </c>
      <c r="W838">
        <v>0</v>
      </c>
      <c r="X838">
        <v>1</v>
      </c>
      <c r="Y838">
        <v>1</v>
      </c>
      <c r="Z838">
        <v>0</v>
      </c>
      <c r="AA838">
        <v>0</v>
      </c>
      <c r="AB838">
        <v>1</v>
      </c>
      <c r="AC838">
        <v>1</v>
      </c>
      <c r="AD838">
        <v>0</v>
      </c>
      <c r="AE838">
        <v>0</v>
      </c>
    </row>
    <row r="839" spans="1:31" x14ac:dyDescent="0.2">
      <c r="A839" t="s">
        <v>290</v>
      </c>
      <c r="B839" t="s">
        <v>107</v>
      </c>
      <c r="C839">
        <v>28</v>
      </c>
      <c r="D839" t="s">
        <v>78</v>
      </c>
      <c r="E839" t="s">
        <v>39</v>
      </c>
      <c r="F839" t="s">
        <v>54</v>
      </c>
      <c r="G839">
        <v>3904</v>
      </c>
      <c r="H839">
        <v>1</v>
      </c>
      <c r="I839">
        <v>1</v>
      </c>
      <c r="J839">
        <v>1</v>
      </c>
      <c r="K839">
        <v>0</v>
      </c>
      <c r="L839" t="s">
        <v>88</v>
      </c>
      <c r="M839" t="s">
        <v>56</v>
      </c>
      <c r="N839" t="s">
        <v>89</v>
      </c>
      <c r="O839" t="s">
        <v>51</v>
      </c>
      <c r="P839" t="s">
        <v>45</v>
      </c>
      <c r="Q839" t="s">
        <v>67</v>
      </c>
      <c r="R839">
        <v>0</v>
      </c>
      <c r="S839">
        <v>0</v>
      </c>
      <c r="T839">
        <v>0</v>
      </c>
      <c r="U839">
        <v>1</v>
      </c>
      <c r="V839">
        <v>1</v>
      </c>
      <c r="W839">
        <v>0</v>
      </c>
      <c r="X839">
        <v>1</v>
      </c>
      <c r="Y839">
        <v>0</v>
      </c>
      <c r="Z839">
        <v>0</v>
      </c>
      <c r="AA839">
        <v>0</v>
      </c>
      <c r="AB839">
        <v>1</v>
      </c>
      <c r="AC839">
        <v>1</v>
      </c>
      <c r="AD839">
        <v>0</v>
      </c>
      <c r="AE839">
        <v>0</v>
      </c>
    </row>
    <row r="840" spans="1:31" x14ac:dyDescent="0.2">
      <c r="A840" t="s">
        <v>290</v>
      </c>
      <c r="B840" t="s">
        <v>107</v>
      </c>
      <c r="C840">
        <v>28</v>
      </c>
      <c r="D840" t="s">
        <v>78</v>
      </c>
      <c r="E840" t="s">
        <v>52</v>
      </c>
      <c r="F840" t="s">
        <v>74</v>
      </c>
      <c r="G840">
        <v>38728</v>
      </c>
      <c r="H840">
        <v>1</v>
      </c>
      <c r="I840">
        <v>1</v>
      </c>
      <c r="J840">
        <v>1</v>
      </c>
      <c r="K840">
        <v>0</v>
      </c>
      <c r="L840" t="s">
        <v>35</v>
      </c>
      <c r="M840" t="s">
        <v>35</v>
      </c>
      <c r="N840" t="s">
        <v>35</v>
      </c>
      <c r="O840" t="s">
        <v>35</v>
      </c>
      <c r="P840" t="s">
        <v>35</v>
      </c>
      <c r="Q840" t="s">
        <v>35</v>
      </c>
      <c r="R840" t="s">
        <v>35</v>
      </c>
      <c r="S840">
        <v>0</v>
      </c>
      <c r="T840">
        <v>0</v>
      </c>
      <c r="U840">
        <v>1</v>
      </c>
      <c r="V840">
        <v>1</v>
      </c>
      <c r="W840">
        <v>0</v>
      </c>
      <c r="X840">
        <v>1</v>
      </c>
      <c r="Y840">
        <v>0</v>
      </c>
      <c r="Z840">
        <v>0</v>
      </c>
      <c r="AA840">
        <v>0</v>
      </c>
      <c r="AB840">
        <v>1</v>
      </c>
      <c r="AC840">
        <v>1</v>
      </c>
      <c r="AD840">
        <v>0</v>
      </c>
      <c r="AE840">
        <v>0</v>
      </c>
    </row>
    <row r="841" spans="1:31" x14ac:dyDescent="0.2">
      <c r="A841" t="s">
        <v>290</v>
      </c>
      <c r="B841" t="s">
        <v>107</v>
      </c>
      <c r="C841">
        <v>28</v>
      </c>
      <c r="D841" t="s">
        <v>78</v>
      </c>
      <c r="E841" t="s">
        <v>75</v>
      </c>
      <c r="F841" t="s">
        <v>35</v>
      </c>
      <c r="G841">
        <v>48955</v>
      </c>
      <c r="H841" t="s">
        <v>291</v>
      </c>
      <c r="I841" t="s">
        <v>292</v>
      </c>
      <c r="J841" t="s">
        <v>116</v>
      </c>
      <c r="K841" t="s">
        <v>35</v>
      </c>
      <c r="L841" t="s">
        <v>35</v>
      </c>
      <c r="M841" t="s">
        <v>35</v>
      </c>
      <c r="N841" t="s">
        <v>35</v>
      </c>
      <c r="O841" t="s">
        <v>35</v>
      </c>
      <c r="P841" t="s">
        <v>35</v>
      </c>
      <c r="Q841" t="s">
        <v>35</v>
      </c>
      <c r="R841" t="s">
        <v>35</v>
      </c>
      <c r="S841" t="s">
        <v>35</v>
      </c>
      <c r="T841" t="s">
        <v>35</v>
      </c>
      <c r="U841" t="s">
        <v>35</v>
      </c>
      <c r="V841" t="s">
        <v>35</v>
      </c>
      <c r="W841" t="s">
        <v>35</v>
      </c>
      <c r="X841" t="s">
        <v>35</v>
      </c>
      <c r="Y841" t="s">
        <v>35</v>
      </c>
      <c r="Z841" t="s">
        <v>35</v>
      </c>
      <c r="AA841" t="s">
        <v>35</v>
      </c>
      <c r="AB841" t="s">
        <v>35</v>
      </c>
      <c r="AC841" t="s">
        <v>35</v>
      </c>
      <c r="AD841" t="s">
        <v>35</v>
      </c>
      <c r="AE841" t="s">
        <v>35</v>
      </c>
    </row>
    <row r="842" spans="1:31" x14ac:dyDescent="0.2">
      <c r="A842" t="s">
        <v>293</v>
      </c>
      <c r="B842" t="s">
        <v>107</v>
      </c>
      <c r="C842">
        <v>27</v>
      </c>
      <c r="D842" t="s">
        <v>78</v>
      </c>
      <c r="E842" t="s">
        <v>34</v>
      </c>
      <c r="F842" t="s">
        <v>35</v>
      </c>
      <c r="G842">
        <v>38415</v>
      </c>
      <c r="H842" t="s">
        <v>35</v>
      </c>
      <c r="I842" t="s">
        <v>35</v>
      </c>
      <c r="J842" t="s">
        <v>35</v>
      </c>
      <c r="K842" t="s">
        <v>35</v>
      </c>
      <c r="L842" t="s">
        <v>35</v>
      </c>
      <c r="M842" t="s">
        <v>35</v>
      </c>
      <c r="N842" t="s">
        <v>35</v>
      </c>
      <c r="O842" t="s">
        <v>35</v>
      </c>
      <c r="P842" t="s">
        <v>35</v>
      </c>
      <c r="Q842" t="s">
        <v>35</v>
      </c>
      <c r="R842" t="s">
        <v>35</v>
      </c>
      <c r="S842" t="s">
        <v>35</v>
      </c>
      <c r="T842" t="s">
        <v>35</v>
      </c>
      <c r="U842" t="s">
        <v>35</v>
      </c>
      <c r="V842" t="s">
        <v>35</v>
      </c>
      <c r="W842" t="s">
        <v>35</v>
      </c>
      <c r="X842" t="s">
        <v>35</v>
      </c>
      <c r="Y842" t="s">
        <v>35</v>
      </c>
      <c r="Z842" t="s">
        <v>35</v>
      </c>
      <c r="AA842" t="s">
        <v>35</v>
      </c>
      <c r="AB842" t="s">
        <v>35</v>
      </c>
      <c r="AC842" t="s">
        <v>35</v>
      </c>
      <c r="AD842" t="s">
        <v>35</v>
      </c>
      <c r="AE842" t="s">
        <v>35</v>
      </c>
    </row>
    <row r="843" spans="1:31" x14ac:dyDescent="0.2">
      <c r="A843" t="s">
        <v>293</v>
      </c>
      <c r="B843" t="s">
        <v>107</v>
      </c>
      <c r="C843">
        <v>27</v>
      </c>
      <c r="D843" t="s">
        <v>78</v>
      </c>
      <c r="E843" t="s">
        <v>36</v>
      </c>
      <c r="F843" t="s">
        <v>37</v>
      </c>
      <c r="G843">
        <v>259694</v>
      </c>
      <c r="H843">
        <v>0</v>
      </c>
      <c r="I843">
        <v>0</v>
      </c>
      <c r="J843">
        <v>1</v>
      </c>
      <c r="K843">
        <v>0</v>
      </c>
      <c r="L843" t="s">
        <v>35</v>
      </c>
      <c r="M843" t="s">
        <v>35</v>
      </c>
      <c r="N843" t="s">
        <v>35</v>
      </c>
      <c r="O843" t="s">
        <v>35</v>
      </c>
      <c r="P843" t="s">
        <v>35</v>
      </c>
      <c r="Q843" t="s">
        <v>35</v>
      </c>
      <c r="R843" t="s">
        <v>35</v>
      </c>
      <c r="S843" t="s">
        <v>35</v>
      </c>
      <c r="T843" t="s">
        <v>35</v>
      </c>
      <c r="U843" t="s">
        <v>35</v>
      </c>
      <c r="V843" t="s">
        <v>35</v>
      </c>
      <c r="W843" t="s">
        <v>35</v>
      </c>
      <c r="X843" t="s">
        <v>35</v>
      </c>
      <c r="Y843" t="s">
        <v>35</v>
      </c>
      <c r="Z843" t="s">
        <v>35</v>
      </c>
      <c r="AA843" t="s">
        <v>35</v>
      </c>
      <c r="AB843" t="s">
        <v>35</v>
      </c>
      <c r="AC843" t="s">
        <v>35</v>
      </c>
      <c r="AD843" t="s">
        <v>35</v>
      </c>
      <c r="AE843" t="s">
        <v>35</v>
      </c>
    </row>
    <row r="844" spans="1:31" x14ac:dyDescent="0.2">
      <c r="A844" t="s">
        <v>293</v>
      </c>
      <c r="B844" t="s">
        <v>107</v>
      </c>
      <c r="C844">
        <v>27</v>
      </c>
      <c r="D844" t="s">
        <v>78</v>
      </c>
      <c r="E844" t="s">
        <v>36</v>
      </c>
      <c r="F844" t="s">
        <v>38</v>
      </c>
      <c r="G844">
        <v>549771</v>
      </c>
      <c r="H844">
        <v>1</v>
      </c>
      <c r="I844">
        <v>1</v>
      </c>
      <c r="J844">
        <v>1</v>
      </c>
      <c r="K844">
        <v>0</v>
      </c>
      <c r="L844" t="s">
        <v>35</v>
      </c>
      <c r="M844" t="s">
        <v>35</v>
      </c>
      <c r="N844" t="s">
        <v>35</v>
      </c>
      <c r="O844" t="s">
        <v>35</v>
      </c>
      <c r="P844" t="s">
        <v>35</v>
      </c>
      <c r="Q844" t="s">
        <v>35</v>
      </c>
      <c r="R844" t="s">
        <v>35</v>
      </c>
      <c r="S844" t="s">
        <v>35</v>
      </c>
      <c r="T844" t="s">
        <v>35</v>
      </c>
      <c r="U844" t="s">
        <v>35</v>
      </c>
      <c r="V844" t="s">
        <v>35</v>
      </c>
      <c r="W844" t="s">
        <v>35</v>
      </c>
      <c r="X844" t="s">
        <v>35</v>
      </c>
      <c r="Y844" t="s">
        <v>35</v>
      </c>
      <c r="Z844" t="s">
        <v>35</v>
      </c>
      <c r="AA844" t="s">
        <v>35</v>
      </c>
      <c r="AB844" t="s">
        <v>35</v>
      </c>
      <c r="AC844" t="s">
        <v>35</v>
      </c>
      <c r="AD844" t="s">
        <v>35</v>
      </c>
      <c r="AE844" t="s">
        <v>35</v>
      </c>
    </row>
    <row r="845" spans="1:31" x14ac:dyDescent="0.2">
      <c r="A845" t="s">
        <v>293</v>
      </c>
      <c r="B845" t="s">
        <v>107</v>
      </c>
      <c r="C845">
        <v>27</v>
      </c>
      <c r="D845" t="s">
        <v>78</v>
      </c>
      <c r="E845" t="s">
        <v>39</v>
      </c>
      <c r="F845" t="s">
        <v>47</v>
      </c>
      <c r="G845">
        <v>151574</v>
      </c>
      <c r="H845">
        <v>0</v>
      </c>
      <c r="I845">
        <v>1</v>
      </c>
      <c r="J845">
        <v>1</v>
      </c>
      <c r="K845">
        <v>0</v>
      </c>
      <c r="L845" t="s">
        <v>80</v>
      </c>
      <c r="M845" t="s">
        <v>79</v>
      </c>
      <c r="N845" t="s">
        <v>49</v>
      </c>
      <c r="O845" t="s">
        <v>67</v>
      </c>
      <c r="P845" t="s">
        <v>45</v>
      </c>
      <c r="Q845" t="s">
        <v>44</v>
      </c>
      <c r="R845">
        <v>0</v>
      </c>
      <c r="S845">
        <v>1</v>
      </c>
      <c r="T845">
        <v>0</v>
      </c>
      <c r="U845">
        <v>1</v>
      </c>
      <c r="V845">
        <v>1</v>
      </c>
      <c r="W845">
        <v>0</v>
      </c>
      <c r="X845">
        <v>1</v>
      </c>
      <c r="Y845">
        <v>0</v>
      </c>
      <c r="Z845">
        <v>1</v>
      </c>
      <c r="AA845">
        <v>0</v>
      </c>
      <c r="AB845">
        <v>0</v>
      </c>
      <c r="AC845">
        <v>1</v>
      </c>
      <c r="AD845">
        <v>0</v>
      </c>
      <c r="AE845">
        <v>0</v>
      </c>
    </row>
    <row r="846" spans="1:31" x14ac:dyDescent="0.2">
      <c r="A846" t="s">
        <v>293</v>
      </c>
      <c r="B846" t="s">
        <v>107</v>
      </c>
      <c r="C846">
        <v>27</v>
      </c>
      <c r="D846" t="s">
        <v>78</v>
      </c>
      <c r="E846" t="s">
        <v>39</v>
      </c>
      <c r="F846" t="s">
        <v>70</v>
      </c>
      <c r="G846">
        <v>8175</v>
      </c>
      <c r="H846">
        <v>0</v>
      </c>
      <c r="I846">
        <v>0</v>
      </c>
      <c r="J846">
        <v>1</v>
      </c>
      <c r="K846">
        <v>0</v>
      </c>
      <c r="L846" t="s">
        <v>72</v>
      </c>
      <c r="M846" t="s">
        <v>92</v>
      </c>
      <c r="N846" t="s">
        <v>73</v>
      </c>
      <c r="O846" t="s">
        <v>67</v>
      </c>
      <c r="P846" t="s">
        <v>51</v>
      </c>
      <c r="Q846" t="s">
        <v>44</v>
      </c>
      <c r="R846">
        <v>0</v>
      </c>
      <c r="S846">
        <v>1</v>
      </c>
      <c r="T846">
        <v>0</v>
      </c>
      <c r="U846">
        <v>1</v>
      </c>
      <c r="V846">
        <v>0</v>
      </c>
      <c r="W846">
        <v>0</v>
      </c>
      <c r="X846">
        <v>1</v>
      </c>
      <c r="Y846">
        <v>0</v>
      </c>
      <c r="Z846">
        <v>1</v>
      </c>
      <c r="AA846">
        <v>0</v>
      </c>
      <c r="AB846">
        <v>0</v>
      </c>
      <c r="AC846">
        <v>0</v>
      </c>
      <c r="AD846">
        <v>0</v>
      </c>
      <c r="AE846">
        <v>0</v>
      </c>
    </row>
    <row r="847" spans="1:31" x14ac:dyDescent="0.2">
      <c r="A847" t="s">
        <v>293</v>
      </c>
      <c r="B847" t="s">
        <v>107</v>
      </c>
      <c r="C847">
        <v>27</v>
      </c>
      <c r="D847" t="s">
        <v>78</v>
      </c>
      <c r="E847" t="s">
        <v>52</v>
      </c>
      <c r="F847" t="s">
        <v>58</v>
      </c>
      <c r="G847">
        <v>3020</v>
      </c>
      <c r="H847">
        <v>0</v>
      </c>
      <c r="I847">
        <v>0</v>
      </c>
      <c r="J847">
        <v>1</v>
      </c>
      <c r="K847">
        <v>0</v>
      </c>
      <c r="L847" t="s">
        <v>35</v>
      </c>
      <c r="M847" t="s">
        <v>35</v>
      </c>
      <c r="N847" t="s">
        <v>35</v>
      </c>
      <c r="O847" t="s">
        <v>35</v>
      </c>
      <c r="P847" t="s">
        <v>35</v>
      </c>
      <c r="Q847" t="s">
        <v>35</v>
      </c>
      <c r="R847" t="s">
        <v>35</v>
      </c>
      <c r="S847">
        <v>1</v>
      </c>
      <c r="T847">
        <v>0</v>
      </c>
      <c r="U847">
        <v>1</v>
      </c>
      <c r="V847">
        <v>0</v>
      </c>
      <c r="W847">
        <v>0</v>
      </c>
      <c r="X847">
        <v>1</v>
      </c>
      <c r="Y847">
        <v>0</v>
      </c>
      <c r="Z847">
        <v>1</v>
      </c>
      <c r="AA847">
        <v>0</v>
      </c>
      <c r="AB847">
        <v>0</v>
      </c>
      <c r="AC847">
        <v>0</v>
      </c>
      <c r="AD847">
        <v>0</v>
      </c>
      <c r="AE847">
        <v>0</v>
      </c>
    </row>
    <row r="848" spans="1:31" x14ac:dyDescent="0.2">
      <c r="A848" t="s">
        <v>293</v>
      </c>
      <c r="B848" t="s">
        <v>107</v>
      </c>
      <c r="C848">
        <v>27</v>
      </c>
      <c r="D848" t="s">
        <v>78</v>
      </c>
      <c r="E848" t="s">
        <v>39</v>
      </c>
      <c r="F848" t="s">
        <v>54</v>
      </c>
      <c r="G848">
        <v>2594</v>
      </c>
      <c r="H848">
        <v>0</v>
      </c>
      <c r="I848">
        <v>1</v>
      </c>
      <c r="J848">
        <v>0</v>
      </c>
      <c r="K848">
        <v>0</v>
      </c>
      <c r="L848" t="s">
        <v>89</v>
      </c>
      <c r="M848" t="s">
        <v>57</v>
      </c>
      <c r="N848" t="s">
        <v>56</v>
      </c>
      <c r="O848" t="s">
        <v>67</v>
      </c>
      <c r="P848" t="s">
        <v>46</v>
      </c>
      <c r="Q848" t="s">
        <v>45</v>
      </c>
      <c r="R848">
        <v>0</v>
      </c>
      <c r="S848">
        <v>0</v>
      </c>
      <c r="T848">
        <v>1</v>
      </c>
      <c r="U848">
        <v>1</v>
      </c>
      <c r="V848">
        <v>1</v>
      </c>
      <c r="W848">
        <v>0</v>
      </c>
      <c r="X848">
        <v>1</v>
      </c>
      <c r="Y848">
        <v>0</v>
      </c>
      <c r="Z848">
        <v>0</v>
      </c>
      <c r="AA848">
        <v>1</v>
      </c>
      <c r="AB848">
        <v>0</v>
      </c>
      <c r="AC848">
        <v>0</v>
      </c>
      <c r="AD848">
        <v>0</v>
      </c>
      <c r="AE848">
        <v>0</v>
      </c>
    </row>
    <row r="849" spans="1:31" x14ac:dyDescent="0.2">
      <c r="A849" t="s">
        <v>293</v>
      </c>
      <c r="B849" t="s">
        <v>107</v>
      </c>
      <c r="C849">
        <v>27</v>
      </c>
      <c r="D849" t="s">
        <v>78</v>
      </c>
      <c r="E849" t="s">
        <v>52</v>
      </c>
      <c r="F849" t="s">
        <v>74</v>
      </c>
      <c r="G849">
        <v>2545</v>
      </c>
      <c r="H849">
        <v>0</v>
      </c>
      <c r="I849">
        <v>1</v>
      </c>
      <c r="J849">
        <v>0</v>
      </c>
      <c r="K849">
        <v>0</v>
      </c>
      <c r="L849" t="s">
        <v>35</v>
      </c>
      <c r="M849" t="s">
        <v>35</v>
      </c>
      <c r="N849" t="s">
        <v>35</v>
      </c>
      <c r="O849" t="s">
        <v>35</v>
      </c>
      <c r="P849" t="s">
        <v>35</v>
      </c>
      <c r="Q849" t="s">
        <v>35</v>
      </c>
      <c r="R849" t="s">
        <v>35</v>
      </c>
      <c r="S849">
        <v>0</v>
      </c>
      <c r="T849">
        <v>1</v>
      </c>
      <c r="U849">
        <v>1</v>
      </c>
      <c r="V849">
        <v>1</v>
      </c>
      <c r="W849">
        <v>0</v>
      </c>
      <c r="X849">
        <v>1</v>
      </c>
      <c r="Y849">
        <v>0</v>
      </c>
      <c r="Z849">
        <v>0</v>
      </c>
      <c r="AA849">
        <v>1</v>
      </c>
      <c r="AB849">
        <v>0</v>
      </c>
      <c r="AC849">
        <v>0</v>
      </c>
      <c r="AD849">
        <v>0</v>
      </c>
      <c r="AE849">
        <v>0</v>
      </c>
    </row>
    <row r="850" spans="1:31" x14ac:dyDescent="0.2">
      <c r="A850" t="s">
        <v>293</v>
      </c>
      <c r="B850" t="s">
        <v>107</v>
      </c>
      <c r="C850">
        <v>27</v>
      </c>
      <c r="D850" t="s">
        <v>78</v>
      </c>
      <c r="E850" t="s">
        <v>39</v>
      </c>
      <c r="F850" t="s">
        <v>63</v>
      </c>
      <c r="G850">
        <v>6102</v>
      </c>
      <c r="H850">
        <v>1</v>
      </c>
      <c r="I850">
        <v>1</v>
      </c>
      <c r="J850">
        <v>0</v>
      </c>
      <c r="K850">
        <v>0</v>
      </c>
      <c r="L850" t="s">
        <v>66</v>
      </c>
      <c r="M850" t="s">
        <v>84</v>
      </c>
      <c r="N850" t="s">
        <v>85</v>
      </c>
      <c r="O850" t="s">
        <v>45</v>
      </c>
      <c r="P850" t="s">
        <v>46</v>
      </c>
      <c r="Q850" t="s">
        <v>51</v>
      </c>
      <c r="R850">
        <v>0</v>
      </c>
      <c r="S850">
        <v>0</v>
      </c>
      <c r="T850">
        <v>1</v>
      </c>
      <c r="U850">
        <v>0</v>
      </c>
      <c r="V850">
        <v>1</v>
      </c>
      <c r="W850">
        <v>0</v>
      </c>
      <c r="X850">
        <v>1</v>
      </c>
      <c r="Y850">
        <v>0</v>
      </c>
      <c r="Z850">
        <v>0</v>
      </c>
      <c r="AA850">
        <v>1</v>
      </c>
      <c r="AB850">
        <v>0</v>
      </c>
      <c r="AC850">
        <v>1</v>
      </c>
      <c r="AD850">
        <v>0</v>
      </c>
      <c r="AE850">
        <v>0</v>
      </c>
    </row>
    <row r="851" spans="1:31" x14ac:dyDescent="0.2">
      <c r="A851" t="s">
        <v>293</v>
      </c>
      <c r="B851" t="s">
        <v>107</v>
      </c>
      <c r="C851">
        <v>27</v>
      </c>
      <c r="D851" t="s">
        <v>78</v>
      </c>
      <c r="E851" t="s">
        <v>39</v>
      </c>
      <c r="F851" t="s">
        <v>40</v>
      </c>
      <c r="G851">
        <v>2356</v>
      </c>
      <c r="H851">
        <v>0</v>
      </c>
      <c r="I851">
        <v>1</v>
      </c>
      <c r="J851">
        <v>0</v>
      </c>
      <c r="K851">
        <v>0</v>
      </c>
      <c r="L851" t="s">
        <v>43</v>
      </c>
      <c r="M851" t="s">
        <v>41</v>
      </c>
      <c r="N851" t="s">
        <v>82</v>
      </c>
      <c r="O851" t="s">
        <v>46</v>
      </c>
      <c r="P851" t="s">
        <v>44</v>
      </c>
      <c r="Q851" t="s">
        <v>68</v>
      </c>
      <c r="R851">
        <v>1</v>
      </c>
      <c r="S851">
        <v>1</v>
      </c>
      <c r="T851">
        <v>1</v>
      </c>
      <c r="U851">
        <v>0</v>
      </c>
      <c r="V851">
        <v>0</v>
      </c>
      <c r="W851">
        <v>0</v>
      </c>
      <c r="X851">
        <v>1</v>
      </c>
      <c r="Y851">
        <v>0</v>
      </c>
      <c r="Z851">
        <v>1</v>
      </c>
      <c r="AA851">
        <v>0</v>
      </c>
      <c r="AB851">
        <v>0</v>
      </c>
      <c r="AC851">
        <v>0</v>
      </c>
      <c r="AD851">
        <v>0</v>
      </c>
      <c r="AE851">
        <v>0</v>
      </c>
    </row>
    <row r="852" spans="1:31" x14ac:dyDescent="0.2">
      <c r="A852" t="s">
        <v>293</v>
      </c>
      <c r="B852" t="s">
        <v>107</v>
      </c>
      <c r="C852">
        <v>27</v>
      </c>
      <c r="D852" t="s">
        <v>78</v>
      </c>
      <c r="E852" t="s">
        <v>52</v>
      </c>
      <c r="F852" t="s">
        <v>53</v>
      </c>
      <c r="G852">
        <v>4237</v>
      </c>
      <c r="H852">
        <v>1</v>
      </c>
      <c r="I852">
        <v>1</v>
      </c>
      <c r="J852">
        <v>0</v>
      </c>
      <c r="K852">
        <v>0</v>
      </c>
      <c r="L852" t="s">
        <v>35</v>
      </c>
      <c r="M852" t="s">
        <v>35</v>
      </c>
      <c r="N852" t="s">
        <v>35</v>
      </c>
      <c r="O852" t="s">
        <v>35</v>
      </c>
      <c r="P852" t="s">
        <v>35</v>
      </c>
      <c r="Q852" t="s">
        <v>35</v>
      </c>
      <c r="R852" t="s">
        <v>35</v>
      </c>
      <c r="S852">
        <v>1</v>
      </c>
      <c r="T852">
        <v>1</v>
      </c>
      <c r="U852">
        <v>0</v>
      </c>
      <c r="V852">
        <v>0</v>
      </c>
      <c r="W852">
        <v>0</v>
      </c>
      <c r="X852">
        <v>1</v>
      </c>
      <c r="Y852">
        <v>0</v>
      </c>
      <c r="Z852">
        <v>1</v>
      </c>
      <c r="AA852">
        <v>0</v>
      </c>
      <c r="AB852">
        <v>0</v>
      </c>
      <c r="AC852">
        <v>0</v>
      </c>
      <c r="AD852">
        <v>0</v>
      </c>
      <c r="AE852">
        <v>0</v>
      </c>
    </row>
    <row r="853" spans="1:31" x14ac:dyDescent="0.2">
      <c r="A853" t="s">
        <v>293</v>
      </c>
      <c r="B853" t="s">
        <v>107</v>
      </c>
      <c r="C853">
        <v>27</v>
      </c>
      <c r="D853" t="s">
        <v>78</v>
      </c>
      <c r="E853" t="s">
        <v>39</v>
      </c>
      <c r="F853" t="s">
        <v>59</v>
      </c>
      <c r="G853">
        <v>23439</v>
      </c>
      <c r="H853">
        <v>0</v>
      </c>
      <c r="I853">
        <v>1</v>
      </c>
      <c r="J853">
        <v>1</v>
      </c>
      <c r="K853">
        <v>0</v>
      </c>
      <c r="L853" t="s">
        <v>60</v>
      </c>
      <c r="M853" t="s">
        <v>83</v>
      </c>
      <c r="N853" t="s">
        <v>61</v>
      </c>
      <c r="O853" t="s">
        <v>44</v>
      </c>
      <c r="P853" t="s">
        <v>51</v>
      </c>
      <c r="Q853" t="s">
        <v>46</v>
      </c>
      <c r="R853">
        <v>0</v>
      </c>
      <c r="S853">
        <v>1</v>
      </c>
      <c r="T853">
        <v>1</v>
      </c>
      <c r="U853">
        <v>0</v>
      </c>
      <c r="V853">
        <v>0</v>
      </c>
      <c r="W853">
        <v>0</v>
      </c>
      <c r="X853">
        <v>1</v>
      </c>
      <c r="Y853">
        <v>0</v>
      </c>
      <c r="Z853">
        <v>0</v>
      </c>
      <c r="AA853">
        <v>1</v>
      </c>
      <c r="AB853">
        <v>0</v>
      </c>
      <c r="AC853">
        <v>0</v>
      </c>
      <c r="AD853">
        <v>0</v>
      </c>
      <c r="AE853">
        <v>0</v>
      </c>
    </row>
    <row r="854" spans="1:31" x14ac:dyDescent="0.2">
      <c r="A854" t="s">
        <v>293</v>
      </c>
      <c r="B854" t="s">
        <v>107</v>
      </c>
      <c r="C854">
        <v>27</v>
      </c>
      <c r="D854" t="s">
        <v>78</v>
      </c>
      <c r="E854" t="s">
        <v>52</v>
      </c>
      <c r="F854" t="s">
        <v>69</v>
      </c>
      <c r="G854">
        <v>3510</v>
      </c>
      <c r="H854">
        <v>0</v>
      </c>
      <c r="I854">
        <v>1</v>
      </c>
      <c r="J854">
        <v>1</v>
      </c>
      <c r="K854">
        <v>0</v>
      </c>
      <c r="L854" t="s">
        <v>35</v>
      </c>
      <c r="M854" t="s">
        <v>35</v>
      </c>
      <c r="N854" t="s">
        <v>35</v>
      </c>
      <c r="O854" t="s">
        <v>35</v>
      </c>
      <c r="P854" t="s">
        <v>35</v>
      </c>
      <c r="Q854" t="s">
        <v>35</v>
      </c>
      <c r="R854" t="s">
        <v>35</v>
      </c>
      <c r="S854">
        <v>1</v>
      </c>
      <c r="T854">
        <v>1</v>
      </c>
      <c r="U854">
        <v>0</v>
      </c>
      <c r="V854">
        <v>0</v>
      </c>
      <c r="W854">
        <v>0</v>
      </c>
      <c r="X854">
        <v>1</v>
      </c>
      <c r="Y854">
        <v>0</v>
      </c>
      <c r="Z854">
        <v>0</v>
      </c>
      <c r="AA854">
        <v>1</v>
      </c>
      <c r="AB854">
        <v>0</v>
      </c>
      <c r="AC854">
        <v>0</v>
      </c>
      <c r="AD854">
        <v>0</v>
      </c>
      <c r="AE854">
        <v>0</v>
      </c>
    </row>
    <row r="855" spans="1:31" x14ac:dyDescent="0.2">
      <c r="A855" t="s">
        <v>293</v>
      </c>
      <c r="B855" t="s">
        <v>107</v>
      </c>
      <c r="C855">
        <v>27</v>
      </c>
      <c r="D855" t="s">
        <v>78</v>
      </c>
      <c r="E855" t="s">
        <v>75</v>
      </c>
      <c r="F855" t="s">
        <v>35</v>
      </c>
      <c r="G855">
        <v>51474</v>
      </c>
      <c r="H855" t="s">
        <v>291</v>
      </c>
      <c r="I855" t="s">
        <v>292</v>
      </c>
      <c r="J855" t="s">
        <v>116</v>
      </c>
      <c r="K855" t="s">
        <v>35</v>
      </c>
      <c r="L855" t="s">
        <v>35</v>
      </c>
      <c r="M855" t="s">
        <v>35</v>
      </c>
      <c r="N855" t="s">
        <v>35</v>
      </c>
      <c r="O855" t="s">
        <v>35</v>
      </c>
      <c r="P855" t="s">
        <v>35</v>
      </c>
      <c r="Q855" t="s">
        <v>35</v>
      </c>
      <c r="R855" t="s">
        <v>35</v>
      </c>
      <c r="S855" t="s">
        <v>35</v>
      </c>
      <c r="T855" t="s">
        <v>35</v>
      </c>
      <c r="U855" t="s">
        <v>35</v>
      </c>
      <c r="V855" t="s">
        <v>35</v>
      </c>
      <c r="W855" t="s">
        <v>35</v>
      </c>
      <c r="X855" t="s">
        <v>35</v>
      </c>
      <c r="Y855" t="s">
        <v>35</v>
      </c>
      <c r="Z855" t="s">
        <v>35</v>
      </c>
      <c r="AA855" t="s">
        <v>35</v>
      </c>
      <c r="AB855" t="s">
        <v>35</v>
      </c>
      <c r="AC855" t="s">
        <v>35</v>
      </c>
      <c r="AD855" t="s">
        <v>35</v>
      </c>
      <c r="AE855" t="s">
        <v>35</v>
      </c>
    </row>
    <row r="856" spans="1:31" x14ac:dyDescent="0.2">
      <c r="A856" t="s">
        <v>294</v>
      </c>
      <c r="B856" t="s">
        <v>32</v>
      </c>
      <c r="C856">
        <v>53</v>
      </c>
      <c r="D856" t="s">
        <v>78</v>
      </c>
      <c r="E856" t="s">
        <v>34</v>
      </c>
      <c r="F856" t="s">
        <v>35</v>
      </c>
      <c r="G856">
        <v>556595</v>
      </c>
      <c r="H856" t="s">
        <v>35</v>
      </c>
      <c r="I856" t="s">
        <v>35</v>
      </c>
      <c r="J856" t="s">
        <v>35</v>
      </c>
      <c r="K856" t="s">
        <v>35</v>
      </c>
      <c r="L856" t="s">
        <v>35</v>
      </c>
      <c r="M856" t="s">
        <v>35</v>
      </c>
      <c r="N856" t="s">
        <v>35</v>
      </c>
      <c r="O856" t="s">
        <v>35</v>
      </c>
      <c r="P856" t="s">
        <v>35</v>
      </c>
      <c r="Q856" t="s">
        <v>35</v>
      </c>
      <c r="R856" t="s">
        <v>35</v>
      </c>
      <c r="S856" t="s">
        <v>35</v>
      </c>
      <c r="T856" t="s">
        <v>35</v>
      </c>
      <c r="U856" t="s">
        <v>35</v>
      </c>
      <c r="V856" t="s">
        <v>35</v>
      </c>
      <c r="W856" t="s">
        <v>35</v>
      </c>
      <c r="X856" t="s">
        <v>35</v>
      </c>
      <c r="Y856" t="s">
        <v>35</v>
      </c>
      <c r="Z856" t="s">
        <v>35</v>
      </c>
      <c r="AA856" t="s">
        <v>35</v>
      </c>
      <c r="AB856" t="s">
        <v>35</v>
      </c>
      <c r="AC856" t="s">
        <v>35</v>
      </c>
      <c r="AD856" t="s">
        <v>35</v>
      </c>
      <c r="AE856" t="s">
        <v>35</v>
      </c>
    </row>
    <row r="857" spans="1:31" x14ac:dyDescent="0.2">
      <c r="A857" t="s">
        <v>294</v>
      </c>
      <c r="B857" t="s">
        <v>32</v>
      </c>
      <c r="C857">
        <v>53</v>
      </c>
      <c r="D857" t="s">
        <v>78</v>
      </c>
      <c r="E857" t="s">
        <v>36</v>
      </c>
      <c r="F857" t="s">
        <v>38</v>
      </c>
      <c r="G857">
        <v>47918</v>
      </c>
      <c r="H857">
        <v>0</v>
      </c>
      <c r="I857">
        <v>0</v>
      </c>
      <c r="J857">
        <v>0</v>
      </c>
      <c r="K857">
        <v>1</v>
      </c>
      <c r="L857" t="s">
        <v>35</v>
      </c>
      <c r="M857" t="s">
        <v>35</v>
      </c>
      <c r="N857" t="s">
        <v>35</v>
      </c>
      <c r="O857" t="s">
        <v>35</v>
      </c>
      <c r="P857" t="s">
        <v>35</v>
      </c>
      <c r="Q857" t="s">
        <v>35</v>
      </c>
      <c r="R857" t="s">
        <v>35</v>
      </c>
      <c r="S857" t="s">
        <v>35</v>
      </c>
      <c r="T857" t="s">
        <v>35</v>
      </c>
      <c r="U857" t="s">
        <v>35</v>
      </c>
      <c r="V857" t="s">
        <v>35</v>
      </c>
      <c r="W857" t="s">
        <v>35</v>
      </c>
      <c r="X857" t="s">
        <v>35</v>
      </c>
      <c r="Y857" t="s">
        <v>35</v>
      </c>
      <c r="Z857" t="s">
        <v>35</v>
      </c>
      <c r="AA857" t="s">
        <v>35</v>
      </c>
      <c r="AB857" t="s">
        <v>35</v>
      </c>
      <c r="AC857" t="s">
        <v>35</v>
      </c>
      <c r="AD857" t="s">
        <v>35</v>
      </c>
      <c r="AE857" t="s">
        <v>35</v>
      </c>
    </row>
    <row r="858" spans="1:31" x14ac:dyDescent="0.2">
      <c r="A858" t="s">
        <v>294</v>
      </c>
      <c r="B858" t="s">
        <v>32</v>
      </c>
      <c r="C858">
        <v>53</v>
      </c>
      <c r="D858" t="s">
        <v>78</v>
      </c>
      <c r="E858" t="s">
        <v>36</v>
      </c>
      <c r="F858" t="s">
        <v>37</v>
      </c>
      <c r="G858">
        <v>103144</v>
      </c>
      <c r="H858">
        <v>0</v>
      </c>
      <c r="I858">
        <v>0</v>
      </c>
      <c r="J858">
        <v>0</v>
      </c>
      <c r="K858">
        <v>1</v>
      </c>
      <c r="L858" t="s">
        <v>35</v>
      </c>
      <c r="M858" t="s">
        <v>35</v>
      </c>
      <c r="N858" t="s">
        <v>35</v>
      </c>
      <c r="O858" t="s">
        <v>35</v>
      </c>
      <c r="P858" t="s">
        <v>35</v>
      </c>
      <c r="Q858" t="s">
        <v>35</v>
      </c>
      <c r="R858" t="s">
        <v>35</v>
      </c>
      <c r="S858" t="s">
        <v>35</v>
      </c>
      <c r="T858" t="s">
        <v>35</v>
      </c>
      <c r="U858" t="s">
        <v>35</v>
      </c>
      <c r="V858" t="s">
        <v>35</v>
      </c>
      <c r="W858" t="s">
        <v>35</v>
      </c>
      <c r="X858" t="s">
        <v>35</v>
      </c>
      <c r="Y858" t="s">
        <v>35</v>
      </c>
      <c r="Z858" t="s">
        <v>35</v>
      </c>
      <c r="AA858" t="s">
        <v>35</v>
      </c>
      <c r="AB858" t="s">
        <v>35</v>
      </c>
      <c r="AC858" t="s">
        <v>35</v>
      </c>
      <c r="AD858" t="s">
        <v>35</v>
      </c>
      <c r="AE858" t="s">
        <v>35</v>
      </c>
    </row>
    <row r="859" spans="1:31" x14ac:dyDescent="0.2">
      <c r="A859" t="s">
        <v>294</v>
      </c>
      <c r="B859" t="s">
        <v>32</v>
      </c>
      <c r="C859">
        <v>53</v>
      </c>
      <c r="D859" t="s">
        <v>78</v>
      </c>
      <c r="E859" t="s">
        <v>39</v>
      </c>
      <c r="F859" t="s">
        <v>47</v>
      </c>
      <c r="G859">
        <v>63327</v>
      </c>
      <c r="H859">
        <v>0</v>
      </c>
      <c r="I859">
        <v>0</v>
      </c>
      <c r="J859">
        <v>0</v>
      </c>
      <c r="K859">
        <v>1</v>
      </c>
      <c r="L859" t="s">
        <v>79</v>
      </c>
      <c r="M859" t="s">
        <v>50</v>
      </c>
      <c r="N859" t="s">
        <v>48</v>
      </c>
      <c r="O859" t="s">
        <v>45</v>
      </c>
      <c r="P859" t="s">
        <v>51</v>
      </c>
      <c r="Q859" t="s">
        <v>46</v>
      </c>
      <c r="R859">
        <v>0</v>
      </c>
      <c r="S859">
        <v>0</v>
      </c>
      <c r="T859">
        <v>1</v>
      </c>
      <c r="U859">
        <v>0</v>
      </c>
      <c r="V859">
        <v>1</v>
      </c>
      <c r="W859">
        <v>0</v>
      </c>
      <c r="X859">
        <v>1</v>
      </c>
      <c r="Y859">
        <v>0</v>
      </c>
      <c r="Z859">
        <v>0</v>
      </c>
      <c r="AA859">
        <v>0</v>
      </c>
      <c r="AB859">
        <v>0</v>
      </c>
      <c r="AC859">
        <v>0</v>
      </c>
      <c r="AD859">
        <v>0</v>
      </c>
      <c r="AE859">
        <v>1</v>
      </c>
    </row>
    <row r="860" spans="1:31" x14ac:dyDescent="0.2">
      <c r="A860" t="s">
        <v>294</v>
      </c>
      <c r="B860" t="s">
        <v>32</v>
      </c>
      <c r="C860">
        <v>53</v>
      </c>
      <c r="D860" t="s">
        <v>78</v>
      </c>
      <c r="E860" t="s">
        <v>39</v>
      </c>
      <c r="F860" t="s">
        <v>40</v>
      </c>
      <c r="G860">
        <v>66542</v>
      </c>
      <c r="H860">
        <v>0</v>
      </c>
      <c r="I860">
        <v>0</v>
      </c>
      <c r="J860">
        <v>1</v>
      </c>
      <c r="K860">
        <v>0</v>
      </c>
      <c r="L860" t="s">
        <v>91</v>
      </c>
      <c r="M860" t="s">
        <v>43</v>
      </c>
      <c r="N860" t="s">
        <v>81</v>
      </c>
      <c r="O860" t="s">
        <v>51</v>
      </c>
      <c r="P860" t="s">
        <v>46</v>
      </c>
      <c r="Q860" t="s">
        <v>67</v>
      </c>
      <c r="R860">
        <v>0</v>
      </c>
      <c r="S860">
        <v>0</v>
      </c>
      <c r="T860">
        <v>1</v>
      </c>
      <c r="U860">
        <v>1</v>
      </c>
      <c r="V860">
        <v>0</v>
      </c>
      <c r="W860">
        <v>0</v>
      </c>
      <c r="X860">
        <v>1</v>
      </c>
      <c r="Y860">
        <v>0</v>
      </c>
      <c r="Z860">
        <v>0</v>
      </c>
      <c r="AA860">
        <v>0</v>
      </c>
      <c r="AB860">
        <v>1</v>
      </c>
      <c r="AC860">
        <v>0</v>
      </c>
      <c r="AD860">
        <v>0</v>
      </c>
      <c r="AE860">
        <v>0</v>
      </c>
    </row>
    <row r="861" spans="1:31" x14ac:dyDescent="0.2">
      <c r="A861" t="s">
        <v>294</v>
      </c>
      <c r="B861" t="s">
        <v>32</v>
      </c>
      <c r="C861">
        <v>53</v>
      </c>
      <c r="D861" t="s">
        <v>78</v>
      </c>
      <c r="E861" t="s">
        <v>52</v>
      </c>
      <c r="F861" t="s">
        <v>53</v>
      </c>
      <c r="G861">
        <v>66608</v>
      </c>
      <c r="H861">
        <v>1</v>
      </c>
      <c r="I861">
        <v>1</v>
      </c>
      <c r="J861">
        <v>1</v>
      </c>
      <c r="K861">
        <v>0</v>
      </c>
      <c r="L861" t="s">
        <v>35</v>
      </c>
      <c r="M861" t="s">
        <v>35</v>
      </c>
      <c r="N861" t="s">
        <v>35</v>
      </c>
      <c r="O861" t="s">
        <v>35</v>
      </c>
      <c r="P861" t="s">
        <v>35</v>
      </c>
      <c r="Q861" t="s">
        <v>35</v>
      </c>
      <c r="R861" t="s">
        <v>35</v>
      </c>
      <c r="S861">
        <v>0</v>
      </c>
      <c r="T861">
        <v>1</v>
      </c>
      <c r="U861">
        <v>1</v>
      </c>
      <c r="V861">
        <v>0</v>
      </c>
      <c r="W861">
        <v>0</v>
      </c>
      <c r="X861">
        <v>1</v>
      </c>
      <c r="Y861">
        <v>0</v>
      </c>
      <c r="Z861">
        <v>0</v>
      </c>
      <c r="AA861">
        <v>0</v>
      </c>
      <c r="AB861">
        <v>1</v>
      </c>
      <c r="AC861">
        <v>0</v>
      </c>
      <c r="AD861">
        <v>0</v>
      </c>
      <c r="AE861">
        <v>0</v>
      </c>
    </row>
    <row r="862" spans="1:31" x14ac:dyDescent="0.2">
      <c r="A862" t="s">
        <v>294</v>
      </c>
      <c r="B862" t="s">
        <v>32</v>
      </c>
      <c r="C862">
        <v>53</v>
      </c>
      <c r="D862" t="s">
        <v>78</v>
      </c>
      <c r="E862" t="s">
        <v>39</v>
      </c>
      <c r="F862" t="s">
        <v>63</v>
      </c>
      <c r="G862">
        <v>33908</v>
      </c>
      <c r="H862">
        <v>1</v>
      </c>
      <c r="I862">
        <v>0</v>
      </c>
      <c r="J862">
        <v>1</v>
      </c>
      <c r="K862">
        <v>0</v>
      </c>
      <c r="L862" t="s">
        <v>64</v>
      </c>
      <c r="M862" t="s">
        <v>84</v>
      </c>
      <c r="N862" t="s">
        <v>90</v>
      </c>
      <c r="O862" t="s">
        <v>67</v>
      </c>
      <c r="P862" t="s">
        <v>46</v>
      </c>
      <c r="Q862" t="s">
        <v>44</v>
      </c>
      <c r="R862">
        <v>0</v>
      </c>
      <c r="S862">
        <v>1</v>
      </c>
      <c r="T862">
        <v>1</v>
      </c>
      <c r="U862">
        <v>1</v>
      </c>
      <c r="V862">
        <v>0</v>
      </c>
      <c r="W862">
        <v>0</v>
      </c>
      <c r="X862">
        <v>1</v>
      </c>
      <c r="Y862">
        <v>0</v>
      </c>
      <c r="Z862">
        <v>1</v>
      </c>
      <c r="AA862">
        <v>0</v>
      </c>
      <c r="AB862">
        <v>1</v>
      </c>
      <c r="AC862">
        <v>0</v>
      </c>
      <c r="AD862">
        <v>0</v>
      </c>
      <c r="AE862">
        <v>0</v>
      </c>
    </row>
    <row r="863" spans="1:31" x14ac:dyDescent="0.2">
      <c r="A863" t="s">
        <v>294</v>
      </c>
      <c r="B863" t="s">
        <v>32</v>
      </c>
      <c r="C863">
        <v>53</v>
      </c>
      <c r="D863" t="s">
        <v>78</v>
      </c>
      <c r="E863" t="s">
        <v>39</v>
      </c>
      <c r="F863" t="s">
        <v>54</v>
      </c>
      <c r="G863">
        <v>18606</v>
      </c>
      <c r="H863">
        <v>0</v>
      </c>
      <c r="I863">
        <v>1</v>
      </c>
      <c r="J863">
        <v>1</v>
      </c>
      <c r="K863">
        <v>0</v>
      </c>
      <c r="L863" t="s">
        <v>56</v>
      </c>
      <c r="M863" t="s">
        <v>89</v>
      </c>
      <c r="N863" t="s">
        <v>55</v>
      </c>
      <c r="O863" t="s">
        <v>45</v>
      </c>
      <c r="P863" t="s">
        <v>67</v>
      </c>
      <c r="Q863" t="s">
        <v>44</v>
      </c>
      <c r="R863">
        <v>0</v>
      </c>
      <c r="S863">
        <v>1</v>
      </c>
      <c r="T863">
        <v>0</v>
      </c>
      <c r="U863">
        <v>1</v>
      </c>
      <c r="V863">
        <v>1</v>
      </c>
      <c r="W863">
        <v>0</v>
      </c>
      <c r="X863">
        <v>1</v>
      </c>
      <c r="Y863">
        <v>0</v>
      </c>
      <c r="Z863">
        <v>1</v>
      </c>
      <c r="AA863">
        <v>0</v>
      </c>
      <c r="AB863">
        <v>1</v>
      </c>
      <c r="AC863">
        <v>0</v>
      </c>
      <c r="AD863">
        <v>0</v>
      </c>
      <c r="AE863">
        <v>0</v>
      </c>
    </row>
    <row r="864" spans="1:31" x14ac:dyDescent="0.2">
      <c r="A864" t="s">
        <v>294</v>
      </c>
      <c r="B864" t="s">
        <v>32</v>
      </c>
      <c r="C864">
        <v>53</v>
      </c>
      <c r="D864" t="s">
        <v>78</v>
      </c>
      <c r="E864" t="s">
        <v>52</v>
      </c>
      <c r="F864" t="s">
        <v>74</v>
      </c>
      <c r="G864">
        <v>23342</v>
      </c>
      <c r="H864">
        <v>1</v>
      </c>
      <c r="I864">
        <v>0</v>
      </c>
      <c r="J864">
        <v>0</v>
      </c>
      <c r="K864">
        <v>0</v>
      </c>
      <c r="L864" t="s">
        <v>35</v>
      </c>
      <c r="M864" t="s">
        <v>35</v>
      </c>
      <c r="N864" t="s">
        <v>35</v>
      </c>
      <c r="O864" t="s">
        <v>35</v>
      </c>
      <c r="P864" t="s">
        <v>35</v>
      </c>
      <c r="Q864" t="s">
        <v>35</v>
      </c>
      <c r="R864" t="s">
        <v>35</v>
      </c>
      <c r="S864">
        <v>1</v>
      </c>
      <c r="T864">
        <v>0</v>
      </c>
      <c r="U864">
        <v>1</v>
      </c>
      <c r="V864">
        <v>1</v>
      </c>
      <c r="W864">
        <v>0</v>
      </c>
      <c r="X864">
        <v>1</v>
      </c>
      <c r="Y864">
        <v>0</v>
      </c>
      <c r="Z864">
        <v>1</v>
      </c>
      <c r="AA864">
        <v>0</v>
      </c>
      <c r="AB864">
        <v>1</v>
      </c>
      <c r="AC864">
        <v>0</v>
      </c>
      <c r="AD864">
        <v>0</v>
      </c>
      <c r="AE864">
        <v>0</v>
      </c>
    </row>
    <row r="865" spans="1:31" x14ac:dyDescent="0.2">
      <c r="A865" t="s">
        <v>294</v>
      </c>
      <c r="B865" t="s">
        <v>32</v>
      </c>
      <c r="C865">
        <v>53</v>
      </c>
      <c r="D865" t="s">
        <v>78</v>
      </c>
      <c r="E865" t="s">
        <v>39</v>
      </c>
      <c r="F865" t="s">
        <v>59</v>
      </c>
      <c r="G865">
        <v>28910</v>
      </c>
      <c r="H865">
        <v>0</v>
      </c>
      <c r="I865">
        <v>0</v>
      </c>
      <c r="J865">
        <v>0</v>
      </c>
      <c r="K865">
        <v>1</v>
      </c>
      <c r="L865" t="s">
        <v>83</v>
      </c>
      <c r="M865" t="s">
        <v>94</v>
      </c>
      <c r="N865" t="s">
        <v>61</v>
      </c>
      <c r="O865" t="s">
        <v>51</v>
      </c>
      <c r="P865" t="s">
        <v>68</v>
      </c>
      <c r="Q865" t="s">
        <v>46</v>
      </c>
      <c r="R865">
        <v>1</v>
      </c>
      <c r="S865">
        <v>0</v>
      </c>
      <c r="T865">
        <v>1</v>
      </c>
      <c r="U865">
        <v>0</v>
      </c>
      <c r="V865">
        <v>0</v>
      </c>
      <c r="W865">
        <v>0</v>
      </c>
      <c r="X865">
        <v>1</v>
      </c>
      <c r="Y865">
        <v>0</v>
      </c>
      <c r="Z865">
        <v>0</v>
      </c>
      <c r="AA865">
        <v>0</v>
      </c>
      <c r="AB865">
        <v>0</v>
      </c>
      <c r="AC865">
        <v>0</v>
      </c>
      <c r="AD865">
        <v>0</v>
      </c>
      <c r="AE865">
        <v>1</v>
      </c>
    </row>
    <row r="866" spans="1:31" x14ac:dyDescent="0.2">
      <c r="A866" t="s">
        <v>294</v>
      </c>
      <c r="B866" t="s">
        <v>32</v>
      </c>
      <c r="C866">
        <v>53</v>
      </c>
      <c r="D866" t="s">
        <v>78</v>
      </c>
      <c r="E866" t="s">
        <v>52</v>
      </c>
      <c r="F866" t="s">
        <v>69</v>
      </c>
      <c r="G866">
        <v>132600</v>
      </c>
      <c r="H866">
        <v>0</v>
      </c>
      <c r="I866">
        <v>0</v>
      </c>
      <c r="J866">
        <v>1</v>
      </c>
      <c r="K866">
        <v>0</v>
      </c>
      <c r="L866" t="s">
        <v>35</v>
      </c>
      <c r="M866" t="s">
        <v>35</v>
      </c>
      <c r="N866" t="s">
        <v>35</v>
      </c>
      <c r="O866" t="s">
        <v>35</v>
      </c>
      <c r="P866" t="s">
        <v>35</v>
      </c>
      <c r="Q866" t="s">
        <v>35</v>
      </c>
      <c r="R866" t="s">
        <v>35</v>
      </c>
      <c r="S866">
        <v>0</v>
      </c>
      <c r="T866">
        <v>1</v>
      </c>
      <c r="U866">
        <v>0</v>
      </c>
      <c r="V866">
        <v>0</v>
      </c>
      <c r="W866">
        <v>0</v>
      </c>
      <c r="X866">
        <v>1</v>
      </c>
      <c r="Y866">
        <v>0</v>
      </c>
      <c r="Z866">
        <v>0</v>
      </c>
      <c r="AA866">
        <v>0</v>
      </c>
      <c r="AB866">
        <v>0</v>
      </c>
      <c r="AC866">
        <v>0</v>
      </c>
      <c r="AD866">
        <v>0</v>
      </c>
      <c r="AE866">
        <v>1</v>
      </c>
    </row>
    <row r="867" spans="1:31" x14ac:dyDescent="0.2">
      <c r="A867" t="s">
        <v>294</v>
      </c>
      <c r="B867" t="s">
        <v>32</v>
      </c>
      <c r="C867">
        <v>53</v>
      </c>
      <c r="D867" t="s">
        <v>78</v>
      </c>
      <c r="E867" t="s">
        <v>39</v>
      </c>
      <c r="F867" t="s">
        <v>70</v>
      </c>
      <c r="G867">
        <v>39869</v>
      </c>
      <c r="H867">
        <v>0</v>
      </c>
      <c r="I867">
        <v>1</v>
      </c>
      <c r="J867">
        <v>1</v>
      </c>
      <c r="K867">
        <v>0</v>
      </c>
      <c r="L867" t="s">
        <v>92</v>
      </c>
      <c r="M867" t="s">
        <v>86</v>
      </c>
      <c r="N867" t="s">
        <v>93</v>
      </c>
      <c r="O867" t="s">
        <v>51</v>
      </c>
      <c r="P867" t="s">
        <v>46</v>
      </c>
      <c r="Q867" t="s">
        <v>68</v>
      </c>
      <c r="R867">
        <v>1</v>
      </c>
      <c r="S867">
        <v>0</v>
      </c>
      <c r="T867">
        <v>1</v>
      </c>
      <c r="U867">
        <v>0</v>
      </c>
      <c r="V867">
        <v>0</v>
      </c>
      <c r="W867">
        <v>0</v>
      </c>
      <c r="X867">
        <v>1</v>
      </c>
      <c r="Y867">
        <v>1</v>
      </c>
      <c r="Z867">
        <v>0</v>
      </c>
      <c r="AA867">
        <v>1</v>
      </c>
      <c r="AB867">
        <v>0</v>
      </c>
      <c r="AC867">
        <v>0</v>
      </c>
      <c r="AD867">
        <v>0</v>
      </c>
      <c r="AE867">
        <v>0</v>
      </c>
    </row>
    <row r="868" spans="1:31" x14ac:dyDescent="0.2">
      <c r="A868" t="s">
        <v>294</v>
      </c>
      <c r="B868" t="s">
        <v>32</v>
      </c>
      <c r="C868">
        <v>53</v>
      </c>
      <c r="D868" t="s">
        <v>78</v>
      </c>
      <c r="E868" t="s">
        <v>52</v>
      </c>
      <c r="F868" t="s">
        <v>58</v>
      </c>
      <c r="G868">
        <v>30773</v>
      </c>
      <c r="H868">
        <v>1</v>
      </c>
      <c r="I868">
        <v>0</v>
      </c>
      <c r="J868">
        <v>0</v>
      </c>
      <c r="K868">
        <v>0</v>
      </c>
      <c r="L868" t="s">
        <v>35</v>
      </c>
      <c r="M868" t="s">
        <v>35</v>
      </c>
      <c r="N868" t="s">
        <v>35</v>
      </c>
      <c r="O868" t="s">
        <v>35</v>
      </c>
      <c r="P868" t="s">
        <v>35</v>
      </c>
      <c r="Q868" t="s">
        <v>35</v>
      </c>
      <c r="R868" t="s">
        <v>35</v>
      </c>
      <c r="S868">
        <v>0</v>
      </c>
      <c r="T868">
        <v>1</v>
      </c>
      <c r="U868">
        <v>0</v>
      </c>
      <c r="V868">
        <v>0</v>
      </c>
      <c r="W868">
        <v>0</v>
      </c>
      <c r="X868">
        <v>1</v>
      </c>
      <c r="Y868">
        <v>1</v>
      </c>
      <c r="Z868">
        <v>0</v>
      </c>
      <c r="AA868">
        <v>1</v>
      </c>
      <c r="AB868">
        <v>0</v>
      </c>
      <c r="AC868">
        <v>0</v>
      </c>
      <c r="AD868">
        <v>0</v>
      </c>
      <c r="AE868">
        <v>0</v>
      </c>
    </row>
    <row r="869" spans="1:31" x14ac:dyDescent="0.2">
      <c r="A869" t="s">
        <v>294</v>
      </c>
      <c r="B869" t="s">
        <v>32</v>
      </c>
      <c r="C869">
        <v>53</v>
      </c>
      <c r="D869" t="s">
        <v>78</v>
      </c>
      <c r="E869" t="s">
        <v>75</v>
      </c>
      <c r="F869" t="s">
        <v>35</v>
      </c>
      <c r="G869">
        <v>229179</v>
      </c>
      <c r="H869" t="s">
        <v>295</v>
      </c>
      <c r="I869" t="s">
        <v>296</v>
      </c>
      <c r="J869" t="s">
        <v>297</v>
      </c>
      <c r="K869" t="s">
        <v>35</v>
      </c>
      <c r="L869" t="s">
        <v>35</v>
      </c>
      <c r="M869" t="s">
        <v>35</v>
      </c>
      <c r="N869" t="s">
        <v>35</v>
      </c>
      <c r="O869" t="s">
        <v>35</v>
      </c>
      <c r="P869" t="s">
        <v>35</v>
      </c>
      <c r="Q869" t="s">
        <v>35</v>
      </c>
      <c r="R869" t="s">
        <v>35</v>
      </c>
      <c r="S869" t="s">
        <v>35</v>
      </c>
      <c r="T869" t="s">
        <v>35</v>
      </c>
      <c r="U869" t="s">
        <v>35</v>
      </c>
      <c r="V869" t="s">
        <v>35</v>
      </c>
      <c r="W869" t="s">
        <v>35</v>
      </c>
      <c r="X869" t="s">
        <v>35</v>
      </c>
      <c r="Y869" t="s">
        <v>35</v>
      </c>
      <c r="Z869" t="s">
        <v>35</v>
      </c>
      <c r="AA869" t="s">
        <v>35</v>
      </c>
      <c r="AB869" t="s">
        <v>35</v>
      </c>
      <c r="AC869" t="s">
        <v>35</v>
      </c>
      <c r="AD869" t="s">
        <v>35</v>
      </c>
      <c r="AE869" t="s">
        <v>35</v>
      </c>
    </row>
    <row r="870" spans="1:31" x14ac:dyDescent="0.2">
      <c r="A870" t="s">
        <v>298</v>
      </c>
      <c r="B870" t="s">
        <v>102</v>
      </c>
      <c r="C870">
        <v>31</v>
      </c>
      <c r="D870" t="s">
        <v>33</v>
      </c>
      <c r="E870" t="s">
        <v>34</v>
      </c>
      <c r="F870" t="s">
        <v>35</v>
      </c>
      <c r="G870">
        <v>23430</v>
      </c>
      <c r="H870" t="s">
        <v>35</v>
      </c>
      <c r="I870" t="s">
        <v>35</v>
      </c>
      <c r="J870" t="s">
        <v>35</v>
      </c>
      <c r="K870" t="s">
        <v>35</v>
      </c>
      <c r="L870" t="s">
        <v>35</v>
      </c>
      <c r="M870" t="s">
        <v>35</v>
      </c>
      <c r="N870" t="s">
        <v>35</v>
      </c>
      <c r="O870" t="s">
        <v>35</v>
      </c>
      <c r="P870" t="s">
        <v>35</v>
      </c>
      <c r="Q870" t="s">
        <v>35</v>
      </c>
      <c r="R870" t="s">
        <v>35</v>
      </c>
      <c r="S870" t="s">
        <v>35</v>
      </c>
      <c r="T870" t="s">
        <v>35</v>
      </c>
      <c r="U870" t="s">
        <v>35</v>
      </c>
      <c r="V870" t="s">
        <v>35</v>
      </c>
      <c r="W870" t="s">
        <v>35</v>
      </c>
      <c r="X870" t="s">
        <v>35</v>
      </c>
      <c r="Y870" t="s">
        <v>35</v>
      </c>
      <c r="Z870" t="s">
        <v>35</v>
      </c>
      <c r="AA870" t="s">
        <v>35</v>
      </c>
      <c r="AB870" t="s">
        <v>35</v>
      </c>
      <c r="AC870" t="s">
        <v>35</v>
      </c>
      <c r="AD870" t="s">
        <v>35</v>
      </c>
      <c r="AE870" t="s">
        <v>35</v>
      </c>
    </row>
    <row r="871" spans="1:31" x14ac:dyDescent="0.2">
      <c r="A871" t="s">
        <v>298</v>
      </c>
      <c r="B871" t="s">
        <v>102</v>
      </c>
      <c r="C871">
        <v>31</v>
      </c>
      <c r="D871" t="s">
        <v>33</v>
      </c>
      <c r="E871" t="s">
        <v>36</v>
      </c>
      <c r="F871" t="s">
        <v>38</v>
      </c>
      <c r="G871">
        <v>42628</v>
      </c>
      <c r="H871">
        <v>0</v>
      </c>
      <c r="I871">
        <v>0</v>
      </c>
      <c r="J871">
        <v>0</v>
      </c>
      <c r="K871">
        <v>1</v>
      </c>
      <c r="L871" t="s">
        <v>35</v>
      </c>
      <c r="M871" t="s">
        <v>35</v>
      </c>
      <c r="N871" t="s">
        <v>35</v>
      </c>
      <c r="O871" t="s">
        <v>35</v>
      </c>
      <c r="P871" t="s">
        <v>35</v>
      </c>
      <c r="Q871" t="s">
        <v>35</v>
      </c>
      <c r="R871" t="s">
        <v>35</v>
      </c>
      <c r="S871" t="s">
        <v>35</v>
      </c>
      <c r="T871" t="s">
        <v>35</v>
      </c>
      <c r="U871" t="s">
        <v>35</v>
      </c>
      <c r="V871" t="s">
        <v>35</v>
      </c>
      <c r="W871" t="s">
        <v>35</v>
      </c>
      <c r="X871" t="s">
        <v>35</v>
      </c>
      <c r="Y871" t="s">
        <v>35</v>
      </c>
      <c r="Z871" t="s">
        <v>35</v>
      </c>
      <c r="AA871" t="s">
        <v>35</v>
      </c>
      <c r="AB871" t="s">
        <v>35</v>
      </c>
      <c r="AC871" t="s">
        <v>35</v>
      </c>
      <c r="AD871" t="s">
        <v>35</v>
      </c>
      <c r="AE871" t="s">
        <v>35</v>
      </c>
    </row>
    <row r="872" spans="1:31" x14ac:dyDescent="0.2">
      <c r="A872" t="s">
        <v>298</v>
      </c>
      <c r="B872" t="s">
        <v>102</v>
      </c>
      <c r="C872">
        <v>31</v>
      </c>
      <c r="D872" t="s">
        <v>33</v>
      </c>
      <c r="E872" t="s">
        <v>36</v>
      </c>
      <c r="F872" t="s">
        <v>37</v>
      </c>
      <c r="G872">
        <v>37544</v>
      </c>
      <c r="H872">
        <v>0</v>
      </c>
      <c r="I872">
        <v>0</v>
      </c>
      <c r="J872">
        <v>1</v>
      </c>
      <c r="K872">
        <v>0</v>
      </c>
      <c r="L872" t="s">
        <v>35</v>
      </c>
      <c r="M872" t="s">
        <v>35</v>
      </c>
      <c r="N872" t="s">
        <v>35</v>
      </c>
      <c r="O872" t="s">
        <v>35</v>
      </c>
      <c r="P872" t="s">
        <v>35</v>
      </c>
      <c r="Q872" t="s">
        <v>35</v>
      </c>
      <c r="R872" t="s">
        <v>35</v>
      </c>
      <c r="S872" t="s">
        <v>35</v>
      </c>
      <c r="T872" t="s">
        <v>35</v>
      </c>
      <c r="U872" t="s">
        <v>35</v>
      </c>
      <c r="V872" t="s">
        <v>35</v>
      </c>
      <c r="W872" t="s">
        <v>35</v>
      </c>
      <c r="X872" t="s">
        <v>35</v>
      </c>
      <c r="Y872" t="s">
        <v>35</v>
      </c>
      <c r="Z872" t="s">
        <v>35</v>
      </c>
      <c r="AA872" t="s">
        <v>35</v>
      </c>
      <c r="AB872" t="s">
        <v>35</v>
      </c>
      <c r="AC872" t="s">
        <v>35</v>
      </c>
      <c r="AD872" t="s">
        <v>35</v>
      </c>
      <c r="AE872" t="s">
        <v>35</v>
      </c>
    </row>
    <row r="873" spans="1:31" x14ac:dyDescent="0.2">
      <c r="A873" t="s">
        <v>298</v>
      </c>
      <c r="B873" t="s">
        <v>102</v>
      </c>
      <c r="C873">
        <v>31</v>
      </c>
      <c r="D873" t="s">
        <v>33</v>
      </c>
      <c r="E873" t="s">
        <v>39</v>
      </c>
      <c r="F873" t="s">
        <v>70</v>
      </c>
      <c r="G873">
        <v>239716</v>
      </c>
      <c r="H873">
        <v>0</v>
      </c>
      <c r="I873">
        <v>1</v>
      </c>
      <c r="J873">
        <v>0</v>
      </c>
      <c r="K873">
        <v>0</v>
      </c>
      <c r="L873" t="s">
        <v>92</v>
      </c>
      <c r="M873" t="s">
        <v>93</v>
      </c>
      <c r="N873" t="s">
        <v>71</v>
      </c>
      <c r="O873" t="s">
        <v>51</v>
      </c>
      <c r="P873" t="s">
        <v>68</v>
      </c>
      <c r="Q873" t="s">
        <v>45</v>
      </c>
      <c r="R873">
        <v>1</v>
      </c>
      <c r="S873">
        <v>0</v>
      </c>
      <c r="T873">
        <v>0</v>
      </c>
      <c r="U873">
        <v>0</v>
      </c>
      <c r="V873">
        <v>1</v>
      </c>
      <c r="W873">
        <v>0</v>
      </c>
      <c r="X873">
        <v>1</v>
      </c>
      <c r="Y873">
        <v>1</v>
      </c>
      <c r="Z873">
        <v>0</v>
      </c>
      <c r="AA873">
        <v>0</v>
      </c>
      <c r="AB873">
        <v>0</v>
      </c>
      <c r="AC873">
        <v>0</v>
      </c>
      <c r="AD873">
        <v>0</v>
      </c>
      <c r="AE873">
        <v>0</v>
      </c>
    </row>
    <row r="874" spans="1:31" x14ac:dyDescent="0.2">
      <c r="A874" t="s">
        <v>298</v>
      </c>
      <c r="B874" t="s">
        <v>102</v>
      </c>
      <c r="C874">
        <v>31</v>
      </c>
      <c r="D874" t="s">
        <v>33</v>
      </c>
      <c r="E874" t="s">
        <v>52</v>
      </c>
      <c r="F874" t="s">
        <v>58</v>
      </c>
      <c r="G874">
        <v>28268</v>
      </c>
      <c r="H874">
        <v>1</v>
      </c>
      <c r="I874">
        <v>1</v>
      </c>
      <c r="J874">
        <v>0</v>
      </c>
      <c r="K874">
        <v>0</v>
      </c>
      <c r="L874" t="s">
        <v>35</v>
      </c>
      <c r="M874" t="s">
        <v>35</v>
      </c>
      <c r="N874" t="s">
        <v>35</v>
      </c>
      <c r="O874" t="s">
        <v>35</v>
      </c>
      <c r="P874" t="s">
        <v>35</v>
      </c>
      <c r="Q874" t="s">
        <v>35</v>
      </c>
      <c r="R874" t="s">
        <v>35</v>
      </c>
      <c r="S874">
        <v>0</v>
      </c>
      <c r="T874">
        <v>0</v>
      </c>
      <c r="U874">
        <v>0</v>
      </c>
      <c r="V874">
        <v>1</v>
      </c>
      <c r="W874">
        <v>0</v>
      </c>
      <c r="X874">
        <v>1</v>
      </c>
      <c r="Y874">
        <v>1</v>
      </c>
      <c r="Z874">
        <v>0</v>
      </c>
      <c r="AA874">
        <v>0</v>
      </c>
      <c r="AB874">
        <v>0</v>
      </c>
      <c r="AC874">
        <v>0</v>
      </c>
      <c r="AD874">
        <v>0</v>
      </c>
      <c r="AE874">
        <v>0</v>
      </c>
    </row>
    <row r="875" spans="1:31" x14ac:dyDescent="0.2">
      <c r="A875" t="s">
        <v>298</v>
      </c>
      <c r="B875" t="s">
        <v>102</v>
      </c>
      <c r="C875">
        <v>31</v>
      </c>
      <c r="D875" t="s">
        <v>33</v>
      </c>
      <c r="E875" t="s">
        <v>39</v>
      </c>
      <c r="F875" t="s">
        <v>54</v>
      </c>
      <c r="G875">
        <v>305790</v>
      </c>
      <c r="H875">
        <v>0</v>
      </c>
      <c r="I875">
        <v>1</v>
      </c>
      <c r="J875">
        <v>0</v>
      </c>
      <c r="K875">
        <v>0</v>
      </c>
      <c r="L875" t="s">
        <v>57</v>
      </c>
      <c r="M875" t="s">
        <v>89</v>
      </c>
      <c r="N875" t="s">
        <v>122</v>
      </c>
      <c r="O875" t="s">
        <v>46</v>
      </c>
      <c r="P875" t="s">
        <v>67</v>
      </c>
      <c r="Q875" t="s">
        <v>68</v>
      </c>
      <c r="R875">
        <v>1</v>
      </c>
      <c r="S875">
        <v>0</v>
      </c>
      <c r="T875">
        <v>1</v>
      </c>
      <c r="U875">
        <v>1</v>
      </c>
      <c r="V875">
        <v>0</v>
      </c>
      <c r="W875">
        <v>0</v>
      </c>
      <c r="X875">
        <v>1</v>
      </c>
      <c r="Y875">
        <v>0</v>
      </c>
      <c r="Z875">
        <v>0</v>
      </c>
      <c r="AA875">
        <v>0</v>
      </c>
      <c r="AB875">
        <v>1</v>
      </c>
      <c r="AC875">
        <v>0</v>
      </c>
      <c r="AD875">
        <v>0</v>
      </c>
      <c r="AE875">
        <v>0</v>
      </c>
    </row>
    <row r="876" spans="1:31" x14ac:dyDescent="0.2">
      <c r="A876" t="s">
        <v>298</v>
      </c>
      <c r="B876" t="s">
        <v>102</v>
      </c>
      <c r="C876">
        <v>31</v>
      </c>
      <c r="D876" t="s">
        <v>33</v>
      </c>
      <c r="E876" t="s">
        <v>39</v>
      </c>
      <c r="F876" t="s">
        <v>59</v>
      </c>
      <c r="G876">
        <v>64146</v>
      </c>
      <c r="H876">
        <v>1</v>
      </c>
      <c r="I876">
        <v>0</v>
      </c>
      <c r="J876">
        <v>0</v>
      </c>
      <c r="K876">
        <v>0</v>
      </c>
      <c r="L876" t="s">
        <v>60</v>
      </c>
      <c r="M876" t="s">
        <v>61</v>
      </c>
      <c r="N876" t="s">
        <v>99</v>
      </c>
      <c r="O876" t="s">
        <v>44</v>
      </c>
      <c r="P876" t="s">
        <v>46</v>
      </c>
      <c r="Q876" t="s">
        <v>67</v>
      </c>
      <c r="R876">
        <v>0</v>
      </c>
      <c r="S876">
        <v>1</v>
      </c>
      <c r="T876">
        <v>1</v>
      </c>
      <c r="U876">
        <v>1</v>
      </c>
      <c r="V876">
        <v>0</v>
      </c>
      <c r="W876">
        <v>0</v>
      </c>
      <c r="X876">
        <v>1</v>
      </c>
      <c r="Y876">
        <v>0</v>
      </c>
      <c r="Z876">
        <v>1</v>
      </c>
      <c r="AA876">
        <v>0</v>
      </c>
      <c r="AB876">
        <v>0</v>
      </c>
      <c r="AC876">
        <v>0</v>
      </c>
      <c r="AD876">
        <v>0</v>
      </c>
      <c r="AE876">
        <v>0</v>
      </c>
    </row>
    <row r="877" spans="1:31" x14ac:dyDescent="0.2">
      <c r="A877" t="s">
        <v>298</v>
      </c>
      <c r="B877" t="s">
        <v>102</v>
      </c>
      <c r="C877">
        <v>31</v>
      </c>
      <c r="D877" t="s">
        <v>33</v>
      </c>
      <c r="E877" t="s">
        <v>52</v>
      </c>
      <c r="F877" t="s">
        <v>69</v>
      </c>
      <c r="G877">
        <v>25964</v>
      </c>
      <c r="H877">
        <v>0</v>
      </c>
      <c r="I877">
        <v>1</v>
      </c>
      <c r="J877">
        <v>0</v>
      </c>
      <c r="K877">
        <v>0</v>
      </c>
      <c r="L877" t="s">
        <v>35</v>
      </c>
      <c r="M877" t="s">
        <v>35</v>
      </c>
      <c r="N877" t="s">
        <v>35</v>
      </c>
      <c r="O877" t="s">
        <v>35</v>
      </c>
      <c r="P877" t="s">
        <v>35</v>
      </c>
      <c r="Q877" t="s">
        <v>35</v>
      </c>
      <c r="R877" t="s">
        <v>35</v>
      </c>
      <c r="S877">
        <v>1</v>
      </c>
      <c r="T877">
        <v>1</v>
      </c>
      <c r="U877">
        <v>1</v>
      </c>
      <c r="V877">
        <v>0</v>
      </c>
      <c r="W877">
        <v>0</v>
      </c>
      <c r="X877">
        <v>1</v>
      </c>
      <c r="Y877">
        <v>0</v>
      </c>
      <c r="Z877">
        <v>1</v>
      </c>
      <c r="AA877">
        <v>0</v>
      </c>
      <c r="AB877">
        <v>0</v>
      </c>
      <c r="AC877">
        <v>0</v>
      </c>
      <c r="AD877">
        <v>0</v>
      </c>
      <c r="AE877">
        <v>0</v>
      </c>
    </row>
    <row r="878" spans="1:31" x14ac:dyDescent="0.2">
      <c r="A878" t="s">
        <v>298</v>
      </c>
      <c r="B878" t="s">
        <v>102</v>
      </c>
      <c r="C878">
        <v>31</v>
      </c>
      <c r="D878" t="s">
        <v>33</v>
      </c>
      <c r="E878" t="s">
        <v>39</v>
      </c>
      <c r="F878" t="s">
        <v>47</v>
      </c>
      <c r="G878">
        <v>11946</v>
      </c>
      <c r="H878">
        <v>0</v>
      </c>
      <c r="I878">
        <v>0</v>
      </c>
      <c r="J878">
        <v>1</v>
      </c>
      <c r="K878">
        <v>0</v>
      </c>
      <c r="L878" t="s">
        <v>79</v>
      </c>
      <c r="M878" t="s">
        <v>50</v>
      </c>
      <c r="N878" t="s">
        <v>49</v>
      </c>
      <c r="O878" t="s">
        <v>45</v>
      </c>
      <c r="P878" t="s">
        <v>51</v>
      </c>
      <c r="Q878" t="s">
        <v>44</v>
      </c>
      <c r="R878">
        <v>0</v>
      </c>
      <c r="S878">
        <v>1</v>
      </c>
      <c r="T878">
        <v>0</v>
      </c>
      <c r="U878">
        <v>0</v>
      </c>
      <c r="V878">
        <v>1</v>
      </c>
      <c r="W878">
        <v>0</v>
      </c>
      <c r="X878">
        <v>1</v>
      </c>
      <c r="Y878">
        <v>0</v>
      </c>
      <c r="Z878">
        <v>1</v>
      </c>
      <c r="AA878">
        <v>0</v>
      </c>
      <c r="AB878">
        <v>0</v>
      </c>
      <c r="AC878">
        <v>0</v>
      </c>
      <c r="AD878">
        <v>0</v>
      </c>
      <c r="AE878">
        <v>0</v>
      </c>
    </row>
    <row r="879" spans="1:31" x14ac:dyDescent="0.2">
      <c r="A879" t="s">
        <v>298</v>
      </c>
      <c r="B879" t="s">
        <v>102</v>
      </c>
      <c r="C879">
        <v>31</v>
      </c>
      <c r="D879" t="s">
        <v>33</v>
      </c>
      <c r="E879" t="s">
        <v>52</v>
      </c>
      <c r="F879" t="s">
        <v>74</v>
      </c>
      <c r="G879">
        <v>17150</v>
      </c>
      <c r="H879">
        <v>1</v>
      </c>
      <c r="I879">
        <v>0</v>
      </c>
      <c r="J879">
        <v>0</v>
      </c>
      <c r="K879">
        <v>0</v>
      </c>
      <c r="L879" t="s">
        <v>35</v>
      </c>
      <c r="M879" t="s">
        <v>35</v>
      </c>
      <c r="N879" t="s">
        <v>35</v>
      </c>
      <c r="O879" t="s">
        <v>35</v>
      </c>
      <c r="P879" t="s">
        <v>35</v>
      </c>
      <c r="Q879" t="s">
        <v>35</v>
      </c>
      <c r="R879" t="s">
        <v>35</v>
      </c>
      <c r="S879">
        <v>1</v>
      </c>
      <c r="T879">
        <v>0</v>
      </c>
      <c r="U879">
        <v>0</v>
      </c>
      <c r="V879">
        <v>1</v>
      </c>
      <c r="W879">
        <v>0</v>
      </c>
      <c r="X879">
        <v>1</v>
      </c>
      <c r="Y879">
        <v>0</v>
      </c>
      <c r="Z879">
        <v>1</v>
      </c>
      <c r="AA879">
        <v>0</v>
      </c>
      <c r="AB879">
        <v>0</v>
      </c>
      <c r="AC879">
        <v>0</v>
      </c>
      <c r="AD879">
        <v>0</v>
      </c>
      <c r="AE879">
        <v>0</v>
      </c>
    </row>
    <row r="880" spans="1:31" x14ac:dyDescent="0.2">
      <c r="A880" t="s">
        <v>298</v>
      </c>
      <c r="B880" t="s">
        <v>102</v>
      </c>
      <c r="C880">
        <v>31</v>
      </c>
      <c r="D880" t="s">
        <v>33</v>
      </c>
      <c r="E880" t="s">
        <v>39</v>
      </c>
      <c r="F880" t="s">
        <v>40</v>
      </c>
      <c r="G880">
        <v>11584</v>
      </c>
      <c r="H880">
        <v>0</v>
      </c>
      <c r="I880">
        <v>0</v>
      </c>
      <c r="J880">
        <v>1</v>
      </c>
      <c r="K880">
        <v>0</v>
      </c>
      <c r="L880" t="s">
        <v>43</v>
      </c>
      <c r="M880" t="s">
        <v>82</v>
      </c>
      <c r="N880" t="s">
        <v>81</v>
      </c>
      <c r="O880" t="s">
        <v>46</v>
      </c>
      <c r="P880" t="s">
        <v>68</v>
      </c>
      <c r="Q880" t="s">
        <v>67</v>
      </c>
      <c r="R880">
        <v>1</v>
      </c>
      <c r="S880">
        <v>0</v>
      </c>
      <c r="T880">
        <v>1</v>
      </c>
      <c r="U880">
        <v>1</v>
      </c>
      <c r="V880">
        <v>0</v>
      </c>
      <c r="W880">
        <v>0</v>
      </c>
      <c r="X880">
        <v>1</v>
      </c>
      <c r="Y880">
        <v>0</v>
      </c>
      <c r="Z880">
        <v>0</v>
      </c>
      <c r="AA880">
        <v>0</v>
      </c>
      <c r="AB880">
        <v>1</v>
      </c>
      <c r="AC880">
        <v>0</v>
      </c>
      <c r="AD880">
        <v>0</v>
      </c>
      <c r="AE880">
        <v>0</v>
      </c>
    </row>
    <row r="881" spans="1:31" x14ac:dyDescent="0.2">
      <c r="A881" t="s">
        <v>298</v>
      </c>
      <c r="B881" t="s">
        <v>102</v>
      </c>
      <c r="C881">
        <v>31</v>
      </c>
      <c r="D881" t="s">
        <v>33</v>
      </c>
      <c r="E881" t="s">
        <v>39</v>
      </c>
      <c r="F881" t="s">
        <v>63</v>
      </c>
      <c r="G881">
        <v>11332</v>
      </c>
      <c r="H881">
        <v>0</v>
      </c>
      <c r="I881">
        <v>0</v>
      </c>
      <c r="J881">
        <v>1</v>
      </c>
      <c r="K881">
        <v>0</v>
      </c>
      <c r="L881" t="s">
        <v>65</v>
      </c>
      <c r="M881" t="s">
        <v>66</v>
      </c>
      <c r="N881" t="s">
        <v>90</v>
      </c>
      <c r="O881" t="s">
        <v>68</v>
      </c>
      <c r="P881" t="s">
        <v>45</v>
      </c>
      <c r="Q881" t="s">
        <v>44</v>
      </c>
      <c r="R881">
        <v>1</v>
      </c>
      <c r="S881">
        <v>1</v>
      </c>
      <c r="T881">
        <v>0</v>
      </c>
      <c r="U881">
        <v>0</v>
      </c>
      <c r="V881">
        <v>1</v>
      </c>
      <c r="W881">
        <v>0</v>
      </c>
      <c r="X881">
        <v>1</v>
      </c>
      <c r="Y881">
        <v>0</v>
      </c>
      <c r="Z881">
        <v>1</v>
      </c>
      <c r="AA881">
        <v>0</v>
      </c>
      <c r="AB881">
        <v>0</v>
      </c>
      <c r="AC881">
        <v>0</v>
      </c>
      <c r="AD881">
        <v>0</v>
      </c>
      <c r="AE881">
        <v>0</v>
      </c>
    </row>
    <row r="882" spans="1:31" x14ac:dyDescent="0.2">
      <c r="A882" t="s">
        <v>298</v>
      </c>
      <c r="B882" t="s">
        <v>102</v>
      </c>
      <c r="C882">
        <v>31</v>
      </c>
      <c r="D882" t="s">
        <v>33</v>
      </c>
      <c r="E882" t="s">
        <v>52</v>
      </c>
      <c r="F882" t="s">
        <v>53</v>
      </c>
      <c r="G882">
        <v>19516</v>
      </c>
      <c r="H882">
        <v>0</v>
      </c>
      <c r="I882">
        <v>1</v>
      </c>
      <c r="J882">
        <v>0</v>
      </c>
      <c r="K882">
        <v>0</v>
      </c>
      <c r="L882" t="s">
        <v>35</v>
      </c>
      <c r="M882" t="s">
        <v>35</v>
      </c>
      <c r="N882" t="s">
        <v>35</v>
      </c>
      <c r="O882" t="s">
        <v>35</v>
      </c>
      <c r="P882" t="s">
        <v>35</v>
      </c>
      <c r="Q882" t="s">
        <v>35</v>
      </c>
      <c r="R882" t="s">
        <v>35</v>
      </c>
      <c r="S882">
        <v>1</v>
      </c>
      <c r="T882">
        <v>0</v>
      </c>
      <c r="U882">
        <v>0</v>
      </c>
      <c r="V882">
        <v>1</v>
      </c>
      <c r="W882">
        <v>0</v>
      </c>
      <c r="X882">
        <v>1</v>
      </c>
      <c r="Y882">
        <v>0</v>
      </c>
      <c r="Z882">
        <v>1</v>
      </c>
      <c r="AA882">
        <v>0</v>
      </c>
      <c r="AB882">
        <v>0</v>
      </c>
      <c r="AC882">
        <v>0</v>
      </c>
      <c r="AD882">
        <v>0</v>
      </c>
      <c r="AE882">
        <v>0</v>
      </c>
    </row>
    <row r="883" spans="1:31" x14ac:dyDescent="0.2">
      <c r="A883" t="s">
        <v>298</v>
      </c>
      <c r="B883" t="s">
        <v>102</v>
      </c>
      <c r="C883">
        <v>31</v>
      </c>
      <c r="D883" t="s">
        <v>33</v>
      </c>
      <c r="E883" t="s">
        <v>75</v>
      </c>
      <c r="F883" t="s">
        <v>35</v>
      </c>
      <c r="G883">
        <v>80280</v>
      </c>
      <c r="H883" t="s">
        <v>299</v>
      </c>
      <c r="I883" t="s">
        <v>300</v>
      </c>
      <c r="J883" t="s">
        <v>181</v>
      </c>
      <c r="K883" t="s">
        <v>35</v>
      </c>
      <c r="L883" t="s">
        <v>35</v>
      </c>
      <c r="M883" t="s">
        <v>35</v>
      </c>
      <c r="N883" t="s">
        <v>35</v>
      </c>
      <c r="O883" t="s">
        <v>35</v>
      </c>
      <c r="P883" t="s">
        <v>35</v>
      </c>
      <c r="Q883" t="s">
        <v>35</v>
      </c>
      <c r="R883" t="s">
        <v>35</v>
      </c>
      <c r="S883" t="s">
        <v>35</v>
      </c>
      <c r="T883" t="s">
        <v>35</v>
      </c>
      <c r="U883" t="s">
        <v>35</v>
      </c>
      <c r="V883" t="s">
        <v>35</v>
      </c>
      <c r="W883" t="s">
        <v>35</v>
      </c>
      <c r="X883" t="s">
        <v>35</v>
      </c>
      <c r="Y883" t="s">
        <v>35</v>
      </c>
      <c r="Z883" t="s">
        <v>35</v>
      </c>
      <c r="AA883" t="s">
        <v>35</v>
      </c>
      <c r="AB883" t="s">
        <v>35</v>
      </c>
      <c r="AC883" t="s">
        <v>35</v>
      </c>
      <c r="AD883" t="s">
        <v>35</v>
      </c>
      <c r="AE883" t="s">
        <v>35</v>
      </c>
    </row>
    <row r="884" spans="1:31" x14ac:dyDescent="0.2">
      <c r="A884" t="s">
        <v>301</v>
      </c>
      <c r="B884" t="s">
        <v>32</v>
      </c>
      <c r="C884">
        <v>27</v>
      </c>
      <c r="D884" t="s">
        <v>78</v>
      </c>
      <c r="E884" t="s">
        <v>34</v>
      </c>
      <c r="F884" t="s">
        <v>35</v>
      </c>
      <c r="G884">
        <v>151345</v>
      </c>
      <c r="H884" t="s">
        <v>35</v>
      </c>
      <c r="I884" t="s">
        <v>35</v>
      </c>
      <c r="J884" t="s">
        <v>35</v>
      </c>
      <c r="K884" t="s">
        <v>35</v>
      </c>
      <c r="L884" t="s">
        <v>35</v>
      </c>
      <c r="M884" t="s">
        <v>35</v>
      </c>
      <c r="N884" t="s">
        <v>35</v>
      </c>
      <c r="O884" t="s">
        <v>35</v>
      </c>
      <c r="P884" t="s">
        <v>35</v>
      </c>
      <c r="Q884" t="s">
        <v>35</v>
      </c>
      <c r="R884" t="s">
        <v>35</v>
      </c>
      <c r="S884" t="s">
        <v>35</v>
      </c>
      <c r="T884" t="s">
        <v>35</v>
      </c>
      <c r="U884" t="s">
        <v>35</v>
      </c>
      <c r="V884" t="s">
        <v>35</v>
      </c>
      <c r="W884" t="s">
        <v>35</v>
      </c>
      <c r="X884" t="s">
        <v>35</v>
      </c>
      <c r="Y884" t="s">
        <v>35</v>
      </c>
      <c r="Z884" t="s">
        <v>35</v>
      </c>
      <c r="AA884" t="s">
        <v>35</v>
      </c>
      <c r="AB884" t="s">
        <v>35</v>
      </c>
      <c r="AC884" t="s">
        <v>35</v>
      </c>
      <c r="AD884" t="s">
        <v>35</v>
      </c>
      <c r="AE884" t="s">
        <v>35</v>
      </c>
    </row>
    <row r="885" spans="1:31" x14ac:dyDescent="0.2">
      <c r="A885" t="s">
        <v>301</v>
      </c>
      <c r="B885" t="s">
        <v>32</v>
      </c>
      <c r="C885">
        <v>27</v>
      </c>
      <c r="D885" t="s">
        <v>78</v>
      </c>
      <c r="E885" t="s">
        <v>36</v>
      </c>
      <c r="F885" t="s">
        <v>37</v>
      </c>
      <c r="G885">
        <v>576383</v>
      </c>
      <c r="H885">
        <v>0</v>
      </c>
      <c r="I885">
        <v>0</v>
      </c>
      <c r="J885">
        <v>1</v>
      </c>
      <c r="K885">
        <v>0</v>
      </c>
      <c r="L885" t="s">
        <v>35</v>
      </c>
      <c r="M885" t="s">
        <v>35</v>
      </c>
      <c r="N885" t="s">
        <v>35</v>
      </c>
      <c r="O885" t="s">
        <v>35</v>
      </c>
      <c r="P885" t="s">
        <v>35</v>
      </c>
      <c r="Q885" t="s">
        <v>35</v>
      </c>
      <c r="R885" t="s">
        <v>35</v>
      </c>
      <c r="S885" t="s">
        <v>35</v>
      </c>
      <c r="T885" t="s">
        <v>35</v>
      </c>
      <c r="U885" t="s">
        <v>35</v>
      </c>
      <c r="V885" t="s">
        <v>35</v>
      </c>
      <c r="W885" t="s">
        <v>35</v>
      </c>
      <c r="X885" t="s">
        <v>35</v>
      </c>
      <c r="Y885" t="s">
        <v>35</v>
      </c>
      <c r="Z885" t="s">
        <v>35</v>
      </c>
      <c r="AA885" t="s">
        <v>35</v>
      </c>
      <c r="AB885" t="s">
        <v>35</v>
      </c>
      <c r="AC885" t="s">
        <v>35</v>
      </c>
      <c r="AD885" t="s">
        <v>35</v>
      </c>
      <c r="AE885" t="s">
        <v>35</v>
      </c>
    </row>
    <row r="886" spans="1:31" x14ac:dyDescent="0.2">
      <c r="A886" t="s">
        <v>301</v>
      </c>
      <c r="B886" t="s">
        <v>32</v>
      </c>
      <c r="C886">
        <v>27</v>
      </c>
      <c r="D886" t="s">
        <v>78</v>
      </c>
      <c r="E886" t="s">
        <v>36</v>
      </c>
      <c r="F886" t="s">
        <v>38</v>
      </c>
      <c r="G886">
        <v>9018</v>
      </c>
      <c r="H886">
        <v>0</v>
      </c>
      <c r="I886">
        <v>0</v>
      </c>
      <c r="J886">
        <v>0</v>
      </c>
      <c r="K886">
        <v>1</v>
      </c>
      <c r="L886" t="s">
        <v>35</v>
      </c>
      <c r="M886" t="s">
        <v>35</v>
      </c>
      <c r="N886" t="s">
        <v>35</v>
      </c>
      <c r="O886" t="s">
        <v>35</v>
      </c>
      <c r="P886" t="s">
        <v>35</v>
      </c>
      <c r="Q886" t="s">
        <v>35</v>
      </c>
      <c r="R886" t="s">
        <v>35</v>
      </c>
      <c r="S886" t="s">
        <v>35</v>
      </c>
      <c r="T886" t="s">
        <v>35</v>
      </c>
      <c r="U886" t="s">
        <v>35</v>
      </c>
      <c r="V886" t="s">
        <v>35</v>
      </c>
      <c r="W886" t="s">
        <v>35</v>
      </c>
      <c r="X886" t="s">
        <v>35</v>
      </c>
      <c r="Y886" t="s">
        <v>35</v>
      </c>
      <c r="Z886" t="s">
        <v>35</v>
      </c>
      <c r="AA886" t="s">
        <v>35</v>
      </c>
      <c r="AB886" t="s">
        <v>35</v>
      </c>
      <c r="AC886" t="s">
        <v>35</v>
      </c>
      <c r="AD886" t="s">
        <v>35</v>
      </c>
      <c r="AE886" t="s">
        <v>35</v>
      </c>
    </row>
    <row r="887" spans="1:31" x14ac:dyDescent="0.2">
      <c r="A887" t="s">
        <v>301</v>
      </c>
      <c r="B887" t="s">
        <v>32</v>
      </c>
      <c r="C887">
        <v>27</v>
      </c>
      <c r="D887" t="s">
        <v>78</v>
      </c>
      <c r="E887" t="s">
        <v>39</v>
      </c>
      <c r="F887" t="s">
        <v>40</v>
      </c>
      <c r="G887">
        <v>277159</v>
      </c>
      <c r="H887">
        <v>0</v>
      </c>
      <c r="I887">
        <v>1</v>
      </c>
      <c r="J887">
        <v>1</v>
      </c>
      <c r="K887">
        <v>0</v>
      </c>
      <c r="L887" t="s">
        <v>43</v>
      </c>
      <c r="M887" t="s">
        <v>82</v>
      </c>
      <c r="N887" t="s">
        <v>41</v>
      </c>
      <c r="O887" t="s">
        <v>46</v>
      </c>
      <c r="P887" t="s">
        <v>68</v>
      </c>
      <c r="Q887" t="s">
        <v>44</v>
      </c>
      <c r="R887">
        <v>1</v>
      </c>
      <c r="S887">
        <v>1</v>
      </c>
      <c r="T887">
        <v>1</v>
      </c>
      <c r="U887">
        <v>0</v>
      </c>
      <c r="V887">
        <v>0</v>
      </c>
      <c r="W887">
        <v>0</v>
      </c>
      <c r="X887">
        <v>1</v>
      </c>
      <c r="Y887">
        <v>1</v>
      </c>
      <c r="Z887">
        <v>1</v>
      </c>
      <c r="AA887">
        <v>0</v>
      </c>
      <c r="AB887">
        <v>0</v>
      </c>
      <c r="AC887">
        <v>0</v>
      </c>
      <c r="AD887">
        <v>0</v>
      </c>
      <c r="AE887">
        <v>0</v>
      </c>
    </row>
    <row r="888" spans="1:31" x14ac:dyDescent="0.2">
      <c r="A888" t="s">
        <v>301</v>
      </c>
      <c r="B888" t="s">
        <v>32</v>
      </c>
      <c r="C888">
        <v>27</v>
      </c>
      <c r="D888" t="s">
        <v>78</v>
      </c>
      <c r="E888" t="s">
        <v>52</v>
      </c>
      <c r="F888" t="s">
        <v>53</v>
      </c>
      <c r="G888">
        <v>95230</v>
      </c>
      <c r="H888">
        <v>0</v>
      </c>
      <c r="I888">
        <v>1</v>
      </c>
      <c r="J888">
        <v>1</v>
      </c>
      <c r="K888">
        <v>0</v>
      </c>
      <c r="L888" t="s">
        <v>35</v>
      </c>
      <c r="M888" t="s">
        <v>35</v>
      </c>
      <c r="N888" t="s">
        <v>35</v>
      </c>
      <c r="O888" t="s">
        <v>35</v>
      </c>
      <c r="P888" t="s">
        <v>35</v>
      </c>
      <c r="Q888" t="s">
        <v>35</v>
      </c>
      <c r="R888" t="s">
        <v>35</v>
      </c>
      <c r="S888">
        <v>1</v>
      </c>
      <c r="T888">
        <v>1</v>
      </c>
      <c r="U888">
        <v>0</v>
      </c>
      <c r="V888">
        <v>0</v>
      </c>
      <c r="W888">
        <v>0</v>
      </c>
      <c r="X888">
        <v>1</v>
      </c>
      <c r="Y888">
        <v>1</v>
      </c>
      <c r="Z888">
        <v>1</v>
      </c>
      <c r="AA888">
        <v>0</v>
      </c>
      <c r="AB888">
        <v>0</v>
      </c>
      <c r="AC888">
        <v>0</v>
      </c>
      <c r="AD888">
        <v>0</v>
      </c>
      <c r="AE888">
        <v>0</v>
      </c>
    </row>
    <row r="889" spans="1:31" x14ac:dyDescent="0.2">
      <c r="A889" t="s">
        <v>301</v>
      </c>
      <c r="B889" t="s">
        <v>32</v>
      </c>
      <c r="C889">
        <v>27</v>
      </c>
      <c r="D889" t="s">
        <v>78</v>
      </c>
      <c r="E889" t="s">
        <v>39</v>
      </c>
      <c r="F889" t="s">
        <v>70</v>
      </c>
      <c r="G889">
        <v>23047</v>
      </c>
      <c r="H889">
        <v>1</v>
      </c>
      <c r="I889">
        <v>1</v>
      </c>
      <c r="J889">
        <v>1</v>
      </c>
      <c r="K889">
        <v>0</v>
      </c>
      <c r="L889" t="s">
        <v>72</v>
      </c>
      <c r="M889" t="s">
        <v>92</v>
      </c>
      <c r="N889" t="s">
        <v>86</v>
      </c>
      <c r="O889" t="s">
        <v>67</v>
      </c>
      <c r="P889" t="s">
        <v>51</v>
      </c>
      <c r="Q889" t="s">
        <v>46</v>
      </c>
      <c r="R889">
        <v>0</v>
      </c>
      <c r="S889">
        <v>0</v>
      </c>
      <c r="T889">
        <v>1</v>
      </c>
      <c r="U889">
        <v>1</v>
      </c>
      <c r="V889">
        <v>0</v>
      </c>
      <c r="W889">
        <v>0</v>
      </c>
      <c r="X889">
        <v>1</v>
      </c>
      <c r="Y889">
        <v>0</v>
      </c>
      <c r="Z889">
        <v>0</v>
      </c>
      <c r="AA889">
        <v>1</v>
      </c>
      <c r="AB889">
        <v>1</v>
      </c>
      <c r="AC889">
        <v>0</v>
      </c>
      <c r="AD889">
        <v>0</v>
      </c>
      <c r="AE889">
        <v>0</v>
      </c>
    </row>
    <row r="890" spans="1:31" x14ac:dyDescent="0.2">
      <c r="A890" t="s">
        <v>301</v>
      </c>
      <c r="B890" t="s">
        <v>32</v>
      </c>
      <c r="C890">
        <v>27</v>
      </c>
      <c r="D890" t="s">
        <v>78</v>
      </c>
      <c r="E890" t="s">
        <v>39</v>
      </c>
      <c r="F890" t="s">
        <v>47</v>
      </c>
      <c r="G890">
        <v>10306</v>
      </c>
      <c r="H890">
        <v>1</v>
      </c>
      <c r="I890">
        <v>1</v>
      </c>
      <c r="J890">
        <v>1</v>
      </c>
      <c r="K890">
        <v>0</v>
      </c>
      <c r="L890" t="s">
        <v>79</v>
      </c>
      <c r="M890" t="s">
        <v>80</v>
      </c>
      <c r="N890" t="s">
        <v>49</v>
      </c>
      <c r="O890" t="s">
        <v>45</v>
      </c>
      <c r="P890" t="s">
        <v>67</v>
      </c>
      <c r="Q890" t="s">
        <v>44</v>
      </c>
      <c r="R890">
        <v>0</v>
      </c>
      <c r="S890">
        <v>1</v>
      </c>
      <c r="T890">
        <v>0</v>
      </c>
      <c r="U890">
        <v>1</v>
      </c>
      <c r="V890">
        <v>1</v>
      </c>
      <c r="W890">
        <v>0</v>
      </c>
      <c r="X890">
        <v>1</v>
      </c>
      <c r="Y890">
        <v>0</v>
      </c>
      <c r="Z890">
        <v>1</v>
      </c>
      <c r="AA890">
        <v>0</v>
      </c>
      <c r="AB890">
        <v>1</v>
      </c>
      <c r="AC890">
        <v>1</v>
      </c>
      <c r="AD890">
        <v>0</v>
      </c>
      <c r="AE890">
        <v>0</v>
      </c>
    </row>
    <row r="891" spans="1:31" x14ac:dyDescent="0.2">
      <c r="A891" t="s">
        <v>301</v>
      </c>
      <c r="B891" t="s">
        <v>32</v>
      </c>
      <c r="C891">
        <v>27</v>
      </c>
      <c r="D891" t="s">
        <v>78</v>
      </c>
      <c r="E891" t="s">
        <v>52</v>
      </c>
      <c r="F891" t="s">
        <v>69</v>
      </c>
      <c r="G891">
        <v>8549</v>
      </c>
      <c r="H891">
        <v>1</v>
      </c>
      <c r="I891">
        <v>1</v>
      </c>
      <c r="J891">
        <v>1</v>
      </c>
      <c r="K891">
        <v>0</v>
      </c>
      <c r="L891" t="s">
        <v>35</v>
      </c>
      <c r="M891" t="s">
        <v>35</v>
      </c>
      <c r="N891" t="s">
        <v>35</v>
      </c>
      <c r="O891" t="s">
        <v>35</v>
      </c>
      <c r="P891" t="s">
        <v>35</v>
      </c>
      <c r="Q891" t="s">
        <v>35</v>
      </c>
      <c r="R891" t="s">
        <v>35</v>
      </c>
      <c r="S891">
        <v>1</v>
      </c>
      <c r="T891">
        <v>0</v>
      </c>
      <c r="U891">
        <v>1</v>
      </c>
      <c r="V891">
        <v>1</v>
      </c>
      <c r="W891">
        <v>0</v>
      </c>
      <c r="X891">
        <v>1</v>
      </c>
      <c r="Y891">
        <v>0</v>
      </c>
      <c r="Z891">
        <v>1</v>
      </c>
      <c r="AA891">
        <v>0</v>
      </c>
      <c r="AB891">
        <v>1</v>
      </c>
      <c r="AC891">
        <v>1</v>
      </c>
      <c r="AD891">
        <v>0</v>
      </c>
      <c r="AE891">
        <v>0</v>
      </c>
    </row>
    <row r="892" spans="1:31" x14ac:dyDescent="0.2">
      <c r="A892" t="s">
        <v>301</v>
      </c>
      <c r="B892" t="s">
        <v>32</v>
      </c>
      <c r="C892">
        <v>27</v>
      </c>
      <c r="D892" t="s">
        <v>78</v>
      </c>
      <c r="E892" t="s">
        <v>39</v>
      </c>
      <c r="F892" t="s">
        <v>63</v>
      </c>
      <c r="G892">
        <v>5833</v>
      </c>
      <c r="H892">
        <v>0</v>
      </c>
      <c r="I892">
        <v>1</v>
      </c>
      <c r="J892">
        <v>1</v>
      </c>
      <c r="K892">
        <v>0</v>
      </c>
      <c r="L892" t="s">
        <v>66</v>
      </c>
      <c r="M892" t="s">
        <v>90</v>
      </c>
      <c r="N892" t="s">
        <v>84</v>
      </c>
      <c r="O892" t="s">
        <v>45</v>
      </c>
      <c r="P892" t="s">
        <v>44</v>
      </c>
      <c r="Q892" t="s">
        <v>46</v>
      </c>
      <c r="R892">
        <v>0</v>
      </c>
      <c r="S892">
        <v>1</v>
      </c>
      <c r="T892">
        <v>1</v>
      </c>
      <c r="U892">
        <v>0</v>
      </c>
      <c r="V892">
        <v>1</v>
      </c>
      <c r="W892">
        <v>0</v>
      </c>
      <c r="X892">
        <v>1</v>
      </c>
      <c r="Y892">
        <v>0</v>
      </c>
      <c r="Z892">
        <v>1</v>
      </c>
      <c r="AA892">
        <v>1</v>
      </c>
      <c r="AB892">
        <v>0</v>
      </c>
      <c r="AC892">
        <v>0</v>
      </c>
      <c r="AD892">
        <v>0</v>
      </c>
      <c r="AE892">
        <v>0</v>
      </c>
    </row>
    <row r="893" spans="1:31" x14ac:dyDescent="0.2">
      <c r="A893" t="s">
        <v>301</v>
      </c>
      <c r="B893" t="s">
        <v>32</v>
      </c>
      <c r="C893">
        <v>27</v>
      </c>
      <c r="D893" t="s">
        <v>78</v>
      </c>
      <c r="E893" t="s">
        <v>52</v>
      </c>
      <c r="F893" t="s">
        <v>58</v>
      </c>
      <c r="G893">
        <v>5186</v>
      </c>
      <c r="H893">
        <v>0</v>
      </c>
      <c r="I893">
        <v>1</v>
      </c>
      <c r="J893">
        <v>1</v>
      </c>
      <c r="K893">
        <v>0</v>
      </c>
      <c r="L893" t="s">
        <v>35</v>
      </c>
      <c r="M893" t="s">
        <v>35</v>
      </c>
      <c r="N893" t="s">
        <v>35</v>
      </c>
      <c r="O893" t="s">
        <v>35</v>
      </c>
      <c r="P893" t="s">
        <v>35</v>
      </c>
      <c r="Q893" t="s">
        <v>35</v>
      </c>
      <c r="R893" t="s">
        <v>35</v>
      </c>
      <c r="S893">
        <v>1</v>
      </c>
      <c r="T893">
        <v>1</v>
      </c>
      <c r="U893">
        <v>0</v>
      </c>
      <c r="V893">
        <v>1</v>
      </c>
      <c r="W893">
        <v>0</v>
      </c>
      <c r="X893">
        <v>1</v>
      </c>
      <c r="Y893">
        <v>0</v>
      </c>
      <c r="Z893">
        <v>1</v>
      </c>
      <c r="AA893">
        <v>1</v>
      </c>
      <c r="AB893">
        <v>0</v>
      </c>
      <c r="AC893">
        <v>0</v>
      </c>
      <c r="AD893">
        <v>0</v>
      </c>
      <c r="AE893">
        <v>0</v>
      </c>
    </row>
    <row r="894" spans="1:31" x14ac:dyDescent="0.2">
      <c r="A894" t="s">
        <v>301</v>
      </c>
      <c r="B894" t="s">
        <v>32</v>
      </c>
      <c r="C894">
        <v>27</v>
      </c>
      <c r="D894" t="s">
        <v>78</v>
      </c>
      <c r="E894" t="s">
        <v>39</v>
      </c>
      <c r="F894" t="s">
        <v>54</v>
      </c>
      <c r="G894">
        <v>6243</v>
      </c>
      <c r="H894">
        <v>1</v>
      </c>
      <c r="I894">
        <v>1</v>
      </c>
      <c r="J894">
        <v>0</v>
      </c>
      <c r="K894">
        <v>0</v>
      </c>
      <c r="L894" t="s">
        <v>88</v>
      </c>
      <c r="M894" t="s">
        <v>122</v>
      </c>
      <c r="N894" t="s">
        <v>55</v>
      </c>
      <c r="O894" t="s">
        <v>51</v>
      </c>
      <c r="P894" t="s">
        <v>68</v>
      </c>
      <c r="Q894" t="s">
        <v>44</v>
      </c>
      <c r="R894">
        <v>1</v>
      </c>
      <c r="S894">
        <v>1</v>
      </c>
      <c r="T894">
        <v>0</v>
      </c>
      <c r="U894">
        <v>0</v>
      </c>
      <c r="V894">
        <v>0</v>
      </c>
      <c r="W894">
        <v>0</v>
      </c>
      <c r="X894">
        <v>1</v>
      </c>
      <c r="Y894">
        <v>1</v>
      </c>
      <c r="Z894">
        <v>0</v>
      </c>
      <c r="AA894">
        <v>0</v>
      </c>
      <c r="AB894">
        <v>0</v>
      </c>
      <c r="AC894">
        <v>0</v>
      </c>
      <c r="AD894">
        <v>0</v>
      </c>
      <c r="AE894">
        <v>0</v>
      </c>
    </row>
    <row r="895" spans="1:31" x14ac:dyDescent="0.2">
      <c r="A895" t="s">
        <v>301</v>
      </c>
      <c r="B895" t="s">
        <v>32</v>
      </c>
      <c r="C895">
        <v>27</v>
      </c>
      <c r="D895" t="s">
        <v>78</v>
      </c>
      <c r="E895" t="s">
        <v>39</v>
      </c>
      <c r="F895" t="s">
        <v>59</v>
      </c>
      <c r="G895">
        <v>14323</v>
      </c>
      <c r="H895">
        <v>0</v>
      </c>
      <c r="I895">
        <v>1</v>
      </c>
      <c r="J895">
        <v>1</v>
      </c>
      <c r="K895">
        <v>0</v>
      </c>
      <c r="L895" t="s">
        <v>99</v>
      </c>
      <c r="M895" t="s">
        <v>94</v>
      </c>
      <c r="N895" t="s">
        <v>60</v>
      </c>
      <c r="O895" t="s">
        <v>67</v>
      </c>
      <c r="P895" t="s">
        <v>68</v>
      </c>
      <c r="Q895" t="s">
        <v>44</v>
      </c>
      <c r="R895">
        <v>1</v>
      </c>
      <c r="S895">
        <v>1</v>
      </c>
      <c r="T895">
        <v>0</v>
      </c>
      <c r="U895">
        <v>1</v>
      </c>
      <c r="V895">
        <v>0</v>
      </c>
      <c r="W895">
        <v>0</v>
      </c>
      <c r="X895">
        <v>1</v>
      </c>
      <c r="Y895">
        <v>1</v>
      </c>
      <c r="Z895">
        <v>1</v>
      </c>
      <c r="AA895">
        <v>0</v>
      </c>
      <c r="AB895">
        <v>0</v>
      </c>
      <c r="AC895">
        <v>0</v>
      </c>
      <c r="AD895">
        <v>0</v>
      </c>
      <c r="AE895">
        <v>0</v>
      </c>
    </row>
    <row r="896" spans="1:31" x14ac:dyDescent="0.2">
      <c r="A896" t="s">
        <v>301</v>
      </c>
      <c r="B896" t="s">
        <v>32</v>
      </c>
      <c r="C896">
        <v>27</v>
      </c>
      <c r="D896" t="s">
        <v>78</v>
      </c>
      <c r="E896" t="s">
        <v>52</v>
      </c>
      <c r="F896" t="s">
        <v>74</v>
      </c>
      <c r="G896">
        <v>14161</v>
      </c>
      <c r="H896">
        <v>1</v>
      </c>
      <c r="I896">
        <v>1</v>
      </c>
      <c r="J896">
        <v>0</v>
      </c>
      <c r="K896">
        <v>0</v>
      </c>
      <c r="L896" t="s">
        <v>35</v>
      </c>
      <c r="M896" t="s">
        <v>35</v>
      </c>
      <c r="N896" t="s">
        <v>35</v>
      </c>
      <c r="O896" t="s">
        <v>35</v>
      </c>
      <c r="P896" t="s">
        <v>35</v>
      </c>
      <c r="Q896" t="s">
        <v>35</v>
      </c>
      <c r="R896" t="s">
        <v>35</v>
      </c>
      <c r="S896">
        <v>1</v>
      </c>
      <c r="T896">
        <v>0</v>
      </c>
      <c r="U896">
        <v>1</v>
      </c>
      <c r="V896">
        <v>0</v>
      </c>
      <c r="W896">
        <v>0</v>
      </c>
      <c r="X896">
        <v>1</v>
      </c>
      <c r="Y896">
        <v>1</v>
      </c>
      <c r="Z896">
        <v>1</v>
      </c>
      <c r="AA896">
        <v>0</v>
      </c>
      <c r="AB896">
        <v>0</v>
      </c>
      <c r="AC896">
        <v>0</v>
      </c>
      <c r="AD896">
        <v>0</v>
      </c>
      <c r="AE896">
        <v>0</v>
      </c>
    </row>
    <row r="897" spans="1:31" x14ac:dyDescent="0.2">
      <c r="A897" t="s">
        <v>301</v>
      </c>
      <c r="B897" t="s">
        <v>32</v>
      </c>
      <c r="C897">
        <v>27</v>
      </c>
      <c r="D897" t="s">
        <v>78</v>
      </c>
      <c r="E897" t="s">
        <v>75</v>
      </c>
      <c r="F897" t="s">
        <v>35</v>
      </c>
      <c r="G897">
        <v>192748</v>
      </c>
      <c r="H897" t="s">
        <v>302</v>
      </c>
      <c r="I897" t="s">
        <v>303</v>
      </c>
      <c r="J897" t="s">
        <v>100</v>
      </c>
      <c r="K897" t="s">
        <v>35</v>
      </c>
      <c r="L897" t="s">
        <v>35</v>
      </c>
      <c r="M897" t="s">
        <v>35</v>
      </c>
      <c r="N897" t="s">
        <v>35</v>
      </c>
      <c r="O897" t="s">
        <v>35</v>
      </c>
      <c r="P897" t="s">
        <v>35</v>
      </c>
      <c r="Q897" t="s">
        <v>35</v>
      </c>
      <c r="R897" t="s">
        <v>35</v>
      </c>
      <c r="S897" t="s">
        <v>35</v>
      </c>
      <c r="T897" t="s">
        <v>35</v>
      </c>
      <c r="U897" t="s">
        <v>35</v>
      </c>
      <c r="V897" t="s">
        <v>35</v>
      </c>
      <c r="W897" t="s">
        <v>35</v>
      </c>
      <c r="X897" t="s">
        <v>35</v>
      </c>
      <c r="Y897" t="s">
        <v>35</v>
      </c>
      <c r="Z897" t="s">
        <v>35</v>
      </c>
      <c r="AA897" t="s">
        <v>35</v>
      </c>
      <c r="AB897" t="s">
        <v>35</v>
      </c>
      <c r="AC897" t="s">
        <v>35</v>
      </c>
      <c r="AD897" t="s">
        <v>35</v>
      </c>
      <c r="AE897" t="s">
        <v>35</v>
      </c>
    </row>
    <row r="898" spans="1:31" x14ac:dyDescent="0.2">
      <c r="A898" t="s">
        <v>304</v>
      </c>
      <c r="B898" t="s">
        <v>32</v>
      </c>
      <c r="C898">
        <v>27</v>
      </c>
      <c r="D898" t="s">
        <v>33</v>
      </c>
      <c r="E898" t="s">
        <v>34</v>
      </c>
      <c r="F898" t="s">
        <v>35</v>
      </c>
      <c r="G898">
        <v>206329</v>
      </c>
      <c r="H898" t="s">
        <v>35</v>
      </c>
      <c r="I898" t="s">
        <v>35</v>
      </c>
      <c r="J898" t="s">
        <v>35</v>
      </c>
      <c r="K898" t="s">
        <v>35</v>
      </c>
      <c r="L898" t="s">
        <v>35</v>
      </c>
      <c r="M898" t="s">
        <v>35</v>
      </c>
      <c r="N898" t="s">
        <v>35</v>
      </c>
      <c r="O898" t="s">
        <v>35</v>
      </c>
      <c r="P898" t="s">
        <v>35</v>
      </c>
      <c r="Q898" t="s">
        <v>35</v>
      </c>
      <c r="R898" t="s">
        <v>35</v>
      </c>
      <c r="S898" t="s">
        <v>35</v>
      </c>
      <c r="T898" t="s">
        <v>35</v>
      </c>
      <c r="U898" t="s">
        <v>35</v>
      </c>
      <c r="V898" t="s">
        <v>35</v>
      </c>
      <c r="W898" t="s">
        <v>35</v>
      </c>
      <c r="X898" t="s">
        <v>35</v>
      </c>
      <c r="Y898" t="s">
        <v>35</v>
      </c>
      <c r="Z898" t="s">
        <v>35</v>
      </c>
      <c r="AA898" t="s">
        <v>35</v>
      </c>
      <c r="AB898" t="s">
        <v>35</v>
      </c>
      <c r="AC898" t="s">
        <v>35</v>
      </c>
      <c r="AD898" t="s">
        <v>35</v>
      </c>
      <c r="AE898" t="s">
        <v>35</v>
      </c>
    </row>
    <row r="899" spans="1:31" x14ac:dyDescent="0.2">
      <c r="A899" t="s">
        <v>304</v>
      </c>
      <c r="B899" t="s">
        <v>32</v>
      </c>
      <c r="C899">
        <v>27</v>
      </c>
      <c r="D899" t="s">
        <v>33</v>
      </c>
      <c r="E899" t="s">
        <v>36</v>
      </c>
      <c r="F899" t="s">
        <v>37</v>
      </c>
      <c r="G899">
        <v>725328</v>
      </c>
      <c r="H899">
        <v>0</v>
      </c>
      <c r="I899">
        <v>0</v>
      </c>
      <c r="J899">
        <v>1</v>
      </c>
      <c r="K899">
        <v>0</v>
      </c>
      <c r="L899" t="s">
        <v>35</v>
      </c>
      <c r="M899" t="s">
        <v>35</v>
      </c>
      <c r="N899" t="s">
        <v>35</v>
      </c>
      <c r="O899" t="s">
        <v>35</v>
      </c>
      <c r="P899" t="s">
        <v>35</v>
      </c>
      <c r="Q899" t="s">
        <v>35</v>
      </c>
      <c r="R899" t="s">
        <v>35</v>
      </c>
      <c r="S899" t="s">
        <v>35</v>
      </c>
      <c r="T899" t="s">
        <v>35</v>
      </c>
      <c r="U899" t="s">
        <v>35</v>
      </c>
      <c r="V899" t="s">
        <v>35</v>
      </c>
      <c r="W899" t="s">
        <v>35</v>
      </c>
      <c r="X899" t="s">
        <v>35</v>
      </c>
      <c r="Y899" t="s">
        <v>35</v>
      </c>
      <c r="Z899" t="s">
        <v>35</v>
      </c>
      <c r="AA899" t="s">
        <v>35</v>
      </c>
      <c r="AB899" t="s">
        <v>35</v>
      </c>
      <c r="AC899" t="s">
        <v>35</v>
      </c>
      <c r="AD899" t="s">
        <v>35</v>
      </c>
      <c r="AE899" t="s">
        <v>35</v>
      </c>
    </row>
    <row r="900" spans="1:31" x14ac:dyDescent="0.2">
      <c r="A900" t="s">
        <v>304</v>
      </c>
      <c r="B900" t="s">
        <v>32</v>
      </c>
      <c r="C900">
        <v>27</v>
      </c>
      <c r="D900" t="s">
        <v>33</v>
      </c>
      <c r="E900" t="s">
        <v>36</v>
      </c>
      <c r="F900" t="s">
        <v>38</v>
      </c>
      <c r="G900">
        <v>234694</v>
      </c>
      <c r="H900">
        <v>1</v>
      </c>
      <c r="I900">
        <v>1</v>
      </c>
      <c r="J900">
        <v>1</v>
      </c>
      <c r="K900">
        <v>0</v>
      </c>
      <c r="L900" t="s">
        <v>35</v>
      </c>
      <c r="M900" t="s">
        <v>35</v>
      </c>
      <c r="N900" t="s">
        <v>35</v>
      </c>
      <c r="O900" t="s">
        <v>35</v>
      </c>
      <c r="P900" t="s">
        <v>35</v>
      </c>
      <c r="Q900" t="s">
        <v>35</v>
      </c>
      <c r="R900" t="s">
        <v>35</v>
      </c>
      <c r="S900" t="s">
        <v>35</v>
      </c>
      <c r="T900" t="s">
        <v>35</v>
      </c>
      <c r="U900" t="s">
        <v>35</v>
      </c>
      <c r="V900" t="s">
        <v>35</v>
      </c>
      <c r="W900" t="s">
        <v>35</v>
      </c>
      <c r="X900" t="s">
        <v>35</v>
      </c>
      <c r="Y900" t="s">
        <v>35</v>
      </c>
      <c r="Z900" t="s">
        <v>35</v>
      </c>
      <c r="AA900" t="s">
        <v>35</v>
      </c>
      <c r="AB900" t="s">
        <v>35</v>
      </c>
      <c r="AC900" t="s">
        <v>35</v>
      </c>
      <c r="AD900" t="s">
        <v>35</v>
      </c>
      <c r="AE900" t="s">
        <v>35</v>
      </c>
    </row>
    <row r="901" spans="1:31" x14ac:dyDescent="0.2">
      <c r="A901" t="s">
        <v>304</v>
      </c>
      <c r="B901" t="s">
        <v>32</v>
      </c>
      <c r="C901">
        <v>27</v>
      </c>
      <c r="D901" t="s">
        <v>33</v>
      </c>
      <c r="E901" t="s">
        <v>39</v>
      </c>
      <c r="F901" t="s">
        <v>40</v>
      </c>
      <c r="G901">
        <v>248751</v>
      </c>
      <c r="H901">
        <v>1</v>
      </c>
      <c r="I901">
        <v>1</v>
      </c>
      <c r="J901">
        <v>1</v>
      </c>
      <c r="K901">
        <v>0</v>
      </c>
      <c r="L901" t="s">
        <v>42</v>
      </c>
      <c r="M901" t="s">
        <v>81</v>
      </c>
      <c r="N901" t="s">
        <v>91</v>
      </c>
      <c r="O901" t="s">
        <v>45</v>
      </c>
      <c r="P901" t="s">
        <v>67</v>
      </c>
      <c r="Q901" t="s">
        <v>51</v>
      </c>
      <c r="R901">
        <v>0</v>
      </c>
      <c r="S901">
        <v>0</v>
      </c>
      <c r="T901">
        <v>0</v>
      </c>
      <c r="U901">
        <v>1</v>
      </c>
      <c r="V901">
        <v>1</v>
      </c>
      <c r="W901">
        <v>0</v>
      </c>
      <c r="X901">
        <v>1</v>
      </c>
      <c r="Y901">
        <v>0</v>
      </c>
      <c r="Z901">
        <v>0</v>
      </c>
      <c r="AA901">
        <v>0</v>
      </c>
      <c r="AB901">
        <v>1</v>
      </c>
      <c r="AC901">
        <v>1</v>
      </c>
      <c r="AD901">
        <v>0</v>
      </c>
      <c r="AE901">
        <v>0</v>
      </c>
    </row>
    <row r="902" spans="1:31" x14ac:dyDescent="0.2">
      <c r="A902" t="s">
        <v>304</v>
      </c>
      <c r="B902" t="s">
        <v>32</v>
      </c>
      <c r="C902">
        <v>27</v>
      </c>
      <c r="D902" t="s">
        <v>33</v>
      </c>
      <c r="E902" t="s">
        <v>39</v>
      </c>
      <c r="F902" t="s">
        <v>54</v>
      </c>
      <c r="G902">
        <v>61874</v>
      </c>
      <c r="H902">
        <v>1</v>
      </c>
      <c r="I902">
        <v>1</v>
      </c>
      <c r="J902">
        <v>1</v>
      </c>
      <c r="K902">
        <v>0</v>
      </c>
      <c r="L902" t="s">
        <v>57</v>
      </c>
      <c r="M902" t="s">
        <v>88</v>
      </c>
      <c r="N902" t="s">
        <v>56</v>
      </c>
      <c r="O902" t="s">
        <v>46</v>
      </c>
      <c r="P902" t="s">
        <v>51</v>
      </c>
      <c r="Q902" t="s">
        <v>45</v>
      </c>
      <c r="R902">
        <v>0</v>
      </c>
      <c r="S902">
        <v>0</v>
      </c>
      <c r="T902">
        <v>1</v>
      </c>
      <c r="U902">
        <v>0</v>
      </c>
      <c r="V902">
        <v>1</v>
      </c>
      <c r="W902">
        <v>0</v>
      </c>
      <c r="X902">
        <v>1</v>
      </c>
      <c r="Y902">
        <v>0</v>
      </c>
      <c r="Z902">
        <v>0</v>
      </c>
      <c r="AA902">
        <v>1</v>
      </c>
      <c r="AB902">
        <v>0</v>
      </c>
      <c r="AC902">
        <v>1</v>
      </c>
      <c r="AD902">
        <v>0</v>
      </c>
      <c r="AE902">
        <v>0</v>
      </c>
    </row>
    <row r="903" spans="1:31" x14ac:dyDescent="0.2">
      <c r="A903" t="s">
        <v>304</v>
      </c>
      <c r="B903" t="s">
        <v>32</v>
      </c>
      <c r="C903">
        <v>27</v>
      </c>
      <c r="D903" t="s">
        <v>33</v>
      </c>
      <c r="E903" t="s">
        <v>52</v>
      </c>
      <c r="F903" t="s">
        <v>69</v>
      </c>
      <c r="G903">
        <v>59280</v>
      </c>
      <c r="H903">
        <v>1</v>
      </c>
      <c r="I903">
        <v>1</v>
      </c>
      <c r="J903">
        <v>0</v>
      </c>
      <c r="K903">
        <v>0</v>
      </c>
      <c r="L903" t="s">
        <v>35</v>
      </c>
      <c r="M903" t="s">
        <v>35</v>
      </c>
      <c r="N903" t="s">
        <v>35</v>
      </c>
      <c r="O903" t="s">
        <v>35</v>
      </c>
      <c r="P903" t="s">
        <v>35</v>
      </c>
      <c r="Q903" t="s">
        <v>35</v>
      </c>
      <c r="R903" t="s">
        <v>35</v>
      </c>
      <c r="S903">
        <v>0</v>
      </c>
      <c r="T903">
        <v>1</v>
      </c>
      <c r="U903">
        <v>0</v>
      </c>
      <c r="V903">
        <v>1</v>
      </c>
      <c r="W903">
        <v>0</v>
      </c>
      <c r="X903">
        <v>1</v>
      </c>
      <c r="Y903">
        <v>0</v>
      </c>
      <c r="Z903">
        <v>0</v>
      </c>
      <c r="AA903">
        <v>1</v>
      </c>
      <c r="AB903">
        <v>0</v>
      </c>
      <c r="AC903">
        <v>1</v>
      </c>
      <c r="AD903">
        <v>0</v>
      </c>
      <c r="AE903">
        <v>0</v>
      </c>
    </row>
    <row r="904" spans="1:31" x14ac:dyDescent="0.2">
      <c r="A904" t="s">
        <v>304</v>
      </c>
      <c r="B904" t="s">
        <v>32</v>
      </c>
      <c r="C904">
        <v>27</v>
      </c>
      <c r="D904" t="s">
        <v>33</v>
      </c>
      <c r="E904" t="s">
        <v>39</v>
      </c>
      <c r="F904" t="s">
        <v>59</v>
      </c>
      <c r="G904">
        <v>93750</v>
      </c>
      <c r="H904">
        <v>1</v>
      </c>
      <c r="I904">
        <v>1</v>
      </c>
      <c r="J904">
        <v>1</v>
      </c>
      <c r="K904">
        <v>0</v>
      </c>
      <c r="L904" t="s">
        <v>83</v>
      </c>
      <c r="M904" t="s">
        <v>94</v>
      </c>
      <c r="N904" t="s">
        <v>60</v>
      </c>
      <c r="O904" t="s">
        <v>51</v>
      </c>
      <c r="P904" t="s">
        <v>68</v>
      </c>
      <c r="Q904" t="s">
        <v>44</v>
      </c>
      <c r="R904">
        <v>1</v>
      </c>
      <c r="S904">
        <v>1</v>
      </c>
      <c r="T904">
        <v>0</v>
      </c>
      <c r="U904">
        <v>0</v>
      </c>
      <c r="V904">
        <v>0</v>
      </c>
      <c r="W904">
        <v>0</v>
      </c>
      <c r="X904">
        <v>1</v>
      </c>
      <c r="Y904">
        <v>1</v>
      </c>
      <c r="Z904">
        <v>1</v>
      </c>
      <c r="AA904">
        <v>0</v>
      </c>
      <c r="AB904">
        <v>0</v>
      </c>
      <c r="AC904">
        <v>0</v>
      </c>
      <c r="AD904">
        <v>0</v>
      </c>
      <c r="AE904">
        <v>0</v>
      </c>
    </row>
    <row r="905" spans="1:31" x14ac:dyDescent="0.2">
      <c r="A905" t="s">
        <v>304</v>
      </c>
      <c r="B905" t="s">
        <v>32</v>
      </c>
      <c r="C905">
        <v>27</v>
      </c>
      <c r="D905" t="s">
        <v>33</v>
      </c>
      <c r="E905" t="s">
        <v>52</v>
      </c>
      <c r="F905" t="s">
        <v>74</v>
      </c>
      <c r="G905">
        <v>11857</v>
      </c>
      <c r="H905">
        <v>1</v>
      </c>
      <c r="I905">
        <v>1</v>
      </c>
      <c r="J905">
        <v>0</v>
      </c>
      <c r="K905">
        <v>0</v>
      </c>
      <c r="L905" t="s">
        <v>35</v>
      </c>
      <c r="M905" t="s">
        <v>35</v>
      </c>
      <c r="N905" t="s">
        <v>35</v>
      </c>
      <c r="O905" t="s">
        <v>35</v>
      </c>
      <c r="P905" t="s">
        <v>35</v>
      </c>
      <c r="Q905" t="s">
        <v>35</v>
      </c>
      <c r="R905" t="s">
        <v>35</v>
      </c>
      <c r="S905">
        <v>1</v>
      </c>
      <c r="T905">
        <v>0</v>
      </c>
      <c r="U905">
        <v>0</v>
      </c>
      <c r="V905">
        <v>0</v>
      </c>
      <c r="W905">
        <v>0</v>
      </c>
      <c r="X905">
        <v>1</v>
      </c>
      <c r="Y905">
        <v>1</v>
      </c>
      <c r="Z905">
        <v>1</v>
      </c>
      <c r="AA905">
        <v>0</v>
      </c>
      <c r="AB905">
        <v>0</v>
      </c>
      <c r="AC905">
        <v>0</v>
      </c>
      <c r="AD905">
        <v>0</v>
      </c>
      <c r="AE905">
        <v>0</v>
      </c>
    </row>
    <row r="906" spans="1:31" x14ac:dyDescent="0.2">
      <c r="A906" t="s">
        <v>304</v>
      </c>
      <c r="B906" t="s">
        <v>32</v>
      </c>
      <c r="C906">
        <v>27</v>
      </c>
      <c r="D906" t="s">
        <v>33</v>
      </c>
      <c r="E906" t="s">
        <v>39</v>
      </c>
      <c r="F906" t="s">
        <v>70</v>
      </c>
      <c r="G906">
        <v>15639</v>
      </c>
      <c r="H906">
        <v>1</v>
      </c>
      <c r="I906">
        <v>1</v>
      </c>
      <c r="J906">
        <v>1</v>
      </c>
      <c r="K906">
        <v>0</v>
      </c>
      <c r="L906" t="s">
        <v>93</v>
      </c>
      <c r="M906" t="s">
        <v>86</v>
      </c>
      <c r="N906" t="s">
        <v>71</v>
      </c>
      <c r="O906" t="s">
        <v>68</v>
      </c>
      <c r="P906" t="s">
        <v>46</v>
      </c>
      <c r="Q906" t="s">
        <v>45</v>
      </c>
      <c r="R906">
        <v>1</v>
      </c>
      <c r="S906">
        <v>0</v>
      </c>
      <c r="T906">
        <v>1</v>
      </c>
      <c r="U906">
        <v>0</v>
      </c>
      <c r="V906">
        <v>1</v>
      </c>
      <c r="W906">
        <v>0</v>
      </c>
      <c r="X906">
        <v>1</v>
      </c>
      <c r="Y906">
        <v>1</v>
      </c>
      <c r="Z906">
        <v>0</v>
      </c>
      <c r="AA906">
        <v>1</v>
      </c>
      <c r="AB906">
        <v>0</v>
      </c>
      <c r="AC906">
        <v>1</v>
      </c>
      <c r="AD906">
        <v>0</v>
      </c>
      <c r="AE906">
        <v>0</v>
      </c>
    </row>
    <row r="907" spans="1:31" x14ac:dyDescent="0.2">
      <c r="A907" t="s">
        <v>304</v>
      </c>
      <c r="B907" t="s">
        <v>32</v>
      </c>
      <c r="C907">
        <v>27</v>
      </c>
      <c r="D907" t="s">
        <v>33</v>
      </c>
      <c r="E907" t="s">
        <v>39</v>
      </c>
      <c r="F907" t="s">
        <v>47</v>
      </c>
      <c r="G907">
        <v>8606</v>
      </c>
      <c r="H907">
        <v>1</v>
      </c>
      <c r="I907">
        <v>1</v>
      </c>
      <c r="J907">
        <v>1</v>
      </c>
      <c r="K907">
        <v>0</v>
      </c>
      <c r="L907" t="s">
        <v>80</v>
      </c>
      <c r="M907" t="s">
        <v>79</v>
      </c>
      <c r="N907" t="s">
        <v>95</v>
      </c>
      <c r="O907" t="s">
        <v>67</v>
      </c>
      <c r="P907" t="s">
        <v>45</v>
      </c>
      <c r="Q907" t="s">
        <v>68</v>
      </c>
      <c r="R907">
        <v>1</v>
      </c>
      <c r="S907">
        <v>0</v>
      </c>
      <c r="T907">
        <v>0</v>
      </c>
      <c r="U907">
        <v>1</v>
      </c>
      <c r="V907">
        <v>1</v>
      </c>
      <c r="W907">
        <v>0</v>
      </c>
      <c r="X907">
        <v>1</v>
      </c>
      <c r="Y907">
        <v>1</v>
      </c>
      <c r="Z907">
        <v>0</v>
      </c>
      <c r="AA907">
        <v>0</v>
      </c>
      <c r="AB907">
        <v>1</v>
      </c>
      <c r="AC907">
        <v>1</v>
      </c>
      <c r="AD907">
        <v>0</v>
      </c>
      <c r="AE907">
        <v>0</v>
      </c>
    </row>
    <row r="908" spans="1:31" x14ac:dyDescent="0.2">
      <c r="A908" t="s">
        <v>304</v>
      </c>
      <c r="B908" t="s">
        <v>32</v>
      </c>
      <c r="C908">
        <v>27</v>
      </c>
      <c r="D908" t="s">
        <v>33</v>
      </c>
      <c r="E908" t="s">
        <v>52</v>
      </c>
      <c r="F908" t="s">
        <v>58</v>
      </c>
      <c r="G908">
        <v>15549</v>
      </c>
      <c r="H908">
        <v>1</v>
      </c>
      <c r="I908">
        <v>1</v>
      </c>
      <c r="J908">
        <v>1</v>
      </c>
      <c r="K908">
        <v>0</v>
      </c>
      <c r="L908" t="s">
        <v>35</v>
      </c>
      <c r="M908" t="s">
        <v>35</v>
      </c>
      <c r="N908" t="s">
        <v>35</v>
      </c>
      <c r="O908" t="s">
        <v>35</v>
      </c>
      <c r="P908" t="s">
        <v>35</v>
      </c>
      <c r="Q908" t="s">
        <v>35</v>
      </c>
      <c r="R908" t="s">
        <v>35</v>
      </c>
      <c r="S908">
        <v>0</v>
      </c>
      <c r="T908">
        <v>0</v>
      </c>
      <c r="U908">
        <v>1</v>
      </c>
      <c r="V908">
        <v>1</v>
      </c>
      <c r="W908">
        <v>0</v>
      </c>
      <c r="X908">
        <v>1</v>
      </c>
      <c r="Y908">
        <v>1</v>
      </c>
      <c r="Z908">
        <v>0</v>
      </c>
      <c r="AA908">
        <v>0</v>
      </c>
      <c r="AB908">
        <v>1</v>
      </c>
      <c r="AC908">
        <v>1</v>
      </c>
      <c r="AD908">
        <v>0</v>
      </c>
      <c r="AE908">
        <v>0</v>
      </c>
    </row>
    <row r="909" spans="1:31" x14ac:dyDescent="0.2">
      <c r="A909" t="s">
        <v>304</v>
      </c>
      <c r="B909" t="s">
        <v>32</v>
      </c>
      <c r="C909">
        <v>27</v>
      </c>
      <c r="D909" t="s">
        <v>33</v>
      </c>
      <c r="E909" t="s">
        <v>39</v>
      </c>
      <c r="F909" t="s">
        <v>63</v>
      </c>
      <c r="G909">
        <v>4950</v>
      </c>
      <c r="H909">
        <v>1</v>
      </c>
      <c r="I909">
        <v>1</v>
      </c>
      <c r="J909">
        <v>0</v>
      </c>
      <c r="K909">
        <v>0</v>
      </c>
      <c r="L909" t="s">
        <v>65</v>
      </c>
      <c r="M909" t="s">
        <v>90</v>
      </c>
      <c r="N909" t="s">
        <v>84</v>
      </c>
      <c r="O909" t="s">
        <v>68</v>
      </c>
      <c r="P909" t="s">
        <v>44</v>
      </c>
      <c r="Q909" t="s">
        <v>46</v>
      </c>
      <c r="R909">
        <v>1</v>
      </c>
      <c r="S909">
        <v>1</v>
      </c>
      <c r="T909">
        <v>1</v>
      </c>
      <c r="U909">
        <v>0</v>
      </c>
      <c r="V909">
        <v>0</v>
      </c>
      <c r="W909">
        <v>0</v>
      </c>
      <c r="X909">
        <v>1</v>
      </c>
      <c r="Y909">
        <v>1</v>
      </c>
      <c r="Z909">
        <v>1</v>
      </c>
      <c r="AA909">
        <v>0</v>
      </c>
      <c r="AB909">
        <v>0</v>
      </c>
      <c r="AC909">
        <v>0</v>
      </c>
      <c r="AD909">
        <v>0</v>
      </c>
      <c r="AE909">
        <v>0</v>
      </c>
    </row>
    <row r="910" spans="1:31" x14ac:dyDescent="0.2">
      <c r="A910" t="s">
        <v>304</v>
      </c>
      <c r="B910" t="s">
        <v>32</v>
      </c>
      <c r="C910">
        <v>27</v>
      </c>
      <c r="D910" t="s">
        <v>33</v>
      </c>
      <c r="E910" t="s">
        <v>52</v>
      </c>
      <c r="F910" t="s">
        <v>53</v>
      </c>
      <c r="G910">
        <v>5917</v>
      </c>
      <c r="H910">
        <v>0</v>
      </c>
      <c r="I910">
        <v>1</v>
      </c>
      <c r="J910">
        <v>1</v>
      </c>
      <c r="K910">
        <v>0</v>
      </c>
      <c r="L910" t="s">
        <v>35</v>
      </c>
      <c r="M910" t="s">
        <v>35</v>
      </c>
      <c r="N910" t="s">
        <v>35</v>
      </c>
      <c r="O910" t="s">
        <v>35</v>
      </c>
      <c r="P910" t="s">
        <v>35</v>
      </c>
      <c r="Q910" t="s">
        <v>35</v>
      </c>
      <c r="R910" t="s">
        <v>35</v>
      </c>
      <c r="S910">
        <v>1</v>
      </c>
      <c r="T910">
        <v>1</v>
      </c>
      <c r="U910">
        <v>0</v>
      </c>
      <c r="V910">
        <v>0</v>
      </c>
      <c r="W910">
        <v>0</v>
      </c>
      <c r="X910">
        <v>1</v>
      </c>
      <c r="Y910">
        <v>1</v>
      </c>
      <c r="Z910">
        <v>1</v>
      </c>
      <c r="AA910">
        <v>0</v>
      </c>
      <c r="AB910">
        <v>0</v>
      </c>
      <c r="AC910">
        <v>0</v>
      </c>
      <c r="AD910">
        <v>0</v>
      </c>
      <c r="AE910">
        <v>0</v>
      </c>
    </row>
    <row r="911" spans="1:31" x14ac:dyDescent="0.2">
      <c r="A911" t="s">
        <v>304</v>
      </c>
      <c r="B911" t="s">
        <v>32</v>
      </c>
      <c r="C911">
        <v>27</v>
      </c>
      <c r="D911" t="s">
        <v>33</v>
      </c>
      <c r="E911" t="s">
        <v>75</v>
      </c>
      <c r="F911" t="s">
        <v>35</v>
      </c>
      <c r="G911">
        <v>45693</v>
      </c>
      <c r="H911" t="s">
        <v>291</v>
      </c>
      <c r="I911" t="s">
        <v>305</v>
      </c>
      <c r="J911" t="s">
        <v>306</v>
      </c>
      <c r="K911" t="s">
        <v>35</v>
      </c>
      <c r="L911" t="s">
        <v>35</v>
      </c>
      <c r="M911" t="s">
        <v>35</v>
      </c>
      <c r="N911" t="s">
        <v>35</v>
      </c>
      <c r="O911" t="s">
        <v>35</v>
      </c>
      <c r="P911" t="s">
        <v>35</v>
      </c>
      <c r="Q911" t="s">
        <v>35</v>
      </c>
      <c r="R911" t="s">
        <v>35</v>
      </c>
      <c r="S911" t="s">
        <v>35</v>
      </c>
      <c r="T911" t="s">
        <v>35</v>
      </c>
      <c r="U911" t="s">
        <v>35</v>
      </c>
      <c r="V911" t="s">
        <v>35</v>
      </c>
      <c r="W911" t="s">
        <v>35</v>
      </c>
      <c r="X911" t="s">
        <v>35</v>
      </c>
      <c r="Y911" t="s">
        <v>35</v>
      </c>
      <c r="Z911" t="s">
        <v>35</v>
      </c>
      <c r="AA911" t="s">
        <v>35</v>
      </c>
      <c r="AB911" t="s">
        <v>35</v>
      </c>
      <c r="AC911" t="s">
        <v>35</v>
      </c>
      <c r="AD911" t="s">
        <v>35</v>
      </c>
      <c r="AE911" t="s">
        <v>35</v>
      </c>
    </row>
    <row r="912" spans="1:31" x14ac:dyDescent="0.2">
      <c r="A912" t="s">
        <v>307</v>
      </c>
      <c r="B912" t="s">
        <v>102</v>
      </c>
      <c r="C912">
        <v>64</v>
      </c>
      <c r="D912" t="s">
        <v>78</v>
      </c>
      <c r="E912" t="s">
        <v>34</v>
      </c>
      <c r="F912" t="s">
        <v>35</v>
      </c>
      <c r="G912">
        <v>109809</v>
      </c>
      <c r="H912" t="s">
        <v>35</v>
      </c>
      <c r="I912" t="s">
        <v>35</v>
      </c>
      <c r="J912" t="s">
        <v>35</v>
      </c>
      <c r="K912" t="s">
        <v>35</v>
      </c>
      <c r="L912" t="s">
        <v>35</v>
      </c>
      <c r="M912" t="s">
        <v>35</v>
      </c>
      <c r="N912" t="s">
        <v>35</v>
      </c>
      <c r="O912" t="s">
        <v>35</v>
      </c>
      <c r="P912" t="s">
        <v>35</v>
      </c>
      <c r="Q912" t="s">
        <v>35</v>
      </c>
      <c r="R912" t="s">
        <v>35</v>
      </c>
      <c r="S912" t="s">
        <v>35</v>
      </c>
      <c r="T912" t="s">
        <v>35</v>
      </c>
      <c r="U912" t="s">
        <v>35</v>
      </c>
      <c r="V912" t="s">
        <v>35</v>
      </c>
      <c r="W912" t="s">
        <v>35</v>
      </c>
      <c r="X912" t="s">
        <v>35</v>
      </c>
      <c r="Y912" t="s">
        <v>35</v>
      </c>
      <c r="Z912" t="s">
        <v>35</v>
      </c>
      <c r="AA912" t="s">
        <v>35</v>
      </c>
      <c r="AB912" t="s">
        <v>35</v>
      </c>
      <c r="AC912" t="s">
        <v>35</v>
      </c>
      <c r="AD912" t="s">
        <v>35</v>
      </c>
      <c r="AE912" t="s">
        <v>35</v>
      </c>
    </row>
    <row r="913" spans="1:31" x14ac:dyDescent="0.2">
      <c r="A913" t="s">
        <v>307</v>
      </c>
      <c r="B913" t="s">
        <v>102</v>
      </c>
      <c r="C913">
        <v>64</v>
      </c>
      <c r="D913" t="s">
        <v>78</v>
      </c>
      <c r="E913" t="s">
        <v>36</v>
      </c>
      <c r="F913" t="s">
        <v>37</v>
      </c>
      <c r="G913">
        <v>108871</v>
      </c>
      <c r="H913">
        <v>0</v>
      </c>
      <c r="I913">
        <v>0</v>
      </c>
      <c r="J913">
        <v>1</v>
      </c>
      <c r="K913">
        <v>0</v>
      </c>
      <c r="L913" t="s">
        <v>35</v>
      </c>
      <c r="M913" t="s">
        <v>35</v>
      </c>
      <c r="N913" t="s">
        <v>35</v>
      </c>
      <c r="O913" t="s">
        <v>35</v>
      </c>
      <c r="P913" t="s">
        <v>35</v>
      </c>
      <c r="Q913" t="s">
        <v>35</v>
      </c>
      <c r="R913" t="s">
        <v>35</v>
      </c>
      <c r="S913" t="s">
        <v>35</v>
      </c>
      <c r="T913" t="s">
        <v>35</v>
      </c>
      <c r="U913" t="s">
        <v>35</v>
      </c>
      <c r="V913" t="s">
        <v>35</v>
      </c>
      <c r="W913" t="s">
        <v>35</v>
      </c>
      <c r="X913" t="s">
        <v>35</v>
      </c>
      <c r="Y913" t="s">
        <v>35</v>
      </c>
      <c r="Z913" t="s">
        <v>35</v>
      </c>
      <c r="AA913" t="s">
        <v>35</v>
      </c>
      <c r="AB913" t="s">
        <v>35</v>
      </c>
      <c r="AC913" t="s">
        <v>35</v>
      </c>
      <c r="AD913" t="s">
        <v>35</v>
      </c>
      <c r="AE913" t="s">
        <v>35</v>
      </c>
    </row>
    <row r="914" spans="1:31" x14ac:dyDescent="0.2">
      <c r="A914" t="s">
        <v>307</v>
      </c>
      <c r="B914" t="s">
        <v>102</v>
      </c>
      <c r="C914">
        <v>64</v>
      </c>
      <c r="D914" t="s">
        <v>78</v>
      </c>
      <c r="E914" t="s">
        <v>36</v>
      </c>
      <c r="F914" t="s">
        <v>38</v>
      </c>
      <c r="G914">
        <v>51840</v>
      </c>
      <c r="H914">
        <v>0</v>
      </c>
      <c r="I914">
        <v>0</v>
      </c>
      <c r="J914">
        <v>0</v>
      </c>
      <c r="K914">
        <v>1</v>
      </c>
      <c r="L914" t="s">
        <v>35</v>
      </c>
      <c r="M914" t="s">
        <v>35</v>
      </c>
      <c r="N914" t="s">
        <v>35</v>
      </c>
      <c r="O914" t="s">
        <v>35</v>
      </c>
      <c r="P914" t="s">
        <v>35</v>
      </c>
      <c r="Q914" t="s">
        <v>35</v>
      </c>
      <c r="R914" t="s">
        <v>35</v>
      </c>
      <c r="S914" t="s">
        <v>35</v>
      </c>
      <c r="T914" t="s">
        <v>35</v>
      </c>
      <c r="U914" t="s">
        <v>35</v>
      </c>
      <c r="V914" t="s">
        <v>35</v>
      </c>
      <c r="W914" t="s">
        <v>35</v>
      </c>
      <c r="X914" t="s">
        <v>35</v>
      </c>
      <c r="Y914" t="s">
        <v>35</v>
      </c>
      <c r="Z914" t="s">
        <v>35</v>
      </c>
      <c r="AA914" t="s">
        <v>35</v>
      </c>
      <c r="AB914" t="s">
        <v>35</v>
      </c>
      <c r="AC914" t="s">
        <v>35</v>
      </c>
      <c r="AD914" t="s">
        <v>35</v>
      </c>
      <c r="AE914" t="s">
        <v>35</v>
      </c>
    </row>
    <row r="915" spans="1:31" x14ac:dyDescent="0.2">
      <c r="A915" t="s">
        <v>307</v>
      </c>
      <c r="B915" t="s">
        <v>102</v>
      </c>
      <c r="C915">
        <v>64</v>
      </c>
      <c r="D915" t="s">
        <v>78</v>
      </c>
      <c r="E915" t="s">
        <v>39</v>
      </c>
      <c r="F915" t="s">
        <v>59</v>
      </c>
      <c r="G915">
        <v>71354</v>
      </c>
      <c r="H915">
        <v>0</v>
      </c>
      <c r="I915">
        <v>0</v>
      </c>
      <c r="J915">
        <v>0</v>
      </c>
      <c r="K915">
        <v>1</v>
      </c>
      <c r="L915" t="s">
        <v>61</v>
      </c>
      <c r="M915" t="s">
        <v>83</v>
      </c>
      <c r="N915" t="s">
        <v>62</v>
      </c>
      <c r="O915" t="s">
        <v>46</v>
      </c>
      <c r="P915" t="s">
        <v>51</v>
      </c>
      <c r="Q915" t="s">
        <v>45</v>
      </c>
      <c r="R915">
        <v>0</v>
      </c>
      <c r="S915">
        <v>0</v>
      </c>
      <c r="T915">
        <v>1</v>
      </c>
      <c r="U915">
        <v>0</v>
      </c>
      <c r="V915">
        <v>1</v>
      </c>
      <c r="W915">
        <v>0</v>
      </c>
      <c r="X915">
        <v>1</v>
      </c>
      <c r="Y915">
        <v>0</v>
      </c>
      <c r="Z915">
        <v>0</v>
      </c>
      <c r="AA915">
        <v>0</v>
      </c>
      <c r="AB915">
        <v>0</v>
      </c>
      <c r="AC915">
        <v>0</v>
      </c>
      <c r="AD915">
        <v>0</v>
      </c>
      <c r="AE915">
        <v>1</v>
      </c>
    </row>
    <row r="916" spans="1:31" x14ac:dyDescent="0.2">
      <c r="A916" t="s">
        <v>307</v>
      </c>
      <c r="B916" t="s">
        <v>102</v>
      </c>
      <c r="C916">
        <v>64</v>
      </c>
      <c r="D916" t="s">
        <v>78</v>
      </c>
      <c r="E916" t="s">
        <v>39</v>
      </c>
      <c r="F916" t="s">
        <v>54</v>
      </c>
      <c r="G916">
        <v>75091</v>
      </c>
      <c r="H916">
        <v>0</v>
      </c>
      <c r="I916">
        <v>0</v>
      </c>
      <c r="J916">
        <v>1</v>
      </c>
      <c r="K916">
        <v>0</v>
      </c>
      <c r="L916" t="s">
        <v>57</v>
      </c>
      <c r="M916" t="s">
        <v>56</v>
      </c>
      <c r="N916" t="s">
        <v>89</v>
      </c>
      <c r="O916" t="s">
        <v>46</v>
      </c>
      <c r="P916" t="s">
        <v>45</v>
      </c>
      <c r="Q916" t="s">
        <v>67</v>
      </c>
      <c r="R916">
        <v>0</v>
      </c>
      <c r="S916">
        <v>0</v>
      </c>
      <c r="T916">
        <v>1</v>
      </c>
      <c r="U916">
        <v>1</v>
      </c>
      <c r="V916">
        <v>1</v>
      </c>
      <c r="W916">
        <v>0</v>
      </c>
      <c r="X916">
        <v>1</v>
      </c>
      <c r="Y916">
        <v>0</v>
      </c>
      <c r="Z916">
        <v>0</v>
      </c>
      <c r="AA916">
        <v>0</v>
      </c>
      <c r="AB916">
        <v>1</v>
      </c>
      <c r="AC916">
        <v>0</v>
      </c>
      <c r="AD916">
        <v>0</v>
      </c>
      <c r="AE916">
        <v>0</v>
      </c>
    </row>
    <row r="917" spans="1:31" x14ac:dyDescent="0.2">
      <c r="A917" t="s">
        <v>307</v>
      </c>
      <c r="B917" t="s">
        <v>102</v>
      </c>
      <c r="C917">
        <v>64</v>
      </c>
      <c r="D917" t="s">
        <v>78</v>
      </c>
      <c r="E917" t="s">
        <v>52</v>
      </c>
      <c r="F917" t="s">
        <v>69</v>
      </c>
      <c r="G917">
        <v>41956</v>
      </c>
      <c r="H917">
        <v>0</v>
      </c>
      <c r="I917">
        <v>1</v>
      </c>
      <c r="J917">
        <v>0</v>
      </c>
      <c r="K917">
        <v>0</v>
      </c>
      <c r="L917" t="s">
        <v>35</v>
      </c>
      <c r="M917" t="s">
        <v>35</v>
      </c>
      <c r="N917" t="s">
        <v>35</v>
      </c>
      <c r="O917" t="s">
        <v>35</v>
      </c>
      <c r="P917" t="s">
        <v>35</v>
      </c>
      <c r="Q917" t="s">
        <v>35</v>
      </c>
      <c r="R917" t="s">
        <v>35</v>
      </c>
      <c r="S917">
        <v>0</v>
      </c>
      <c r="T917">
        <v>1</v>
      </c>
      <c r="U917">
        <v>1</v>
      </c>
      <c r="V917">
        <v>1</v>
      </c>
      <c r="W917">
        <v>0</v>
      </c>
      <c r="X917">
        <v>1</v>
      </c>
      <c r="Y917">
        <v>0</v>
      </c>
      <c r="Z917">
        <v>0</v>
      </c>
      <c r="AA917">
        <v>0</v>
      </c>
      <c r="AB917">
        <v>1</v>
      </c>
      <c r="AC917">
        <v>0</v>
      </c>
      <c r="AD917">
        <v>0</v>
      </c>
      <c r="AE917">
        <v>0</v>
      </c>
    </row>
    <row r="918" spans="1:31" x14ac:dyDescent="0.2">
      <c r="A918" t="s">
        <v>307</v>
      </c>
      <c r="B918" t="s">
        <v>102</v>
      </c>
      <c r="C918">
        <v>64</v>
      </c>
      <c r="D918" t="s">
        <v>78</v>
      </c>
      <c r="E918" t="s">
        <v>39</v>
      </c>
      <c r="F918" t="s">
        <v>40</v>
      </c>
      <c r="G918">
        <v>95739</v>
      </c>
      <c r="H918">
        <v>0</v>
      </c>
      <c r="I918">
        <v>0</v>
      </c>
      <c r="J918">
        <v>0</v>
      </c>
      <c r="K918">
        <v>1</v>
      </c>
      <c r="L918" t="s">
        <v>41</v>
      </c>
      <c r="M918" t="s">
        <v>91</v>
      </c>
      <c r="N918" t="s">
        <v>43</v>
      </c>
      <c r="O918" t="s">
        <v>44</v>
      </c>
      <c r="P918" t="s">
        <v>51</v>
      </c>
      <c r="Q918" t="s">
        <v>46</v>
      </c>
      <c r="R918">
        <v>0</v>
      </c>
      <c r="S918">
        <v>1</v>
      </c>
      <c r="T918">
        <v>1</v>
      </c>
      <c r="U918">
        <v>0</v>
      </c>
      <c r="V918">
        <v>0</v>
      </c>
      <c r="W918">
        <v>0</v>
      </c>
      <c r="X918">
        <v>1</v>
      </c>
      <c r="Y918">
        <v>0</v>
      </c>
      <c r="Z918">
        <v>0</v>
      </c>
      <c r="AA918">
        <v>0</v>
      </c>
      <c r="AB918">
        <v>0</v>
      </c>
      <c r="AC918">
        <v>0</v>
      </c>
      <c r="AD918">
        <v>0</v>
      </c>
      <c r="AE918">
        <v>1</v>
      </c>
    </row>
    <row r="919" spans="1:31" x14ac:dyDescent="0.2">
      <c r="A919" t="s">
        <v>307</v>
      </c>
      <c r="B919" t="s">
        <v>102</v>
      </c>
      <c r="C919">
        <v>64</v>
      </c>
      <c r="D919" t="s">
        <v>78</v>
      </c>
      <c r="E919" t="s">
        <v>52</v>
      </c>
      <c r="F919" t="s">
        <v>74</v>
      </c>
      <c r="G919">
        <v>60014</v>
      </c>
      <c r="H919">
        <v>1</v>
      </c>
      <c r="I919">
        <v>0</v>
      </c>
      <c r="J919">
        <v>0</v>
      </c>
      <c r="K919">
        <v>0</v>
      </c>
      <c r="L919" t="s">
        <v>35</v>
      </c>
      <c r="M919" t="s">
        <v>35</v>
      </c>
      <c r="N919" t="s">
        <v>35</v>
      </c>
      <c r="O919" t="s">
        <v>35</v>
      </c>
      <c r="P919" t="s">
        <v>35</v>
      </c>
      <c r="Q919" t="s">
        <v>35</v>
      </c>
      <c r="R919" t="s">
        <v>35</v>
      </c>
      <c r="S919">
        <v>1</v>
      </c>
      <c r="T919">
        <v>1</v>
      </c>
      <c r="U919">
        <v>0</v>
      </c>
      <c r="V919">
        <v>0</v>
      </c>
      <c r="W919">
        <v>0</v>
      </c>
      <c r="X919">
        <v>1</v>
      </c>
      <c r="Y919">
        <v>0</v>
      </c>
      <c r="Z919">
        <v>0</v>
      </c>
      <c r="AA919">
        <v>0</v>
      </c>
      <c r="AB919">
        <v>0</v>
      </c>
      <c r="AC919">
        <v>0</v>
      </c>
      <c r="AD919">
        <v>0</v>
      </c>
      <c r="AE919">
        <v>1</v>
      </c>
    </row>
    <row r="920" spans="1:31" x14ac:dyDescent="0.2">
      <c r="A920" t="s">
        <v>307</v>
      </c>
      <c r="B920" t="s">
        <v>102</v>
      </c>
      <c r="C920">
        <v>64</v>
      </c>
      <c r="D920" t="s">
        <v>78</v>
      </c>
      <c r="E920" t="s">
        <v>39</v>
      </c>
      <c r="F920" t="s">
        <v>70</v>
      </c>
      <c r="G920">
        <v>62042</v>
      </c>
      <c r="H920">
        <v>1</v>
      </c>
      <c r="I920">
        <v>0</v>
      </c>
      <c r="J920">
        <v>0</v>
      </c>
      <c r="K920">
        <v>0</v>
      </c>
      <c r="L920" t="s">
        <v>72</v>
      </c>
      <c r="M920" t="s">
        <v>73</v>
      </c>
      <c r="N920" t="s">
        <v>93</v>
      </c>
      <c r="O920" t="s">
        <v>67</v>
      </c>
      <c r="P920" t="s">
        <v>44</v>
      </c>
      <c r="Q920" t="s">
        <v>68</v>
      </c>
      <c r="R920">
        <v>1</v>
      </c>
      <c r="S920">
        <v>1</v>
      </c>
      <c r="T920">
        <v>0</v>
      </c>
      <c r="U920">
        <v>1</v>
      </c>
      <c r="V920">
        <v>0</v>
      </c>
      <c r="W920">
        <v>0</v>
      </c>
      <c r="X920">
        <v>1</v>
      </c>
      <c r="Y920">
        <v>0</v>
      </c>
      <c r="Z920">
        <v>0</v>
      </c>
      <c r="AA920">
        <v>0</v>
      </c>
      <c r="AB920">
        <v>1</v>
      </c>
      <c r="AC920">
        <v>0</v>
      </c>
      <c r="AD920">
        <v>0</v>
      </c>
      <c r="AE920">
        <v>0</v>
      </c>
    </row>
    <row r="921" spans="1:31" x14ac:dyDescent="0.2">
      <c r="A921" t="s">
        <v>307</v>
      </c>
      <c r="B921" t="s">
        <v>102</v>
      </c>
      <c r="C921">
        <v>64</v>
      </c>
      <c r="D921" t="s">
        <v>78</v>
      </c>
      <c r="E921" t="s">
        <v>39</v>
      </c>
      <c r="F921" t="s">
        <v>63</v>
      </c>
      <c r="G921">
        <v>771113</v>
      </c>
      <c r="H921">
        <v>0</v>
      </c>
      <c r="I921">
        <v>0</v>
      </c>
      <c r="J921">
        <v>1</v>
      </c>
      <c r="K921">
        <v>0</v>
      </c>
      <c r="L921" t="s">
        <v>84</v>
      </c>
      <c r="M921" t="s">
        <v>66</v>
      </c>
      <c r="N921" t="s">
        <v>64</v>
      </c>
      <c r="O921" t="s">
        <v>46</v>
      </c>
      <c r="P921" t="s">
        <v>45</v>
      </c>
      <c r="Q921" t="s">
        <v>67</v>
      </c>
      <c r="R921">
        <v>0</v>
      </c>
      <c r="S921">
        <v>0</v>
      </c>
      <c r="T921">
        <v>1</v>
      </c>
      <c r="U921">
        <v>1</v>
      </c>
      <c r="V921">
        <v>1</v>
      </c>
      <c r="W921">
        <v>0</v>
      </c>
      <c r="X921">
        <v>1</v>
      </c>
      <c r="Y921">
        <v>0</v>
      </c>
      <c r="Z921">
        <v>0</v>
      </c>
      <c r="AA921">
        <v>0</v>
      </c>
      <c r="AB921">
        <v>1</v>
      </c>
      <c r="AC921">
        <v>0</v>
      </c>
      <c r="AD921">
        <v>0</v>
      </c>
      <c r="AE921">
        <v>0</v>
      </c>
    </row>
    <row r="922" spans="1:31" x14ac:dyDescent="0.2">
      <c r="A922" t="s">
        <v>307</v>
      </c>
      <c r="B922" t="s">
        <v>102</v>
      </c>
      <c r="C922">
        <v>64</v>
      </c>
      <c r="D922" t="s">
        <v>78</v>
      </c>
      <c r="E922" t="s">
        <v>52</v>
      </c>
      <c r="F922" t="s">
        <v>53</v>
      </c>
      <c r="G922">
        <v>56967</v>
      </c>
      <c r="H922">
        <v>1</v>
      </c>
      <c r="I922">
        <v>0</v>
      </c>
      <c r="J922">
        <v>0</v>
      </c>
      <c r="K922">
        <v>0</v>
      </c>
      <c r="L922" t="s">
        <v>35</v>
      </c>
      <c r="M922" t="s">
        <v>35</v>
      </c>
      <c r="N922" t="s">
        <v>35</v>
      </c>
      <c r="O922" t="s">
        <v>35</v>
      </c>
      <c r="P922" t="s">
        <v>35</v>
      </c>
      <c r="Q922" t="s">
        <v>35</v>
      </c>
      <c r="R922" t="s">
        <v>35</v>
      </c>
      <c r="S922">
        <v>0</v>
      </c>
      <c r="T922">
        <v>1</v>
      </c>
      <c r="U922">
        <v>1</v>
      </c>
      <c r="V922">
        <v>1</v>
      </c>
      <c r="W922">
        <v>0</v>
      </c>
      <c r="X922">
        <v>1</v>
      </c>
      <c r="Y922">
        <v>0</v>
      </c>
      <c r="Z922">
        <v>0</v>
      </c>
      <c r="AA922">
        <v>0</v>
      </c>
      <c r="AB922">
        <v>1</v>
      </c>
      <c r="AC922">
        <v>0</v>
      </c>
      <c r="AD922">
        <v>0</v>
      </c>
      <c r="AE922">
        <v>0</v>
      </c>
    </row>
    <row r="923" spans="1:31" x14ac:dyDescent="0.2">
      <c r="A923" t="s">
        <v>307</v>
      </c>
      <c r="B923" t="s">
        <v>102</v>
      </c>
      <c r="C923">
        <v>64</v>
      </c>
      <c r="D923" t="s">
        <v>78</v>
      </c>
      <c r="E923" t="s">
        <v>39</v>
      </c>
      <c r="F923" t="s">
        <v>47</v>
      </c>
      <c r="G923">
        <v>149479</v>
      </c>
      <c r="H923">
        <v>0</v>
      </c>
      <c r="I923">
        <v>0</v>
      </c>
      <c r="J923">
        <v>0</v>
      </c>
      <c r="K923">
        <v>1</v>
      </c>
      <c r="L923" t="s">
        <v>79</v>
      </c>
      <c r="M923" t="s">
        <v>95</v>
      </c>
      <c r="N923" t="s">
        <v>50</v>
      </c>
      <c r="O923" t="s">
        <v>45</v>
      </c>
      <c r="P923" t="s">
        <v>68</v>
      </c>
      <c r="Q923" t="s">
        <v>51</v>
      </c>
      <c r="R923">
        <v>1</v>
      </c>
      <c r="S923">
        <v>0</v>
      </c>
      <c r="T923">
        <v>0</v>
      </c>
      <c r="U923">
        <v>0</v>
      </c>
      <c r="V923">
        <v>1</v>
      </c>
      <c r="W923">
        <v>0</v>
      </c>
      <c r="X923">
        <v>1</v>
      </c>
      <c r="Y923">
        <v>0</v>
      </c>
      <c r="Z923">
        <v>0</v>
      </c>
      <c r="AA923">
        <v>0</v>
      </c>
      <c r="AB923">
        <v>0</v>
      </c>
      <c r="AC923">
        <v>0</v>
      </c>
      <c r="AD923">
        <v>0</v>
      </c>
      <c r="AE923">
        <v>1</v>
      </c>
    </row>
    <row r="924" spans="1:31" x14ac:dyDescent="0.2">
      <c r="A924" t="s">
        <v>307</v>
      </c>
      <c r="B924" t="s">
        <v>102</v>
      </c>
      <c r="C924">
        <v>64</v>
      </c>
      <c r="D924" t="s">
        <v>78</v>
      </c>
      <c r="E924" t="s">
        <v>52</v>
      </c>
      <c r="F924" t="s">
        <v>58</v>
      </c>
      <c r="G924">
        <v>53882</v>
      </c>
      <c r="H924">
        <v>1</v>
      </c>
      <c r="I924">
        <v>0</v>
      </c>
      <c r="J924">
        <v>0</v>
      </c>
      <c r="K924">
        <v>0</v>
      </c>
      <c r="L924" t="s">
        <v>35</v>
      </c>
      <c r="M924" t="s">
        <v>35</v>
      </c>
      <c r="N924" t="s">
        <v>35</v>
      </c>
      <c r="O924" t="s">
        <v>35</v>
      </c>
      <c r="P924" t="s">
        <v>35</v>
      </c>
      <c r="Q924" t="s">
        <v>35</v>
      </c>
      <c r="R924" t="s">
        <v>35</v>
      </c>
      <c r="S924">
        <v>0</v>
      </c>
      <c r="T924">
        <v>0</v>
      </c>
      <c r="U924">
        <v>0</v>
      </c>
      <c r="V924">
        <v>1</v>
      </c>
      <c r="W924">
        <v>0</v>
      </c>
      <c r="X924">
        <v>1</v>
      </c>
      <c r="Y924">
        <v>0</v>
      </c>
      <c r="Z924">
        <v>0</v>
      </c>
      <c r="AA924">
        <v>0</v>
      </c>
      <c r="AB924">
        <v>0</v>
      </c>
      <c r="AC924">
        <v>0</v>
      </c>
      <c r="AD924">
        <v>0</v>
      </c>
      <c r="AE924">
        <v>1</v>
      </c>
    </row>
    <row r="925" spans="1:31" x14ac:dyDescent="0.2">
      <c r="A925" t="s">
        <v>307</v>
      </c>
      <c r="B925" t="s">
        <v>102</v>
      </c>
      <c r="C925">
        <v>64</v>
      </c>
      <c r="D925" t="s">
        <v>78</v>
      </c>
      <c r="E925" t="s">
        <v>75</v>
      </c>
      <c r="F925" t="s">
        <v>35</v>
      </c>
      <c r="G925">
        <v>143460</v>
      </c>
      <c r="H925" t="s">
        <v>308</v>
      </c>
      <c r="I925" t="s">
        <v>309</v>
      </c>
      <c r="J925" t="s">
        <v>310</v>
      </c>
      <c r="K925" t="s">
        <v>35</v>
      </c>
      <c r="L925" t="s">
        <v>35</v>
      </c>
      <c r="M925" t="s">
        <v>35</v>
      </c>
      <c r="N925" t="s">
        <v>35</v>
      </c>
      <c r="O925" t="s">
        <v>35</v>
      </c>
      <c r="P925" t="s">
        <v>35</v>
      </c>
      <c r="Q925" t="s">
        <v>35</v>
      </c>
      <c r="R925" t="s">
        <v>35</v>
      </c>
      <c r="S925" t="s">
        <v>35</v>
      </c>
      <c r="T925" t="s">
        <v>35</v>
      </c>
      <c r="U925" t="s">
        <v>35</v>
      </c>
      <c r="V925" t="s">
        <v>35</v>
      </c>
      <c r="W925" t="s">
        <v>35</v>
      </c>
      <c r="X925" t="s">
        <v>35</v>
      </c>
      <c r="Y925" t="s">
        <v>35</v>
      </c>
      <c r="Z925" t="s">
        <v>35</v>
      </c>
      <c r="AA925" t="s">
        <v>35</v>
      </c>
      <c r="AB925" t="s">
        <v>35</v>
      </c>
      <c r="AC925" t="s">
        <v>35</v>
      </c>
      <c r="AD925" t="s">
        <v>35</v>
      </c>
      <c r="AE925" t="s">
        <v>35</v>
      </c>
    </row>
    <row r="926" spans="1:31" x14ac:dyDescent="0.2">
      <c r="A926" t="s">
        <v>311</v>
      </c>
      <c r="B926" t="s">
        <v>102</v>
      </c>
      <c r="C926">
        <v>30</v>
      </c>
      <c r="D926" t="s">
        <v>78</v>
      </c>
      <c r="E926" t="s">
        <v>34</v>
      </c>
      <c r="F926" t="s">
        <v>35</v>
      </c>
      <c r="G926">
        <v>113658</v>
      </c>
      <c r="H926" t="s">
        <v>35</v>
      </c>
      <c r="I926" t="s">
        <v>35</v>
      </c>
      <c r="J926" t="s">
        <v>35</v>
      </c>
      <c r="K926" t="s">
        <v>35</v>
      </c>
      <c r="L926" t="s">
        <v>35</v>
      </c>
      <c r="M926" t="s">
        <v>35</v>
      </c>
      <c r="N926" t="s">
        <v>35</v>
      </c>
      <c r="O926" t="s">
        <v>35</v>
      </c>
      <c r="P926" t="s">
        <v>35</v>
      </c>
      <c r="Q926" t="s">
        <v>35</v>
      </c>
      <c r="R926" t="s">
        <v>35</v>
      </c>
      <c r="S926" t="s">
        <v>35</v>
      </c>
      <c r="T926" t="s">
        <v>35</v>
      </c>
      <c r="U926" t="s">
        <v>35</v>
      </c>
      <c r="V926" t="s">
        <v>35</v>
      </c>
      <c r="W926" t="s">
        <v>35</v>
      </c>
      <c r="X926" t="s">
        <v>35</v>
      </c>
      <c r="Y926" t="s">
        <v>35</v>
      </c>
      <c r="Z926" t="s">
        <v>35</v>
      </c>
      <c r="AA926" t="s">
        <v>35</v>
      </c>
      <c r="AB926" t="s">
        <v>35</v>
      </c>
      <c r="AC926" t="s">
        <v>35</v>
      </c>
      <c r="AD926" t="s">
        <v>35</v>
      </c>
      <c r="AE926" t="s">
        <v>35</v>
      </c>
    </row>
    <row r="927" spans="1:31" x14ac:dyDescent="0.2">
      <c r="A927" t="s">
        <v>311</v>
      </c>
      <c r="B927" t="s">
        <v>102</v>
      </c>
      <c r="C927">
        <v>30</v>
      </c>
      <c r="D927" t="s">
        <v>78</v>
      </c>
      <c r="E927" t="s">
        <v>36</v>
      </c>
      <c r="F927" t="s">
        <v>37</v>
      </c>
      <c r="G927">
        <v>37652</v>
      </c>
      <c r="H927">
        <v>0</v>
      </c>
      <c r="I927">
        <v>0</v>
      </c>
      <c r="J927">
        <v>1</v>
      </c>
      <c r="K927">
        <v>0</v>
      </c>
      <c r="L927" t="s">
        <v>35</v>
      </c>
      <c r="M927" t="s">
        <v>35</v>
      </c>
      <c r="N927" t="s">
        <v>35</v>
      </c>
      <c r="O927" t="s">
        <v>35</v>
      </c>
      <c r="P927" t="s">
        <v>35</v>
      </c>
      <c r="Q927" t="s">
        <v>35</v>
      </c>
      <c r="R927" t="s">
        <v>35</v>
      </c>
      <c r="S927" t="s">
        <v>35</v>
      </c>
      <c r="T927" t="s">
        <v>35</v>
      </c>
      <c r="U927" t="s">
        <v>35</v>
      </c>
      <c r="V927" t="s">
        <v>35</v>
      </c>
      <c r="W927" t="s">
        <v>35</v>
      </c>
      <c r="X927" t="s">
        <v>35</v>
      </c>
      <c r="Y927" t="s">
        <v>35</v>
      </c>
      <c r="Z927" t="s">
        <v>35</v>
      </c>
      <c r="AA927" t="s">
        <v>35</v>
      </c>
      <c r="AB927" t="s">
        <v>35</v>
      </c>
      <c r="AC927" t="s">
        <v>35</v>
      </c>
      <c r="AD927" t="s">
        <v>35</v>
      </c>
      <c r="AE927" t="s">
        <v>35</v>
      </c>
    </row>
    <row r="928" spans="1:31" x14ac:dyDescent="0.2">
      <c r="A928" t="s">
        <v>311</v>
      </c>
      <c r="B928" t="s">
        <v>102</v>
      </c>
      <c r="C928">
        <v>30</v>
      </c>
      <c r="D928" t="s">
        <v>78</v>
      </c>
      <c r="E928" t="s">
        <v>36</v>
      </c>
      <c r="F928" t="s">
        <v>38</v>
      </c>
      <c r="G928">
        <v>110728</v>
      </c>
      <c r="H928">
        <v>0</v>
      </c>
      <c r="I928">
        <v>0</v>
      </c>
      <c r="J928">
        <v>0</v>
      </c>
      <c r="K928">
        <v>1</v>
      </c>
      <c r="L928" t="s">
        <v>35</v>
      </c>
      <c r="M928" t="s">
        <v>35</v>
      </c>
      <c r="N928" t="s">
        <v>35</v>
      </c>
      <c r="O928" t="s">
        <v>35</v>
      </c>
      <c r="P928" t="s">
        <v>35</v>
      </c>
      <c r="Q928" t="s">
        <v>35</v>
      </c>
      <c r="R928" t="s">
        <v>35</v>
      </c>
      <c r="S928" t="s">
        <v>35</v>
      </c>
      <c r="T928" t="s">
        <v>35</v>
      </c>
      <c r="U928" t="s">
        <v>35</v>
      </c>
      <c r="V928" t="s">
        <v>35</v>
      </c>
      <c r="W928" t="s">
        <v>35</v>
      </c>
      <c r="X928" t="s">
        <v>35</v>
      </c>
      <c r="Y928" t="s">
        <v>35</v>
      </c>
      <c r="Z928" t="s">
        <v>35</v>
      </c>
      <c r="AA928" t="s">
        <v>35</v>
      </c>
      <c r="AB928" t="s">
        <v>35</v>
      </c>
      <c r="AC928" t="s">
        <v>35</v>
      </c>
      <c r="AD928" t="s">
        <v>35</v>
      </c>
      <c r="AE928" t="s">
        <v>35</v>
      </c>
    </row>
    <row r="929" spans="1:31" x14ac:dyDescent="0.2">
      <c r="A929" t="s">
        <v>311</v>
      </c>
      <c r="B929" t="s">
        <v>102</v>
      </c>
      <c r="C929">
        <v>30</v>
      </c>
      <c r="D929" t="s">
        <v>78</v>
      </c>
      <c r="E929" t="s">
        <v>39</v>
      </c>
      <c r="F929" t="s">
        <v>47</v>
      </c>
      <c r="G929">
        <v>45710</v>
      </c>
      <c r="H929">
        <v>0</v>
      </c>
      <c r="I929">
        <v>0</v>
      </c>
      <c r="J929">
        <v>0</v>
      </c>
      <c r="K929">
        <v>1</v>
      </c>
      <c r="L929" t="s">
        <v>50</v>
      </c>
      <c r="M929" t="s">
        <v>80</v>
      </c>
      <c r="N929" t="s">
        <v>79</v>
      </c>
      <c r="O929" t="s">
        <v>51</v>
      </c>
      <c r="P929" t="s">
        <v>67</v>
      </c>
      <c r="Q929" t="s">
        <v>45</v>
      </c>
      <c r="R929">
        <v>0</v>
      </c>
      <c r="S929">
        <v>0</v>
      </c>
      <c r="T929">
        <v>0</v>
      </c>
      <c r="U929">
        <v>1</v>
      </c>
      <c r="V929">
        <v>1</v>
      </c>
      <c r="W929">
        <v>0</v>
      </c>
      <c r="X929">
        <v>1</v>
      </c>
      <c r="Y929">
        <v>0</v>
      </c>
      <c r="Z929">
        <v>0</v>
      </c>
      <c r="AA929">
        <v>0</v>
      </c>
      <c r="AB929">
        <v>0</v>
      </c>
      <c r="AC929">
        <v>0</v>
      </c>
      <c r="AD929">
        <v>0</v>
      </c>
      <c r="AE929">
        <v>1</v>
      </c>
    </row>
    <row r="930" spans="1:31" x14ac:dyDescent="0.2">
      <c r="A930" t="s">
        <v>311</v>
      </c>
      <c r="B930" t="s">
        <v>102</v>
      </c>
      <c r="C930">
        <v>30</v>
      </c>
      <c r="D930" t="s">
        <v>78</v>
      </c>
      <c r="E930" t="s">
        <v>39</v>
      </c>
      <c r="F930" t="s">
        <v>40</v>
      </c>
      <c r="G930">
        <v>52738</v>
      </c>
      <c r="H930">
        <v>0</v>
      </c>
      <c r="I930">
        <v>0</v>
      </c>
      <c r="J930">
        <v>1</v>
      </c>
      <c r="K930">
        <v>0</v>
      </c>
      <c r="L930" t="s">
        <v>81</v>
      </c>
      <c r="M930" t="s">
        <v>43</v>
      </c>
      <c r="N930" t="s">
        <v>82</v>
      </c>
      <c r="O930" t="s">
        <v>67</v>
      </c>
      <c r="P930" t="s">
        <v>46</v>
      </c>
      <c r="Q930" t="s">
        <v>68</v>
      </c>
      <c r="R930">
        <v>1</v>
      </c>
      <c r="S930">
        <v>0</v>
      </c>
      <c r="T930">
        <v>1</v>
      </c>
      <c r="U930">
        <v>1</v>
      </c>
      <c r="V930">
        <v>0</v>
      </c>
      <c r="W930">
        <v>0</v>
      </c>
      <c r="X930">
        <v>1</v>
      </c>
      <c r="Y930">
        <v>1</v>
      </c>
      <c r="Z930">
        <v>0</v>
      </c>
      <c r="AA930">
        <v>0</v>
      </c>
      <c r="AB930">
        <v>0</v>
      </c>
      <c r="AC930">
        <v>0</v>
      </c>
      <c r="AD930">
        <v>0</v>
      </c>
      <c r="AE930">
        <v>0</v>
      </c>
    </row>
    <row r="931" spans="1:31" x14ac:dyDescent="0.2">
      <c r="A931" t="s">
        <v>311</v>
      </c>
      <c r="B931" t="s">
        <v>102</v>
      </c>
      <c r="C931">
        <v>30</v>
      </c>
      <c r="D931" t="s">
        <v>78</v>
      </c>
      <c r="E931" t="s">
        <v>52</v>
      </c>
      <c r="F931" t="s">
        <v>69</v>
      </c>
      <c r="G931">
        <v>41842</v>
      </c>
      <c r="H931">
        <v>0</v>
      </c>
      <c r="I931">
        <v>1</v>
      </c>
      <c r="J931">
        <v>1</v>
      </c>
      <c r="K931">
        <v>0</v>
      </c>
      <c r="L931" t="s">
        <v>35</v>
      </c>
      <c r="M931" t="s">
        <v>35</v>
      </c>
      <c r="N931" t="s">
        <v>35</v>
      </c>
      <c r="O931" t="s">
        <v>35</v>
      </c>
      <c r="P931" t="s">
        <v>35</v>
      </c>
      <c r="Q931" t="s">
        <v>35</v>
      </c>
      <c r="R931" t="s">
        <v>35</v>
      </c>
      <c r="S931">
        <v>0</v>
      </c>
      <c r="T931">
        <v>1</v>
      </c>
      <c r="U931">
        <v>1</v>
      </c>
      <c r="V931">
        <v>0</v>
      </c>
      <c r="W931">
        <v>0</v>
      </c>
      <c r="X931">
        <v>1</v>
      </c>
      <c r="Y931">
        <v>1</v>
      </c>
      <c r="Z931">
        <v>0</v>
      </c>
      <c r="AA931">
        <v>0</v>
      </c>
      <c r="AB931">
        <v>0</v>
      </c>
      <c r="AC931">
        <v>0</v>
      </c>
      <c r="AD931">
        <v>0</v>
      </c>
      <c r="AE931">
        <v>0</v>
      </c>
    </row>
    <row r="932" spans="1:31" x14ac:dyDescent="0.2">
      <c r="A932" t="s">
        <v>311</v>
      </c>
      <c r="B932" t="s">
        <v>102</v>
      </c>
      <c r="C932">
        <v>30</v>
      </c>
      <c r="D932" t="s">
        <v>78</v>
      </c>
      <c r="E932" t="s">
        <v>39</v>
      </c>
      <c r="F932" t="s">
        <v>54</v>
      </c>
      <c r="G932">
        <v>51193</v>
      </c>
      <c r="H932">
        <v>1</v>
      </c>
      <c r="I932">
        <v>0</v>
      </c>
      <c r="J932">
        <v>1</v>
      </c>
      <c r="K932">
        <v>0</v>
      </c>
      <c r="L932" t="s">
        <v>55</v>
      </c>
      <c r="M932" t="s">
        <v>57</v>
      </c>
      <c r="N932" t="s">
        <v>89</v>
      </c>
      <c r="O932" t="s">
        <v>44</v>
      </c>
      <c r="P932" t="s">
        <v>46</v>
      </c>
      <c r="Q932" t="s">
        <v>67</v>
      </c>
      <c r="R932">
        <v>0</v>
      </c>
      <c r="S932">
        <v>1</v>
      </c>
      <c r="T932">
        <v>1</v>
      </c>
      <c r="U932">
        <v>1</v>
      </c>
      <c r="V932">
        <v>0</v>
      </c>
      <c r="W932">
        <v>0</v>
      </c>
      <c r="X932">
        <v>1</v>
      </c>
      <c r="Y932">
        <v>0</v>
      </c>
      <c r="Z932">
        <v>1</v>
      </c>
      <c r="AA932">
        <v>0</v>
      </c>
      <c r="AB932">
        <v>1</v>
      </c>
      <c r="AC932">
        <v>0</v>
      </c>
      <c r="AD932">
        <v>0</v>
      </c>
      <c r="AE932">
        <v>0</v>
      </c>
    </row>
    <row r="933" spans="1:31" x14ac:dyDescent="0.2">
      <c r="A933" t="s">
        <v>311</v>
      </c>
      <c r="B933" t="s">
        <v>102</v>
      </c>
      <c r="C933">
        <v>30</v>
      </c>
      <c r="D933" t="s">
        <v>78</v>
      </c>
      <c r="E933" t="s">
        <v>39</v>
      </c>
      <c r="F933" t="s">
        <v>70</v>
      </c>
      <c r="G933">
        <v>24954</v>
      </c>
      <c r="H933">
        <v>1</v>
      </c>
      <c r="I933">
        <v>0</v>
      </c>
      <c r="J933">
        <v>0</v>
      </c>
      <c r="K933">
        <v>0</v>
      </c>
      <c r="L933" t="s">
        <v>93</v>
      </c>
      <c r="M933" t="s">
        <v>71</v>
      </c>
      <c r="N933" t="s">
        <v>86</v>
      </c>
      <c r="O933" t="s">
        <v>68</v>
      </c>
      <c r="P933" t="s">
        <v>45</v>
      </c>
      <c r="Q933" t="s">
        <v>46</v>
      </c>
      <c r="R933">
        <v>1</v>
      </c>
      <c r="S933">
        <v>0</v>
      </c>
      <c r="T933">
        <v>1</v>
      </c>
      <c r="U933">
        <v>0</v>
      </c>
      <c r="V933">
        <v>1</v>
      </c>
      <c r="W933">
        <v>0</v>
      </c>
      <c r="X933">
        <v>1</v>
      </c>
      <c r="Y933">
        <v>1</v>
      </c>
      <c r="Z933">
        <v>0</v>
      </c>
      <c r="AA933">
        <v>0</v>
      </c>
      <c r="AB933">
        <v>0</v>
      </c>
      <c r="AC933">
        <v>0</v>
      </c>
      <c r="AD933">
        <v>0</v>
      </c>
      <c r="AE933">
        <v>0</v>
      </c>
    </row>
    <row r="934" spans="1:31" x14ac:dyDescent="0.2">
      <c r="A934" t="s">
        <v>311</v>
      </c>
      <c r="B934" t="s">
        <v>102</v>
      </c>
      <c r="C934">
        <v>30</v>
      </c>
      <c r="D934" t="s">
        <v>78</v>
      </c>
      <c r="E934" t="s">
        <v>52</v>
      </c>
      <c r="F934" t="s">
        <v>53</v>
      </c>
      <c r="G934">
        <v>54110</v>
      </c>
      <c r="H934">
        <v>0</v>
      </c>
      <c r="I934">
        <v>0</v>
      </c>
      <c r="J934">
        <v>1</v>
      </c>
      <c r="K934">
        <v>0</v>
      </c>
      <c r="L934" t="s">
        <v>35</v>
      </c>
      <c r="M934" t="s">
        <v>35</v>
      </c>
      <c r="N934" t="s">
        <v>35</v>
      </c>
      <c r="O934" t="s">
        <v>35</v>
      </c>
      <c r="P934" t="s">
        <v>35</v>
      </c>
      <c r="Q934" t="s">
        <v>35</v>
      </c>
      <c r="R934" t="s">
        <v>35</v>
      </c>
      <c r="S934">
        <v>0</v>
      </c>
      <c r="T934">
        <v>1</v>
      </c>
      <c r="U934">
        <v>0</v>
      </c>
      <c r="V934">
        <v>1</v>
      </c>
      <c r="W934">
        <v>0</v>
      </c>
      <c r="X934">
        <v>1</v>
      </c>
      <c r="Y934">
        <v>1</v>
      </c>
      <c r="Z934">
        <v>0</v>
      </c>
      <c r="AA934">
        <v>0</v>
      </c>
      <c r="AB934">
        <v>0</v>
      </c>
      <c r="AC934">
        <v>0</v>
      </c>
      <c r="AD934">
        <v>0</v>
      </c>
      <c r="AE934">
        <v>0</v>
      </c>
    </row>
    <row r="935" spans="1:31" x14ac:dyDescent="0.2">
      <c r="A935" t="s">
        <v>311</v>
      </c>
      <c r="B935" t="s">
        <v>102</v>
      </c>
      <c r="C935">
        <v>30</v>
      </c>
      <c r="D935" t="s">
        <v>78</v>
      </c>
      <c r="E935" t="s">
        <v>39</v>
      </c>
      <c r="F935" t="s">
        <v>63</v>
      </c>
      <c r="G935">
        <v>17145</v>
      </c>
      <c r="H935">
        <v>0</v>
      </c>
      <c r="I935">
        <v>0</v>
      </c>
      <c r="J935">
        <v>0</v>
      </c>
      <c r="K935">
        <v>1</v>
      </c>
      <c r="L935" t="s">
        <v>84</v>
      </c>
      <c r="M935" t="s">
        <v>65</v>
      </c>
      <c r="N935" t="s">
        <v>64</v>
      </c>
      <c r="O935" t="s">
        <v>46</v>
      </c>
      <c r="P935" t="s">
        <v>68</v>
      </c>
      <c r="Q935" t="s">
        <v>67</v>
      </c>
      <c r="R935">
        <v>1</v>
      </c>
      <c r="S935">
        <v>0</v>
      </c>
      <c r="T935">
        <v>1</v>
      </c>
      <c r="U935">
        <v>1</v>
      </c>
      <c r="V935">
        <v>0</v>
      </c>
      <c r="W935">
        <v>0</v>
      </c>
      <c r="X935">
        <v>1</v>
      </c>
      <c r="Y935">
        <v>0</v>
      </c>
      <c r="Z935">
        <v>0</v>
      </c>
      <c r="AA935">
        <v>0</v>
      </c>
      <c r="AB935">
        <v>0</v>
      </c>
      <c r="AC935">
        <v>0</v>
      </c>
      <c r="AD935">
        <v>0</v>
      </c>
      <c r="AE935">
        <v>1</v>
      </c>
    </row>
    <row r="936" spans="1:31" x14ac:dyDescent="0.2">
      <c r="A936" t="s">
        <v>311</v>
      </c>
      <c r="B936" t="s">
        <v>102</v>
      </c>
      <c r="C936">
        <v>30</v>
      </c>
      <c r="D936" t="s">
        <v>78</v>
      </c>
      <c r="E936" t="s">
        <v>52</v>
      </c>
      <c r="F936" t="s">
        <v>58</v>
      </c>
      <c r="G936">
        <v>26415</v>
      </c>
      <c r="H936">
        <v>1</v>
      </c>
      <c r="I936">
        <v>1</v>
      </c>
      <c r="J936">
        <v>0</v>
      </c>
      <c r="K936">
        <v>0</v>
      </c>
      <c r="L936" t="s">
        <v>35</v>
      </c>
      <c r="M936" t="s">
        <v>35</v>
      </c>
      <c r="N936" t="s">
        <v>35</v>
      </c>
      <c r="O936" t="s">
        <v>35</v>
      </c>
      <c r="P936" t="s">
        <v>35</v>
      </c>
      <c r="Q936" t="s">
        <v>35</v>
      </c>
      <c r="R936" t="s">
        <v>35</v>
      </c>
      <c r="S936">
        <v>0</v>
      </c>
      <c r="T936">
        <v>1</v>
      </c>
      <c r="U936">
        <v>1</v>
      </c>
      <c r="V936">
        <v>0</v>
      </c>
      <c r="W936">
        <v>0</v>
      </c>
      <c r="X936">
        <v>1</v>
      </c>
      <c r="Y936">
        <v>0</v>
      </c>
      <c r="Z936">
        <v>0</v>
      </c>
      <c r="AA936">
        <v>0</v>
      </c>
      <c r="AB936">
        <v>0</v>
      </c>
      <c r="AC936">
        <v>0</v>
      </c>
      <c r="AD936">
        <v>0</v>
      </c>
      <c r="AE936">
        <v>1</v>
      </c>
    </row>
    <row r="937" spans="1:31" x14ac:dyDescent="0.2">
      <c r="A937" t="s">
        <v>311</v>
      </c>
      <c r="B937" t="s">
        <v>102</v>
      </c>
      <c r="C937">
        <v>30</v>
      </c>
      <c r="D937" t="s">
        <v>78</v>
      </c>
      <c r="E937" t="s">
        <v>39</v>
      </c>
      <c r="F937" t="s">
        <v>59</v>
      </c>
      <c r="G937">
        <v>16762</v>
      </c>
      <c r="H937">
        <v>1</v>
      </c>
      <c r="I937">
        <v>0</v>
      </c>
      <c r="J937">
        <v>0</v>
      </c>
      <c r="K937">
        <v>0</v>
      </c>
      <c r="L937" t="s">
        <v>60</v>
      </c>
      <c r="M937" t="s">
        <v>99</v>
      </c>
      <c r="N937" t="s">
        <v>62</v>
      </c>
      <c r="O937" t="s">
        <v>44</v>
      </c>
      <c r="P937" t="s">
        <v>67</v>
      </c>
      <c r="Q937" t="s">
        <v>45</v>
      </c>
      <c r="R937">
        <v>0</v>
      </c>
      <c r="S937">
        <v>1</v>
      </c>
      <c r="T937">
        <v>0</v>
      </c>
      <c r="U937">
        <v>1</v>
      </c>
      <c r="V937">
        <v>1</v>
      </c>
      <c r="W937">
        <v>0</v>
      </c>
      <c r="X937">
        <v>1</v>
      </c>
      <c r="Y937">
        <v>0</v>
      </c>
      <c r="Z937">
        <v>1</v>
      </c>
      <c r="AA937">
        <v>0</v>
      </c>
      <c r="AB937">
        <v>0</v>
      </c>
      <c r="AC937">
        <v>0</v>
      </c>
      <c r="AD937">
        <v>0</v>
      </c>
      <c r="AE937">
        <v>0</v>
      </c>
    </row>
    <row r="938" spans="1:31" x14ac:dyDescent="0.2">
      <c r="A938" t="s">
        <v>311</v>
      </c>
      <c r="B938" t="s">
        <v>102</v>
      </c>
      <c r="C938">
        <v>30</v>
      </c>
      <c r="D938" t="s">
        <v>78</v>
      </c>
      <c r="E938" t="s">
        <v>52</v>
      </c>
      <c r="F938" t="s">
        <v>74</v>
      </c>
      <c r="G938">
        <v>22635</v>
      </c>
      <c r="H938">
        <v>1</v>
      </c>
      <c r="I938">
        <v>0</v>
      </c>
      <c r="J938">
        <v>0</v>
      </c>
      <c r="K938">
        <v>0</v>
      </c>
      <c r="L938" t="s">
        <v>35</v>
      </c>
      <c r="M938" t="s">
        <v>35</v>
      </c>
      <c r="N938" t="s">
        <v>35</v>
      </c>
      <c r="O938" t="s">
        <v>35</v>
      </c>
      <c r="P938" t="s">
        <v>35</v>
      </c>
      <c r="Q938" t="s">
        <v>35</v>
      </c>
      <c r="R938" t="s">
        <v>35</v>
      </c>
      <c r="S938">
        <v>1</v>
      </c>
      <c r="T938">
        <v>0</v>
      </c>
      <c r="U938">
        <v>1</v>
      </c>
      <c r="V938">
        <v>1</v>
      </c>
      <c r="W938">
        <v>0</v>
      </c>
      <c r="X938">
        <v>1</v>
      </c>
      <c r="Y938">
        <v>0</v>
      </c>
      <c r="Z938">
        <v>1</v>
      </c>
      <c r="AA938">
        <v>0</v>
      </c>
      <c r="AB938">
        <v>0</v>
      </c>
      <c r="AC938">
        <v>0</v>
      </c>
      <c r="AD938">
        <v>0</v>
      </c>
      <c r="AE938">
        <v>0</v>
      </c>
    </row>
    <row r="939" spans="1:31" x14ac:dyDescent="0.2">
      <c r="A939" t="s">
        <v>311</v>
      </c>
      <c r="B939" t="s">
        <v>102</v>
      </c>
      <c r="C939">
        <v>30</v>
      </c>
      <c r="D939" t="s">
        <v>78</v>
      </c>
      <c r="E939" t="s">
        <v>75</v>
      </c>
      <c r="F939" t="s">
        <v>35</v>
      </c>
      <c r="G939">
        <v>69954</v>
      </c>
      <c r="H939" t="s">
        <v>312</v>
      </c>
      <c r="I939" t="s">
        <v>313</v>
      </c>
      <c r="K939" t="s">
        <v>35</v>
      </c>
      <c r="L939" t="s">
        <v>35</v>
      </c>
      <c r="M939" t="s">
        <v>35</v>
      </c>
      <c r="N939" t="s">
        <v>35</v>
      </c>
      <c r="O939" t="s">
        <v>35</v>
      </c>
      <c r="P939" t="s">
        <v>35</v>
      </c>
      <c r="Q939" t="s">
        <v>35</v>
      </c>
      <c r="R939" t="s">
        <v>35</v>
      </c>
      <c r="S939" t="s">
        <v>35</v>
      </c>
      <c r="T939" t="s">
        <v>35</v>
      </c>
      <c r="U939" t="s">
        <v>35</v>
      </c>
      <c r="V939" t="s">
        <v>35</v>
      </c>
      <c r="W939" t="s">
        <v>35</v>
      </c>
      <c r="X939" t="s">
        <v>35</v>
      </c>
      <c r="Y939" t="s">
        <v>35</v>
      </c>
      <c r="Z939" t="s">
        <v>35</v>
      </c>
      <c r="AA939" t="s">
        <v>35</v>
      </c>
      <c r="AB939" t="s">
        <v>35</v>
      </c>
      <c r="AC939" t="s">
        <v>35</v>
      </c>
      <c r="AD939" t="s">
        <v>35</v>
      </c>
      <c r="AE939" t="s">
        <v>35</v>
      </c>
    </row>
    <row r="940" spans="1:31" x14ac:dyDescent="0.2">
      <c r="A940" t="s">
        <v>314</v>
      </c>
      <c r="B940" t="s">
        <v>107</v>
      </c>
      <c r="C940">
        <v>27</v>
      </c>
      <c r="D940" t="s">
        <v>78</v>
      </c>
      <c r="E940" t="s">
        <v>34</v>
      </c>
      <c r="F940" t="s">
        <v>35</v>
      </c>
      <c r="G940">
        <v>80558</v>
      </c>
      <c r="H940" t="s">
        <v>35</v>
      </c>
      <c r="I940" t="s">
        <v>35</v>
      </c>
      <c r="J940" t="s">
        <v>35</v>
      </c>
      <c r="K940" t="s">
        <v>35</v>
      </c>
      <c r="L940" t="s">
        <v>35</v>
      </c>
      <c r="M940" t="s">
        <v>35</v>
      </c>
      <c r="N940" t="s">
        <v>35</v>
      </c>
      <c r="O940" t="s">
        <v>35</v>
      </c>
      <c r="P940" t="s">
        <v>35</v>
      </c>
      <c r="Q940" t="s">
        <v>35</v>
      </c>
      <c r="R940" t="s">
        <v>35</v>
      </c>
      <c r="S940" t="s">
        <v>35</v>
      </c>
      <c r="T940" t="s">
        <v>35</v>
      </c>
      <c r="U940" t="s">
        <v>35</v>
      </c>
      <c r="V940" t="s">
        <v>35</v>
      </c>
      <c r="W940" t="s">
        <v>35</v>
      </c>
      <c r="X940" t="s">
        <v>35</v>
      </c>
      <c r="Y940" t="s">
        <v>35</v>
      </c>
      <c r="Z940" t="s">
        <v>35</v>
      </c>
      <c r="AA940" t="s">
        <v>35</v>
      </c>
      <c r="AB940" t="s">
        <v>35</v>
      </c>
      <c r="AC940" t="s">
        <v>35</v>
      </c>
      <c r="AD940" t="s">
        <v>35</v>
      </c>
      <c r="AE940" t="s">
        <v>35</v>
      </c>
    </row>
    <row r="941" spans="1:31" x14ac:dyDescent="0.2">
      <c r="A941" t="s">
        <v>314</v>
      </c>
      <c r="B941" t="s">
        <v>107</v>
      </c>
      <c r="C941">
        <v>27</v>
      </c>
      <c r="D941" t="s">
        <v>78</v>
      </c>
      <c r="E941" t="s">
        <v>36</v>
      </c>
      <c r="F941" t="s">
        <v>38</v>
      </c>
      <c r="G941">
        <v>892505</v>
      </c>
      <c r="H941">
        <v>0</v>
      </c>
      <c r="I941">
        <v>0</v>
      </c>
      <c r="J941">
        <v>0</v>
      </c>
      <c r="K941">
        <v>1</v>
      </c>
      <c r="L941" t="s">
        <v>35</v>
      </c>
      <c r="M941" t="s">
        <v>35</v>
      </c>
      <c r="N941" t="s">
        <v>35</v>
      </c>
      <c r="O941" t="s">
        <v>35</v>
      </c>
      <c r="P941" t="s">
        <v>35</v>
      </c>
      <c r="Q941" t="s">
        <v>35</v>
      </c>
      <c r="R941" t="s">
        <v>35</v>
      </c>
      <c r="S941" t="s">
        <v>35</v>
      </c>
      <c r="T941" t="s">
        <v>35</v>
      </c>
      <c r="U941" t="s">
        <v>35</v>
      </c>
      <c r="V941" t="s">
        <v>35</v>
      </c>
      <c r="W941" t="s">
        <v>35</v>
      </c>
      <c r="X941" t="s">
        <v>35</v>
      </c>
      <c r="Y941" t="s">
        <v>35</v>
      </c>
      <c r="Z941" t="s">
        <v>35</v>
      </c>
      <c r="AA941" t="s">
        <v>35</v>
      </c>
      <c r="AB941" t="s">
        <v>35</v>
      </c>
      <c r="AC941" t="s">
        <v>35</v>
      </c>
      <c r="AD941" t="s">
        <v>35</v>
      </c>
      <c r="AE941" t="s">
        <v>35</v>
      </c>
    </row>
    <row r="942" spans="1:31" x14ac:dyDescent="0.2">
      <c r="A942" t="s">
        <v>314</v>
      </c>
      <c r="B942" t="s">
        <v>107</v>
      </c>
      <c r="C942">
        <v>27</v>
      </c>
      <c r="D942" t="s">
        <v>78</v>
      </c>
      <c r="E942" t="s">
        <v>36</v>
      </c>
      <c r="F942" t="s">
        <v>37</v>
      </c>
      <c r="G942">
        <v>126543</v>
      </c>
      <c r="H942">
        <v>0</v>
      </c>
      <c r="I942">
        <v>0</v>
      </c>
      <c r="J942">
        <v>1</v>
      </c>
      <c r="K942">
        <v>0</v>
      </c>
      <c r="L942" t="s">
        <v>35</v>
      </c>
      <c r="M942" t="s">
        <v>35</v>
      </c>
      <c r="N942" t="s">
        <v>35</v>
      </c>
      <c r="O942" t="s">
        <v>35</v>
      </c>
      <c r="P942" t="s">
        <v>35</v>
      </c>
      <c r="Q942" t="s">
        <v>35</v>
      </c>
      <c r="R942" t="s">
        <v>35</v>
      </c>
      <c r="S942" t="s">
        <v>35</v>
      </c>
      <c r="T942" t="s">
        <v>35</v>
      </c>
      <c r="U942" t="s">
        <v>35</v>
      </c>
      <c r="V942" t="s">
        <v>35</v>
      </c>
      <c r="W942" t="s">
        <v>35</v>
      </c>
      <c r="X942" t="s">
        <v>35</v>
      </c>
      <c r="Y942" t="s">
        <v>35</v>
      </c>
      <c r="Z942" t="s">
        <v>35</v>
      </c>
      <c r="AA942" t="s">
        <v>35</v>
      </c>
      <c r="AB942" t="s">
        <v>35</v>
      </c>
      <c r="AC942" t="s">
        <v>35</v>
      </c>
      <c r="AD942" t="s">
        <v>35</v>
      </c>
      <c r="AE942" t="s">
        <v>35</v>
      </c>
    </row>
    <row r="943" spans="1:31" x14ac:dyDescent="0.2">
      <c r="A943" t="s">
        <v>314</v>
      </c>
      <c r="B943" t="s">
        <v>107</v>
      </c>
      <c r="C943">
        <v>27</v>
      </c>
      <c r="D943" t="s">
        <v>78</v>
      </c>
      <c r="E943" t="s">
        <v>39</v>
      </c>
      <c r="F943" t="s">
        <v>63</v>
      </c>
      <c r="G943">
        <v>89383</v>
      </c>
      <c r="H943">
        <v>0</v>
      </c>
      <c r="I943">
        <v>0</v>
      </c>
      <c r="J943">
        <v>1</v>
      </c>
      <c r="K943">
        <v>0</v>
      </c>
      <c r="L943" t="s">
        <v>84</v>
      </c>
      <c r="M943" t="s">
        <v>64</v>
      </c>
      <c r="N943" t="s">
        <v>85</v>
      </c>
      <c r="O943" t="s">
        <v>46</v>
      </c>
      <c r="P943" t="s">
        <v>67</v>
      </c>
      <c r="Q943" t="s">
        <v>51</v>
      </c>
      <c r="R943">
        <v>0</v>
      </c>
      <c r="S943">
        <v>0</v>
      </c>
      <c r="T943">
        <v>1</v>
      </c>
      <c r="U943">
        <v>1</v>
      </c>
      <c r="V943">
        <v>0</v>
      </c>
      <c r="W943">
        <v>0</v>
      </c>
      <c r="X943">
        <v>1</v>
      </c>
      <c r="Y943">
        <v>0</v>
      </c>
      <c r="Z943">
        <v>0</v>
      </c>
      <c r="AA943">
        <v>0</v>
      </c>
      <c r="AB943">
        <v>0</v>
      </c>
      <c r="AC943">
        <v>0</v>
      </c>
      <c r="AD943">
        <v>0</v>
      </c>
      <c r="AE943">
        <v>0</v>
      </c>
    </row>
    <row r="944" spans="1:31" x14ac:dyDescent="0.2">
      <c r="A944" t="s">
        <v>314</v>
      </c>
      <c r="B944" t="s">
        <v>107</v>
      </c>
      <c r="C944">
        <v>27</v>
      </c>
      <c r="D944" t="s">
        <v>78</v>
      </c>
      <c r="E944" t="s">
        <v>39</v>
      </c>
      <c r="F944" t="s">
        <v>59</v>
      </c>
      <c r="G944">
        <v>64464</v>
      </c>
      <c r="H944">
        <v>1</v>
      </c>
      <c r="I944">
        <v>0</v>
      </c>
      <c r="J944">
        <v>0</v>
      </c>
      <c r="K944">
        <v>0</v>
      </c>
      <c r="L944" t="s">
        <v>94</v>
      </c>
      <c r="M944" t="s">
        <v>99</v>
      </c>
      <c r="N944" t="s">
        <v>60</v>
      </c>
      <c r="O944" t="s">
        <v>68</v>
      </c>
      <c r="P944" t="s">
        <v>67</v>
      </c>
      <c r="Q944" t="s">
        <v>44</v>
      </c>
      <c r="R944">
        <v>1</v>
      </c>
      <c r="S944">
        <v>1</v>
      </c>
      <c r="T944">
        <v>0</v>
      </c>
      <c r="U944">
        <v>1</v>
      </c>
      <c r="V944">
        <v>0</v>
      </c>
      <c r="W944">
        <v>0</v>
      </c>
      <c r="X944">
        <v>1</v>
      </c>
      <c r="Y944">
        <v>1</v>
      </c>
      <c r="Z944">
        <v>0</v>
      </c>
      <c r="AA944">
        <v>0</v>
      </c>
      <c r="AB944">
        <v>0</v>
      </c>
      <c r="AC944">
        <v>0</v>
      </c>
      <c r="AD944">
        <v>0</v>
      </c>
      <c r="AE944">
        <v>0</v>
      </c>
    </row>
    <row r="945" spans="1:31" x14ac:dyDescent="0.2">
      <c r="A945" t="s">
        <v>314</v>
      </c>
      <c r="B945" t="s">
        <v>107</v>
      </c>
      <c r="C945">
        <v>27</v>
      </c>
      <c r="D945" t="s">
        <v>78</v>
      </c>
      <c r="E945" t="s">
        <v>52</v>
      </c>
      <c r="F945" t="s">
        <v>74</v>
      </c>
      <c r="G945">
        <v>43347</v>
      </c>
      <c r="H945">
        <v>1</v>
      </c>
      <c r="I945">
        <v>0</v>
      </c>
      <c r="J945">
        <v>0</v>
      </c>
      <c r="K945">
        <v>0</v>
      </c>
      <c r="L945" t="s">
        <v>35</v>
      </c>
      <c r="M945" t="s">
        <v>35</v>
      </c>
      <c r="N945" t="s">
        <v>35</v>
      </c>
      <c r="O945" t="s">
        <v>35</v>
      </c>
      <c r="P945" t="s">
        <v>35</v>
      </c>
      <c r="Q945" t="s">
        <v>35</v>
      </c>
      <c r="R945" t="s">
        <v>35</v>
      </c>
      <c r="S945">
        <v>1</v>
      </c>
      <c r="T945">
        <v>0</v>
      </c>
      <c r="U945">
        <v>1</v>
      </c>
      <c r="V945">
        <v>0</v>
      </c>
      <c r="W945">
        <v>0</v>
      </c>
      <c r="X945">
        <v>1</v>
      </c>
      <c r="Y945">
        <v>1</v>
      </c>
      <c r="Z945">
        <v>0</v>
      </c>
      <c r="AA945">
        <v>0</v>
      </c>
      <c r="AB945">
        <v>0</v>
      </c>
      <c r="AC945">
        <v>0</v>
      </c>
      <c r="AD945">
        <v>0</v>
      </c>
      <c r="AE945">
        <v>0</v>
      </c>
    </row>
    <row r="946" spans="1:31" x14ac:dyDescent="0.2">
      <c r="A946" t="s">
        <v>314</v>
      </c>
      <c r="B946" t="s">
        <v>107</v>
      </c>
      <c r="C946">
        <v>27</v>
      </c>
      <c r="D946" t="s">
        <v>78</v>
      </c>
      <c r="E946" t="s">
        <v>39</v>
      </c>
      <c r="F946" t="s">
        <v>40</v>
      </c>
      <c r="G946">
        <v>41693</v>
      </c>
      <c r="H946">
        <v>0</v>
      </c>
      <c r="I946">
        <v>1</v>
      </c>
      <c r="J946">
        <v>0</v>
      </c>
      <c r="K946">
        <v>0</v>
      </c>
      <c r="L946" t="s">
        <v>91</v>
      </c>
      <c r="M946" t="s">
        <v>43</v>
      </c>
      <c r="N946" t="s">
        <v>81</v>
      </c>
      <c r="O946" t="s">
        <v>51</v>
      </c>
      <c r="P946" t="s">
        <v>46</v>
      </c>
      <c r="Q946" t="s">
        <v>67</v>
      </c>
      <c r="R946">
        <v>0</v>
      </c>
      <c r="S946">
        <v>0</v>
      </c>
      <c r="T946">
        <v>1</v>
      </c>
      <c r="U946">
        <v>1</v>
      </c>
      <c r="V946">
        <v>0</v>
      </c>
      <c r="W946">
        <v>0</v>
      </c>
      <c r="X946">
        <v>1</v>
      </c>
      <c r="Y946">
        <v>0</v>
      </c>
      <c r="Z946">
        <v>0</v>
      </c>
      <c r="AA946">
        <v>1</v>
      </c>
      <c r="AB946">
        <v>0</v>
      </c>
      <c r="AC946">
        <v>0</v>
      </c>
      <c r="AD946">
        <v>0</v>
      </c>
      <c r="AE946">
        <v>0</v>
      </c>
    </row>
    <row r="947" spans="1:31" x14ac:dyDescent="0.2">
      <c r="A947" t="s">
        <v>314</v>
      </c>
      <c r="B947" t="s">
        <v>107</v>
      </c>
      <c r="C947">
        <v>27</v>
      </c>
      <c r="D947" t="s">
        <v>78</v>
      </c>
      <c r="E947" t="s">
        <v>39</v>
      </c>
      <c r="F947" t="s">
        <v>54</v>
      </c>
      <c r="G947">
        <v>3320</v>
      </c>
      <c r="H947">
        <v>0</v>
      </c>
      <c r="I947">
        <v>1</v>
      </c>
      <c r="J947">
        <v>0</v>
      </c>
      <c r="K947">
        <v>0</v>
      </c>
      <c r="L947" t="s">
        <v>55</v>
      </c>
      <c r="M947" t="s">
        <v>56</v>
      </c>
      <c r="N947" t="s">
        <v>122</v>
      </c>
      <c r="O947" t="s">
        <v>44</v>
      </c>
      <c r="P947" t="s">
        <v>45</v>
      </c>
      <c r="Q947" t="s">
        <v>68</v>
      </c>
      <c r="R947">
        <v>1</v>
      </c>
      <c r="S947">
        <v>1</v>
      </c>
      <c r="T947">
        <v>0</v>
      </c>
      <c r="U947">
        <v>0</v>
      </c>
      <c r="V947">
        <v>1</v>
      </c>
      <c r="W947">
        <v>0</v>
      </c>
      <c r="X947">
        <v>1</v>
      </c>
      <c r="Y947">
        <v>0</v>
      </c>
      <c r="Z947">
        <v>0</v>
      </c>
      <c r="AA947">
        <v>0</v>
      </c>
      <c r="AB947">
        <v>0</v>
      </c>
      <c r="AC947">
        <v>1</v>
      </c>
      <c r="AD947">
        <v>0</v>
      </c>
      <c r="AE947">
        <v>0</v>
      </c>
    </row>
    <row r="948" spans="1:31" x14ac:dyDescent="0.2">
      <c r="A948" t="s">
        <v>314</v>
      </c>
      <c r="B948" t="s">
        <v>107</v>
      </c>
      <c r="C948">
        <v>27</v>
      </c>
      <c r="D948" t="s">
        <v>78</v>
      </c>
      <c r="E948" t="s">
        <v>52</v>
      </c>
      <c r="F948" t="s">
        <v>58</v>
      </c>
      <c r="G948">
        <v>4881</v>
      </c>
      <c r="H948">
        <v>0</v>
      </c>
      <c r="I948">
        <v>0</v>
      </c>
      <c r="J948">
        <v>1</v>
      </c>
      <c r="K948">
        <v>0</v>
      </c>
      <c r="L948" t="s">
        <v>35</v>
      </c>
      <c r="M948" t="s">
        <v>35</v>
      </c>
      <c r="N948" t="s">
        <v>35</v>
      </c>
      <c r="O948" t="s">
        <v>35</v>
      </c>
      <c r="P948" t="s">
        <v>35</v>
      </c>
      <c r="Q948" t="s">
        <v>35</v>
      </c>
      <c r="R948" t="s">
        <v>35</v>
      </c>
      <c r="S948">
        <v>1</v>
      </c>
      <c r="T948">
        <v>0</v>
      </c>
      <c r="U948">
        <v>0</v>
      </c>
      <c r="V948">
        <v>1</v>
      </c>
      <c r="W948">
        <v>0</v>
      </c>
      <c r="X948">
        <v>1</v>
      </c>
      <c r="Y948">
        <v>0</v>
      </c>
      <c r="Z948">
        <v>0</v>
      </c>
      <c r="AA948">
        <v>0</v>
      </c>
      <c r="AB948">
        <v>0</v>
      </c>
      <c r="AC948">
        <v>1</v>
      </c>
      <c r="AD948">
        <v>0</v>
      </c>
      <c r="AE948">
        <v>0</v>
      </c>
    </row>
    <row r="949" spans="1:31" x14ac:dyDescent="0.2">
      <c r="A949" t="s">
        <v>314</v>
      </c>
      <c r="B949" t="s">
        <v>107</v>
      </c>
      <c r="C949">
        <v>27</v>
      </c>
      <c r="D949" t="s">
        <v>78</v>
      </c>
      <c r="E949" t="s">
        <v>39</v>
      </c>
      <c r="F949" t="s">
        <v>70</v>
      </c>
      <c r="G949">
        <v>2777</v>
      </c>
      <c r="H949">
        <v>0</v>
      </c>
      <c r="I949">
        <v>1</v>
      </c>
      <c r="J949">
        <v>0</v>
      </c>
      <c r="K949">
        <v>0</v>
      </c>
      <c r="L949" t="s">
        <v>72</v>
      </c>
      <c r="M949" t="s">
        <v>71</v>
      </c>
      <c r="N949" t="s">
        <v>73</v>
      </c>
      <c r="O949" t="s">
        <v>67</v>
      </c>
      <c r="P949" t="s">
        <v>45</v>
      </c>
      <c r="Q949" t="s">
        <v>44</v>
      </c>
      <c r="R949">
        <v>0</v>
      </c>
      <c r="S949">
        <v>1</v>
      </c>
      <c r="T949">
        <v>0</v>
      </c>
      <c r="U949">
        <v>1</v>
      </c>
      <c r="V949">
        <v>1</v>
      </c>
      <c r="W949">
        <v>0</v>
      </c>
      <c r="X949">
        <v>1</v>
      </c>
      <c r="Y949">
        <v>0</v>
      </c>
      <c r="Z949">
        <v>0</v>
      </c>
      <c r="AA949">
        <v>0</v>
      </c>
      <c r="AB949">
        <v>0</v>
      </c>
      <c r="AC949">
        <v>1</v>
      </c>
      <c r="AD949">
        <v>0</v>
      </c>
      <c r="AE949">
        <v>0</v>
      </c>
    </row>
    <row r="950" spans="1:31" x14ac:dyDescent="0.2">
      <c r="A950" t="s">
        <v>314</v>
      </c>
      <c r="B950" t="s">
        <v>107</v>
      </c>
      <c r="C950">
        <v>27</v>
      </c>
      <c r="D950" t="s">
        <v>78</v>
      </c>
      <c r="E950" t="s">
        <v>52</v>
      </c>
      <c r="F950" t="s">
        <v>53</v>
      </c>
      <c r="G950">
        <v>3744</v>
      </c>
      <c r="H950">
        <v>0</v>
      </c>
      <c r="I950">
        <v>1</v>
      </c>
      <c r="J950">
        <v>0</v>
      </c>
      <c r="K950">
        <v>0</v>
      </c>
      <c r="L950" t="s">
        <v>35</v>
      </c>
      <c r="M950" t="s">
        <v>35</v>
      </c>
      <c r="N950" t="s">
        <v>35</v>
      </c>
      <c r="O950" t="s">
        <v>35</v>
      </c>
      <c r="P950" t="s">
        <v>35</v>
      </c>
      <c r="Q950" t="s">
        <v>35</v>
      </c>
      <c r="R950" t="s">
        <v>35</v>
      </c>
      <c r="S950">
        <v>1</v>
      </c>
      <c r="T950">
        <v>0</v>
      </c>
      <c r="U950">
        <v>1</v>
      </c>
      <c r="V950">
        <v>1</v>
      </c>
      <c r="W950">
        <v>0</v>
      </c>
      <c r="X950">
        <v>1</v>
      </c>
      <c r="Y950">
        <v>0</v>
      </c>
      <c r="Z950">
        <v>0</v>
      </c>
      <c r="AA950">
        <v>0</v>
      </c>
      <c r="AB950">
        <v>0</v>
      </c>
      <c r="AC950">
        <v>1</v>
      </c>
      <c r="AD950">
        <v>0</v>
      </c>
      <c r="AE950">
        <v>0</v>
      </c>
    </row>
    <row r="951" spans="1:31" x14ac:dyDescent="0.2">
      <c r="A951" t="s">
        <v>314</v>
      </c>
      <c r="B951" t="s">
        <v>107</v>
      </c>
      <c r="C951">
        <v>27</v>
      </c>
      <c r="D951" t="s">
        <v>78</v>
      </c>
      <c r="E951" t="s">
        <v>39</v>
      </c>
      <c r="F951" t="s">
        <v>47</v>
      </c>
      <c r="G951">
        <v>2342</v>
      </c>
      <c r="H951">
        <v>0</v>
      </c>
      <c r="I951">
        <v>0</v>
      </c>
      <c r="J951">
        <v>1</v>
      </c>
      <c r="K951">
        <v>0</v>
      </c>
      <c r="L951" t="s">
        <v>49</v>
      </c>
      <c r="M951" t="s">
        <v>79</v>
      </c>
      <c r="N951" t="s">
        <v>50</v>
      </c>
      <c r="O951" t="s">
        <v>44</v>
      </c>
      <c r="P951" t="s">
        <v>45</v>
      </c>
      <c r="Q951" t="s">
        <v>51</v>
      </c>
      <c r="R951">
        <v>0</v>
      </c>
      <c r="S951">
        <v>1</v>
      </c>
      <c r="T951">
        <v>0</v>
      </c>
      <c r="U951">
        <v>0</v>
      </c>
      <c r="V951">
        <v>1</v>
      </c>
      <c r="W951">
        <v>0</v>
      </c>
      <c r="X951">
        <v>1</v>
      </c>
      <c r="Y951">
        <v>0</v>
      </c>
      <c r="Z951">
        <v>0</v>
      </c>
      <c r="AA951">
        <v>0</v>
      </c>
      <c r="AB951">
        <v>0</v>
      </c>
      <c r="AC951">
        <v>0</v>
      </c>
      <c r="AD951">
        <v>0</v>
      </c>
      <c r="AE951">
        <v>0</v>
      </c>
    </row>
    <row r="952" spans="1:31" x14ac:dyDescent="0.2">
      <c r="A952" t="s">
        <v>314</v>
      </c>
      <c r="B952" t="s">
        <v>107</v>
      </c>
      <c r="C952">
        <v>27</v>
      </c>
      <c r="D952" t="s">
        <v>78</v>
      </c>
      <c r="E952" t="s">
        <v>52</v>
      </c>
      <c r="F952" t="s">
        <v>69</v>
      </c>
      <c r="G952">
        <v>2817</v>
      </c>
      <c r="H952">
        <v>0</v>
      </c>
      <c r="I952">
        <v>1</v>
      </c>
      <c r="J952">
        <v>0</v>
      </c>
      <c r="K952">
        <v>0</v>
      </c>
      <c r="L952" t="s">
        <v>35</v>
      </c>
      <c r="M952" t="s">
        <v>35</v>
      </c>
      <c r="N952" t="s">
        <v>35</v>
      </c>
      <c r="O952" t="s">
        <v>35</v>
      </c>
      <c r="P952" t="s">
        <v>35</v>
      </c>
      <c r="Q952" t="s">
        <v>35</v>
      </c>
      <c r="R952" t="s">
        <v>35</v>
      </c>
      <c r="S952">
        <v>1</v>
      </c>
      <c r="T952">
        <v>0</v>
      </c>
      <c r="U952">
        <v>0</v>
      </c>
      <c r="V952">
        <v>1</v>
      </c>
      <c r="W952">
        <v>0</v>
      </c>
      <c r="X952">
        <v>1</v>
      </c>
      <c r="Y952">
        <v>0</v>
      </c>
      <c r="Z952">
        <v>0</v>
      </c>
      <c r="AA952">
        <v>0</v>
      </c>
      <c r="AB952">
        <v>0</v>
      </c>
      <c r="AC952">
        <v>0</v>
      </c>
      <c r="AD952">
        <v>0</v>
      </c>
      <c r="AE952">
        <v>0</v>
      </c>
    </row>
    <row r="953" spans="1:31" x14ac:dyDescent="0.2">
      <c r="A953" t="s">
        <v>314</v>
      </c>
      <c r="B953" t="s">
        <v>107</v>
      </c>
      <c r="C953">
        <v>27</v>
      </c>
      <c r="D953" t="s">
        <v>78</v>
      </c>
      <c r="E953" t="s">
        <v>75</v>
      </c>
      <c r="F953" t="s">
        <v>35</v>
      </c>
      <c r="G953">
        <v>96764</v>
      </c>
      <c r="H953" t="s">
        <v>291</v>
      </c>
      <c r="I953" t="s">
        <v>315</v>
      </c>
      <c r="J953" t="s">
        <v>116</v>
      </c>
      <c r="K953" t="s">
        <v>35</v>
      </c>
      <c r="L953" t="s">
        <v>35</v>
      </c>
      <c r="M953" t="s">
        <v>35</v>
      </c>
      <c r="N953" t="s">
        <v>35</v>
      </c>
      <c r="O953" t="s">
        <v>35</v>
      </c>
      <c r="P953" t="s">
        <v>35</v>
      </c>
      <c r="Q953" t="s">
        <v>35</v>
      </c>
      <c r="R953" t="s">
        <v>35</v>
      </c>
      <c r="S953" t="s">
        <v>35</v>
      </c>
      <c r="T953" t="s">
        <v>35</v>
      </c>
      <c r="U953" t="s">
        <v>35</v>
      </c>
      <c r="V953" t="s">
        <v>35</v>
      </c>
      <c r="W953" t="s">
        <v>35</v>
      </c>
      <c r="X953" t="s">
        <v>35</v>
      </c>
      <c r="Y953" t="s">
        <v>35</v>
      </c>
      <c r="Z953" t="s">
        <v>35</v>
      </c>
      <c r="AA953" t="s">
        <v>35</v>
      </c>
      <c r="AB953" t="s">
        <v>35</v>
      </c>
      <c r="AC953" t="s">
        <v>35</v>
      </c>
      <c r="AD953" t="s">
        <v>35</v>
      </c>
      <c r="AE953" t="s">
        <v>35</v>
      </c>
    </row>
    <row r="954" spans="1:31" x14ac:dyDescent="0.2">
      <c r="A954" t="s">
        <v>316</v>
      </c>
      <c r="B954" t="s">
        <v>107</v>
      </c>
      <c r="C954">
        <v>27</v>
      </c>
      <c r="D954" t="s">
        <v>78</v>
      </c>
      <c r="E954" t="s">
        <v>34</v>
      </c>
      <c r="F954" t="s">
        <v>35</v>
      </c>
      <c r="G954">
        <v>49571</v>
      </c>
      <c r="H954" t="s">
        <v>35</v>
      </c>
      <c r="I954" t="s">
        <v>35</v>
      </c>
      <c r="J954" t="s">
        <v>35</v>
      </c>
      <c r="K954" t="s">
        <v>35</v>
      </c>
      <c r="L954" t="s">
        <v>35</v>
      </c>
      <c r="M954" t="s">
        <v>35</v>
      </c>
      <c r="N954" t="s">
        <v>35</v>
      </c>
      <c r="O954" t="s">
        <v>35</v>
      </c>
      <c r="P954" t="s">
        <v>35</v>
      </c>
      <c r="Q954" t="s">
        <v>35</v>
      </c>
      <c r="R954" t="s">
        <v>35</v>
      </c>
      <c r="S954" t="s">
        <v>35</v>
      </c>
      <c r="T954" t="s">
        <v>35</v>
      </c>
      <c r="U954" t="s">
        <v>35</v>
      </c>
      <c r="V954" t="s">
        <v>35</v>
      </c>
      <c r="W954" t="s">
        <v>35</v>
      </c>
      <c r="X954" t="s">
        <v>35</v>
      </c>
      <c r="Y954" t="s">
        <v>35</v>
      </c>
      <c r="Z954" t="s">
        <v>35</v>
      </c>
      <c r="AA954" t="s">
        <v>35</v>
      </c>
      <c r="AB954" t="s">
        <v>35</v>
      </c>
      <c r="AC954" t="s">
        <v>35</v>
      </c>
      <c r="AD954" t="s">
        <v>35</v>
      </c>
      <c r="AE954" t="s">
        <v>35</v>
      </c>
    </row>
    <row r="955" spans="1:31" x14ac:dyDescent="0.2">
      <c r="A955" t="s">
        <v>316</v>
      </c>
      <c r="B955" t="s">
        <v>107</v>
      </c>
      <c r="C955">
        <v>27</v>
      </c>
      <c r="D955" t="s">
        <v>78</v>
      </c>
      <c r="E955" t="s">
        <v>36</v>
      </c>
      <c r="F955" t="s">
        <v>37</v>
      </c>
      <c r="G955">
        <v>682856</v>
      </c>
      <c r="H955">
        <v>0</v>
      </c>
      <c r="I955">
        <v>0</v>
      </c>
      <c r="J955">
        <v>1</v>
      </c>
      <c r="K955">
        <v>0</v>
      </c>
      <c r="L955" t="s">
        <v>35</v>
      </c>
      <c r="M955" t="s">
        <v>35</v>
      </c>
      <c r="N955" t="s">
        <v>35</v>
      </c>
      <c r="O955" t="s">
        <v>35</v>
      </c>
      <c r="P955" t="s">
        <v>35</v>
      </c>
      <c r="Q955" t="s">
        <v>35</v>
      </c>
      <c r="R955" t="s">
        <v>35</v>
      </c>
      <c r="S955" t="s">
        <v>35</v>
      </c>
      <c r="T955" t="s">
        <v>35</v>
      </c>
      <c r="U955" t="s">
        <v>35</v>
      </c>
      <c r="V955" t="s">
        <v>35</v>
      </c>
      <c r="W955" t="s">
        <v>35</v>
      </c>
      <c r="X955" t="s">
        <v>35</v>
      </c>
      <c r="Y955" t="s">
        <v>35</v>
      </c>
      <c r="Z955" t="s">
        <v>35</v>
      </c>
      <c r="AA955" t="s">
        <v>35</v>
      </c>
      <c r="AB955" t="s">
        <v>35</v>
      </c>
      <c r="AC955" t="s">
        <v>35</v>
      </c>
      <c r="AD955" t="s">
        <v>35</v>
      </c>
      <c r="AE955" t="s">
        <v>35</v>
      </c>
    </row>
    <row r="956" spans="1:31" x14ac:dyDescent="0.2">
      <c r="A956" t="s">
        <v>316</v>
      </c>
      <c r="B956" t="s">
        <v>107</v>
      </c>
      <c r="C956">
        <v>27</v>
      </c>
      <c r="D956" t="s">
        <v>78</v>
      </c>
      <c r="E956" t="s">
        <v>36</v>
      </c>
      <c r="F956" t="s">
        <v>38</v>
      </c>
      <c r="G956">
        <v>3906</v>
      </c>
      <c r="H956">
        <v>0</v>
      </c>
      <c r="I956">
        <v>0</v>
      </c>
      <c r="J956">
        <v>0</v>
      </c>
      <c r="K956">
        <v>1</v>
      </c>
      <c r="L956" t="s">
        <v>35</v>
      </c>
      <c r="M956" t="s">
        <v>35</v>
      </c>
      <c r="N956" t="s">
        <v>35</v>
      </c>
      <c r="O956" t="s">
        <v>35</v>
      </c>
      <c r="P956" t="s">
        <v>35</v>
      </c>
      <c r="Q956" t="s">
        <v>35</v>
      </c>
      <c r="R956" t="s">
        <v>35</v>
      </c>
      <c r="S956" t="s">
        <v>35</v>
      </c>
      <c r="T956" t="s">
        <v>35</v>
      </c>
      <c r="U956" t="s">
        <v>35</v>
      </c>
      <c r="V956" t="s">
        <v>35</v>
      </c>
      <c r="W956" t="s">
        <v>35</v>
      </c>
      <c r="X956" t="s">
        <v>35</v>
      </c>
      <c r="Y956" t="s">
        <v>35</v>
      </c>
      <c r="Z956" t="s">
        <v>35</v>
      </c>
      <c r="AA956" t="s">
        <v>35</v>
      </c>
      <c r="AB956" t="s">
        <v>35</v>
      </c>
      <c r="AC956" t="s">
        <v>35</v>
      </c>
      <c r="AD956" t="s">
        <v>35</v>
      </c>
      <c r="AE956" t="s">
        <v>35</v>
      </c>
    </row>
    <row r="957" spans="1:31" x14ac:dyDescent="0.2">
      <c r="A957" t="s">
        <v>316</v>
      </c>
      <c r="B957" t="s">
        <v>107</v>
      </c>
      <c r="C957">
        <v>27</v>
      </c>
      <c r="D957" t="s">
        <v>78</v>
      </c>
      <c r="E957" t="s">
        <v>39</v>
      </c>
      <c r="F957" t="s">
        <v>63</v>
      </c>
      <c r="G957">
        <v>41537</v>
      </c>
      <c r="H957">
        <v>0</v>
      </c>
      <c r="I957">
        <v>0</v>
      </c>
      <c r="J957">
        <v>1</v>
      </c>
      <c r="K957">
        <v>0</v>
      </c>
      <c r="L957" t="s">
        <v>65</v>
      </c>
      <c r="M957" t="s">
        <v>90</v>
      </c>
      <c r="N957" t="s">
        <v>66</v>
      </c>
      <c r="O957" t="s">
        <v>68</v>
      </c>
      <c r="P957" t="s">
        <v>44</v>
      </c>
      <c r="Q957" t="s">
        <v>45</v>
      </c>
      <c r="R957">
        <v>1</v>
      </c>
      <c r="S957">
        <v>1</v>
      </c>
      <c r="T957">
        <v>0</v>
      </c>
      <c r="U957">
        <v>0</v>
      </c>
      <c r="V957">
        <v>1</v>
      </c>
      <c r="W957">
        <v>0</v>
      </c>
      <c r="X957">
        <v>1</v>
      </c>
      <c r="Y957">
        <v>0</v>
      </c>
      <c r="Z957">
        <v>0</v>
      </c>
      <c r="AA957">
        <v>0</v>
      </c>
      <c r="AB957">
        <v>0</v>
      </c>
      <c r="AC957">
        <v>1</v>
      </c>
      <c r="AD957">
        <v>0</v>
      </c>
      <c r="AE957">
        <v>0</v>
      </c>
    </row>
    <row r="958" spans="1:31" x14ac:dyDescent="0.2">
      <c r="A958" t="s">
        <v>316</v>
      </c>
      <c r="B958" t="s">
        <v>107</v>
      </c>
      <c r="C958">
        <v>27</v>
      </c>
      <c r="D958" t="s">
        <v>78</v>
      </c>
      <c r="E958" t="s">
        <v>39</v>
      </c>
      <c r="F958" t="s">
        <v>54</v>
      </c>
      <c r="G958">
        <v>1050099</v>
      </c>
      <c r="H958">
        <v>1</v>
      </c>
      <c r="I958">
        <v>1</v>
      </c>
      <c r="J958">
        <v>1</v>
      </c>
      <c r="K958">
        <v>0</v>
      </c>
      <c r="L958" t="s">
        <v>56</v>
      </c>
      <c r="M958" t="s">
        <v>57</v>
      </c>
      <c r="N958" t="s">
        <v>122</v>
      </c>
      <c r="O958" t="s">
        <v>45</v>
      </c>
      <c r="P958" t="s">
        <v>46</v>
      </c>
      <c r="Q958" t="s">
        <v>68</v>
      </c>
      <c r="R958">
        <v>1</v>
      </c>
      <c r="S958">
        <v>0</v>
      </c>
      <c r="T958">
        <v>1</v>
      </c>
      <c r="U958">
        <v>0</v>
      </c>
      <c r="V958">
        <v>1</v>
      </c>
      <c r="W958">
        <v>0</v>
      </c>
      <c r="X958">
        <v>1</v>
      </c>
      <c r="Y958">
        <v>1</v>
      </c>
      <c r="Z958">
        <v>0</v>
      </c>
      <c r="AA958">
        <v>1</v>
      </c>
      <c r="AB958">
        <v>0</v>
      </c>
      <c r="AC958">
        <v>1</v>
      </c>
      <c r="AD958">
        <v>0</v>
      </c>
      <c r="AE958">
        <v>0</v>
      </c>
    </row>
    <row r="959" spans="1:31" x14ac:dyDescent="0.2">
      <c r="A959" t="s">
        <v>316</v>
      </c>
      <c r="B959" t="s">
        <v>107</v>
      </c>
      <c r="C959">
        <v>27</v>
      </c>
      <c r="D959" t="s">
        <v>78</v>
      </c>
      <c r="E959" t="s">
        <v>52</v>
      </c>
      <c r="F959" t="s">
        <v>69</v>
      </c>
      <c r="G959">
        <v>71198</v>
      </c>
      <c r="H959">
        <v>1</v>
      </c>
      <c r="I959">
        <v>1</v>
      </c>
      <c r="J959">
        <v>1</v>
      </c>
      <c r="K959">
        <v>0</v>
      </c>
      <c r="L959" t="s">
        <v>35</v>
      </c>
      <c r="M959" t="s">
        <v>35</v>
      </c>
      <c r="N959" t="s">
        <v>35</v>
      </c>
      <c r="O959" t="s">
        <v>35</v>
      </c>
      <c r="P959" t="s">
        <v>35</v>
      </c>
      <c r="Q959" t="s">
        <v>35</v>
      </c>
      <c r="R959" t="s">
        <v>35</v>
      </c>
      <c r="S959">
        <v>0</v>
      </c>
      <c r="T959">
        <v>1</v>
      </c>
      <c r="U959">
        <v>0</v>
      </c>
      <c r="V959">
        <v>1</v>
      </c>
      <c r="W959">
        <v>0</v>
      </c>
      <c r="X959">
        <v>1</v>
      </c>
      <c r="Y959">
        <v>1</v>
      </c>
      <c r="Z959">
        <v>0</v>
      </c>
      <c r="AA959">
        <v>1</v>
      </c>
      <c r="AB959">
        <v>0</v>
      </c>
      <c r="AC959">
        <v>1</v>
      </c>
      <c r="AD959">
        <v>0</v>
      </c>
      <c r="AE959">
        <v>0</v>
      </c>
    </row>
    <row r="960" spans="1:31" x14ac:dyDescent="0.2">
      <c r="A960" t="s">
        <v>316</v>
      </c>
      <c r="B960" t="s">
        <v>107</v>
      </c>
      <c r="C960">
        <v>27</v>
      </c>
      <c r="D960" t="s">
        <v>78</v>
      </c>
      <c r="E960" t="s">
        <v>39</v>
      </c>
      <c r="F960" t="s">
        <v>47</v>
      </c>
      <c r="G960">
        <v>46418</v>
      </c>
      <c r="H960">
        <v>1</v>
      </c>
      <c r="I960">
        <v>1</v>
      </c>
      <c r="J960">
        <v>1</v>
      </c>
      <c r="K960">
        <v>0</v>
      </c>
      <c r="L960" t="s">
        <v>80</v>
      </c>
      <c r="M960" t="s">
        <v>49</v>
      </c>
      <c r="N960" t="s">
        <v>95</v>
      </c>
      <c r="O960" t="s">
        <v>67</v>
      </c>
      <c r="P960" t="s">
        <v>44</v>
      </c>
      <c r="Q960" t="s">
        <v>68</v>
      </c>
      <c r="R960">
        <v>1</v>
      </c>
      <c r="S960">
        <v>1</v>
      </c>
      <c r="T960">
        <v>0</v>
      </c>
      <c r="U960">
        <v>1</v>
      </c>
      <c r="V960">
        <v>0</v>
      </c>
      <c r="W960">
        <v>0</v>
      </c>
      <c r="X960">
        <v>1</v>
      </c>
      <c r="Y960">
        <v>1</v>
      </c>
      <c r="Z960">
        <v>1</v>
      </c>
      <c r="AA960">
        <v>0</v>
      </c>
      <c r="AB960">
        <v>1</v>
      </c>
      <c r="AC960">
        <v>0</v>
      </c>
      <c r="AD960">
        <v>0</v>
      </c>
      <c r="AE960">
        <v>0</v>
      </c>
    </row>
    <row r="961" spans="1:31" x14ac:dyDescent="0.2">
      <c r="A961" t="s">
        <v>316</v>
      </c>
      <c r="B961" t="s">
        <v>107</v>
      </c>
      <c r="C961">
        <v>27</v>
      </c>
      <c r="D961" t="s">
        <v>78</v>
      </c>
      <c r="E961" t="s">
        <v>52</v>
      </c>
      <c r="F961" t="s">
        <v>58</v>
      </c>
      <c r="G961">
        <v>32819</v>
      </c>
      <c r="H961">
        <v>1</v>
      </c>
      <c r="I961">
        <v>1</v>
      </c>
      <c r="J961">
        <v>1</v>
      </c>
      <c r="K961">
        <v>0</v>
      </c>
      <c r="L961" t="s">
        <v>35</v>
      </c>
      <c r="M961" t="s">
        <v>35</v>
      </c>
      <c r="N961" t="s">
        <v>35</v>
      </c>
      <c r="O961" t="s">
        <v>35</v>
      </c>
      <c r="P961" t="s">
        <v>35</v>
      </c>
      <c r="Q961" t="s">
        <v>35</v>
      </c>
      <c r="R961" t="s">
        <v>35</v>
      </c>
      <c r="S961">
        <v>1</v>
      </c>
      <c r="T961">
        <v>0</v>
      </c>
      <c r="U961">
        <v>1</v>
      </c>
      <c r="V961">
        <v>0</v>
      </c>
      <c r="W961">
        <v>0</v>
      </c>
      <c r="X961">
        <v>1</v>
      </c>
      <c r="Y961">
        <v>1</v>
      </c>
      <c r="Z961">
        <v>1</v>
      </c>
      <c r="AA961">
        <v>0</v>
      </c>
      <c r="AB961">
        <v>1</v>
      </c>
      <c r="AC961">
        <v>0</v>
      </c>
      <c r="AD961">
        <v>0</v>
      </c>
      <c r="AE961">
        <v>0</v>
      </c>
    </row>
    <row r="962" spans="1:31" x14ac:dyDescent="0.2">
      <c r="A962" t="s">
        <v>316</v>
      </c>
      <c r="B962" t="s">
        <v>107</v>
      </c>
      <c r="C962">
        <v>27</v>
      </c>
      <c r="D962" t="s">
        <v>78</v>
      </c>
      <c r="E962" t="s">
        <v>39</v>
      </c>
      <c r="F962" t="s">
        <v>40</v>
      </c>
      <c r="G962">
        <v>24617</v>
      </c>
      <c r="H962">
        <v>0</v>
      </c>
      <c r="I962">
        <v>0</v>
      </c>
      <c r="J962">
        <v>1</v>
      </c>
      <c r="K962">
        <v>0</v>
      </c>
      <c r="L962" t="s">
        <v>41</v>
      </c>
      <c r="M962" t="s">
        <v>43</v>
      </c>
      <c r="N962" t="s">
        <v>42</v>
      </c>
      <c r="O962" t="s">
        <v>44</v>
      </c>
      <c r="P962" t="s">
        <v>46</v>
      </c>
      <c r="Q962" t="s">
        <v>45</v>
      </c>
      <c r="R962">
        <v>0</v>
      </c>
      <c r="S962">
        <v>1</v>
      </c>
      <c r="T962">
        <v>1</v>
      </c>
      <c r="U962">
        <v>0</v>
      </c>
      <c r="V962">
        <v>1</v>
      </c>
      <c r="W962">
        <v>0</v>
      </c>
      <c r="X962">
        <v>1</v>
      </c>
      <c r="Y962">
        <v>0</v>
      </c>
      <c r="Z962">
        <v>0</v>
      </c>
      <c r="AA962">
        <v>0</v>
      </c>
      <c r="AB962">
        <v>0</v>
      </c>
      <c r="AC962">
        <v>1</v>
      </c>
      <c r="AD962">
        <v>0</v>
      </c>
      <c r="AE962">
        <v>0</v>
      </c>
    </row>
    <row r="963" spans="1:31" x14ac:dyDescent="0.2">
      <c r="A963" t="s">
        <v>316</v>
      </c>
      <c r="B963" t="s">
        <v>107</v>
      </c>
      <c r="C963">
        <v>27</v>
      </c>
      <c r="D963" t="s">
        <v>78</v>
      </c>
      <c r="E963" t="s">
        <v>39</v>
      </c>
      <c r="F963" t="s">
        <v>70</v>
      </c>
      <c r="G963">
        <v>9025</v>
      </c>
      <c r="H963">
        <v>0</v>
      </c>
      <c r="I963">
        <v>0</v>
      </c>
      <c r="J963">
        <v>1</v>
      </c>
      <c r="K963">
        <v>0</v>
      </c>
      <c r="L963" t="s">
        <v>71</v>
      </c>
      <c r="M963" t="s">
        <v>86</v>
      </c>
      <c r="N963" t="s">
        <v>93</v>
      </c>
      <c r="O963" t="s">
        <v>45</v>
      </c>
      <c r="P963" t="s">
        <v>46</v>
      </c>
      <c r="Q963" t="s">
        <v>68</v>
      </c>
      <c r="R963">
        <v>1</v>
      </c>
      <c r="S963">
        <v>0</v>
      </c>
      <c r="T963">
        <v>1</v>
      </c>
      <c r="U963">
        <v>0</v>
      </c>
      <c r="V963">
        <v>1</v>
      </c>
      <c r="W963">
        <v>0</v>
      </c>
      <c r="X963">
        <v>1</v>
      </c>
      <c r="Y963">
        <v>1</v>
      </c>
      <c r="Z963">
        <v>0</v>
      </c>
      <c r="AA963">
        <v>0</v>
      </c>
      <c r="AB963">
        <v>0</v>
      </c>
      <c r="AC963">
        <v>0</v>
      </c>
      <c r="AD963">
        <v>0</v>
      </c>
      <c r="AE963">
        <v>0</v>
      </c>
    </row>
    <row r="964" spans="1:31" x14ac:dyDescent="0.2">
      <c r="A964" t="s">
        <v>316</v>
      </c>
      <c r="B964" t="s">
        <v>107</v>
      </c>
      <c r="C964">
        <v>27</v>
      </c>
      <c r="D964" t="s">
        <v>78</v>
      </c>
      <c r="E964" t="s">
        <v>52</v>
      </c>
      <c r="F964" t="s">
        <v>74</v>
      </c>
      <c r="G964">
        <v>11657</v>
      </c>
      <c r="H964">
        <v>1</v>
      </c>
      <c r="I964">
        <v>1</v>
      </c>
      <c r="J964">
        <v>1</v>
      </c>
      <c r="K964">
        <v>0</v>
      </c>
      <c r="L964" t="s">
        <v>35</v>
      </c>
      <c r="M964" t="s">
        <v>35</v>
      </c>
      <c r="N964" t="s">
        <v>35</v>
      </c>
      <c r="O964" t="s">
        <v>35</v>
      </c>
      <c r="P964" t="s">
        <v>35</v>
      </c>
      <c r="Q964" t="s">
        <v>35</v>
      </c>
      <c r="R964" t="s">
        <v>35</v>
      </c>
      <c r="S964">
        <v>0</v>
      </c>
      <c r="T964">
        <v>1</v>
      </c>
      <c r="U964">
        <v>0</v>
      </c>
      <c r="V964">
        <v>1</v>
      </c>
      <c r="W964">
        <v>0</v>
      </c>
      <c r="X964">
        <v>1</v>
      </c>
      <c r="Y964">
        <v>1</v>
      </c>
      <c r="Z964">
        <v>0</v>
      </c>
      <c r="AA964">
        <v>0</v>
      </c>
      <c r="AB964">
        <v>0</v>
      </c>
      <c r="AC964">
        <v>0</v>
      </c>
      <c r="AD964">
        <v>0</v>
      </c>
      <c r="AE964">
        <v>0</v>
      </c>
    </row>
    <row r="965" spans="1:31" x14ac:dyDescent="0.2">
      <c r="A965" t="s">
        <v>316</v>
      </c>
      <c r="B965" t="s">
        <v>107</v>
      </c>
      <c r="C965">
        <v>27</v>
      </c>
      <c r="D965" t="s">
        <v>78</v>
      </c>
      <c r="E965" t="s">
        <v>39</v>
      </c>
      <c r="F965" t="s">
        <v>59</v>
      </c>
      <c r="G965">
        <v>7880</v>
      </c>
      <c r="H965">
        <v>1</v>
      </c>
      <c r="I965">
        <v>1</v>
      </c>
      <c r="J965">
        <v>1</v>
      </c>
      <c r="K965">
        <v>0</v>
      </c>
      <c r="L965" t="s">
        <v>99</v>
      </c>
      <c r="M965" t="s">
        <v>62</v>
      </c>
      <c r="N965" t="s">
        <v>61</v>
      </c>
      <c r="O965" t="s">
        <v>67</v>
      </c>
      <c r="P965" t="s">
        <v>45</v>
      </c>
      <c r="Q965" t="s">
        <v>46</v>
      </c>
      <c r="R965">
        <v>0</v>
      </c>
      <c r="S965">
        <v>0</v>
      </c>
      <c r="T965">
        <v>1</v>
      </c>
      <c r="U965">
        <v>1</v>
      </c>
      <c r="V965">
        <v>1</v>
      </c>
      <c r="W965">
        <v>0</v>
      </c>
      <c r="X965">
        <v>1</v>
      </c>
      <c r="Y965">
        <v>0</v>
      </c>
      <c r="Z965">
        <v>0</v>
      </c>
      <c r="AA965">
        <v>1</v>
      </c>
      <c r="AB965">
        <v>1</v>
      </c>
      <c r="AC965">
        <v>1</v>
      </c>
      <c r="AD965">
        <v>0</v>
      </c>
      <c r="AE965">
        <v>0</v>
      </c>
    </row>
    <row r="966" spans="1:31" x14ac:dyDescent="0.2">
      <c r="A966" t="s">
        <v>316</v>
      </c>
      <c r="B966" t="s">
        <v>107</v>
      </c>
      <c r="C966">
        <v>27</v>
      </c>
      <c r="D966" t="s">
        <v>78</v>
      </c>
      <c r="E966" t="s">
        <v>52</v>
      </c>
      <c r="F966" t="s">
        <v>53</v>
      </c>
      <c r="G966">
        <v>5871</v>
      </c>
      <c r="H966">
        <v>1</v>
      </c>
      <c r="I966">
        <v>1</v>
      </c>
      <c r="J966">
        <v>1</v>
      </c>
      <c r="K966">
        <v>0</v>
      </c>
      <c r="L966" t="s">
        <v>35</v>
      </c>
      <c r="M966" t="s">
        <v>35</v>
      </c>
      <c r="N966" t="s">
        <v>35</v>
      </c>
      <c r="O966" t="s">
        <v>35</v>
      </c>
      <c r="P966" t="s">
        <v>35</v>
      </c>
      <c r="Q966" t="s">
        <v>35</v>
      </c>
      <c r="R966" t="s">
        <v>35</v>
      </c>
      <c r="S966">
        <v>0</v>
      </c>
      <c r="T966">
        <v>1</v>
      </c>
      <c r="U966">
        <v>1</v>
      </c>
      <c r="V966">
        <v>1</v>
      </c>
      <c r="W966">
        <v>0</v>
      </c>
      <c r="X966">
        <v>1</v>
      </c>
      <c r="Y966">
        <v>0</v>
      </c>
      <c r="Z966">
        <v>0</v>
      </c>
      <c r="AA966">
        <v>1</v>
      </c>
      <c r="AB966">
        <v>1</v>
      </c>
      <c r="AC966">
        <v>1</v>
      </c>
      <c r="AD966">
        <v>0</v>
      </c>
      <c r="AE966">
        <v>0</v>
      </c>
    </row>
    <row r="967" spans="1:31" x14ac:dyDescent="0.2">
      <c r="A967" t="s">
        <v>316</v>
      </c>
      <c r="B967" t="s">
        <v>107</v>
      </c>
      <c r="C967">
        <v>27</v>
      </c>
      <c r="D967" t="s">
        <v>78</v>
      </c>
      <c r="E967" t="s">
        <v>75</v>
      </c>
      <c r="F967" t="s">
        <v>35</v>
      </c>
      <c r="G967">
        <v>134395</v>
      </c>
      <c r="H967" t="s">
        <v>291</v>
      </c>
      <c r="I967" t="s">
        <v>317</v>
      </c>
      <c r="J967" t="s">
        <v>318</v>
      </c>
      <c r="K967" t="s">
        <v>35</v>
      </c>
      <c r="L967" t="s">
        <v>35</v>
      </c>
      <c r="M967" t="s">
        <v>35</v>
      </c>
      <c r="N967" t="s">
        <v>35</v>
      </c>
      <c r="O967" t="s">
        <v>35</v>
      </c>
      <c r="P967" t="s">
        <v>35</v>
      </c>
      <c r="Q967" t="s">
        <v>35</v>
      </c>
      <c r="R967" t="s">
        <v>35</v>
      </c>
      <c r="S967" t="s">
        <v>35</v>
      </c>
      <c r="T967" t="s">
        <v>35</v>
      </c>
      <c r="U967" t="s">
        <v>35</v>
      </c>
      <c r="V967" t="s">
        <v>35</v>
      </c>
      <c r="W967" t="s">
        <v>35</v>
      </c>
      <c r="X967" t="s">
        <v>35</v>
      </c>
      <c r="Y967" t="s">
        <v>35</v>
      </c>
      <c r="Z967" t="s">
        <v>35</v>
      </c>
      <c r="AA967" t="s">
        <v>35</v>
      </c>
      <c r="AB967" t="s">
        <v>35</v>
      </c>
      <c r="AC967" t="s">
        <v>35</v>
      </c>
      <c r="AD967" t="s">
        <v>35</v>
      </c>
      <c r="AE967" t="s">
        <v>35</v>
      </c>
    </row>
    <row r="968" spans="1:31" x14ac:dyDescent="0.2">
      <c r="A968" t="s">
        <v>319</v>
      </c>
      <c r="B968" t="s">
        <v>102</v>
      </c>
      <c r="C968">
        <v>43</v>
      </c>
      <c r="D968" t="s">
        <v>78</v>
      </c>
      <c r="E968" t="s">
        <v>34</v>
      </c>
      <c r="F968" t="s">
        <v>35</v>
      </c>
      <c r="G968">
        <v>90655</v>
      </c>
      <c r="H968" t="s">
        <v>35</v>
      </c>
      <c r="I968" t="s">
        <v>35</v>
      </c>
      <c r="J968" t="s">
        <v>35</v>
      </c>
      <c r="K968" t="s">
        <v>35</v>
      </c>
      <c r="L968" t="s">
        <v>35</v>
      </c>
      <c r="M968" t="s">
        <v>35</v>
      </c>
      <c r="N968" t="s">
        <v>35</v>
      </c>
      <c r="O968" t="s">
        <v>35</v>
      </c>
      <c r="P968" t="s">
        <v>35</v>
      </c>
      <c r="Q968" t="s">
        <v>35</v>
      </c>
      <c r="R968" t="s">
        <v>35</v>
      </c>
      <c r="S968" t="s">
        <v>35</v>
      </c>
      <c r="T968" t="s">
        <v>35</v>
      </c>
      <c r="U968" t="s">
        <v>35</v>
      </c>
      <c r="V968" t="s">
        <v>35</v>
      </c>
      <c r="W968" t="s">
        <v>35</v>
      </c>
      <c r="X968" t="s">
        <v>35</v>
      </c>
      <c r="Y968" t="s">
        <v>35</v>
      </c>
      <c r="Z968" t="s">
        <v>35</v>
      </c>
      <c r="AA968" t="s">
        <v>35</v>
      </c>
      <c r="AB968" t="s">
        <v>35</v>
      </c>
      <c r="AC968" t="s">
        <v>35</v>
      </c>
      <c r="AD968" t="s">
        <v>35</v>
      </c>
      <c r="AE968" t="s">
        <v>35</v>
      </c>
    </row>
    <row r="969" spans="1:31" x14ac:dyDescent="0.2">
      <c r="A969" t="s">
        <v>319</v>
      </c>
      <c r="B969" t="s">
        <v>102</v>
      </c>
      <c r="C969">
        <v>43</v>
      </c>
      <c r="D969" t="s">
        <v>78</v>
      </c>
      <c r="E969" t="s">
        <v>36</v>
      </c>
      <c r="F969" t="s">
        <v>38</v>
      </c>
      <c r="G969">
        <v>79174</v>
      </c>
      <c r="H969">
        <v>0</v>
      </c>
      <c r="I969">
        <v>0</v>
      </c>
      <c r="J969">
        <v>0</v>
      </c>
      <c r="K969">
        <v>1</v>
      </c>
      <c r="L969" t="s">
        <v>35</v>
      </c>
      <c r="M969" t="s">
        <v>35</v>
      </c>
      <c r="N969" t="s">
        <v>35</v>
      </c>
      <c r="O969" t="s">
        <v>35</v>
      </c>
      <c r="P969" t="s">
        <v>35</v>
      </c>
      <c r="Q969" t="s">
        <v>35</v>
      </c>
      <c r="R969" t="s">
        <v>35</v>
      </c>
      <c r="S969" t="s">
        <v>35</v>
      </c>
      <c r="T969" t="s">
        <v>35</v>
      </c>
      <c r="U969" t="s">
        <v>35</v>
      </c>
      <c r="V969" t="s">
        <v>35</v>
      </c>
      <c r="W969" t="s">
        <v>35</v>
      </c>
      <c r="X969" t="s">
        <v>35</v>
      </c>
      <c r="Y969" t="s">
        <v>35</v>
      </c>
      <c r="Z969" t="s">
        <v>35</v>
      </c>
      <c r="AA969" t="s">
        <v>35</v>
      </c>
      <c r="AB969" t="s">
        <v>35</v>
      </c>
      <c r="AC969" t="s">
        <v>35</v>
      </c>
      <c r="AD969" t="s">
        <v>35</v>
      </c>
      <c r="AE969" t="s">
        <v>35</v>
      </c>
    </row>
    <row r="970" spans="1:31" x14ac:dyDescent="0.2">
      <c r="A970" t="s">
        <v>319</v>
      </c>
      <c r="B970" t="s">
        <v>102</v>
      </c>
      <c r="C970">
        <v>43</v>
      </c>
      <c r="D970" t="s">
        <v>78</v>
      </c>
      <c r="E970" t="s">
        <v>36</v>
      </c>
      <c r="F970" t="s">
        <v>37</v>
      </c>
      <c r="G970">
        <v>60112</v>
      </c>
      <c r="H970">
        <v>0</v>
      </c>
      <c r="I970">
        <v>1</v>
      </c>
      <c r="J970">
        <v>1</v>
      </c>
      <c r="K970">
        <v>0</v>
      </c>
      <c r="L970" t="s">
        <v>35</v>
      </c>
      <c r="M970" t="s">
        <v>35</v>
      </c>
      <c r="N970" t="s">
        <v>35</v>
      </c>
      <c r="O970" t="s">
        <v>35</v>
      </c>
      <c r="P970" t="s">
        <v>35</v>
      </c>
      <c r="Q970" t="s">
        <v>35</v>
      </c>
      <c r="R970" t="s">
        <v>35</v>
      </c>
      <c r="S970" t="s">
        <v>35</v>
      </c>
      <c r="T970" t="s">
        <v>35</v>
      </c>
      <c r="U970" t="s">
        <v>35</v>
      </c>
      <c r="V970" t="s">
        <v>35</v>
      </c>
      <c r="W970" t="s">
        <v>35</v>
      </c>
      <c r="X970" t="s">
        <v>35</v>
      </c>
      <c r="Y970" t="s">
        <v>35</v>
      </c>
      <c r="Z970" t="s">
        <v>35</v>
      </c>
      <c r="AA970" t="s">
        <v>35</v>
      </c>
      <c r="AB970" t="s">
        <v>35</v>
      </c>
      <c r="AC970" t="s">
        <v>35</v>
      </c>
      <c r="AD970" t="s">
        <v>35</v>
      </c>
      <c r="AE970" t="s">
        <v>35</v>
      </c>
    </row>
    <row r="971" spans="1:31" x14ac:dyDescent="0.2">
      <c r="A971" t="s">
        <v>319</v>
      </c>
      <c r="B971" t="s">
        <v>102</v>
      </c>
      <c r="C971">
        <v>43</v>
      </c>
      <c r="D971" t="s">
        <v>78</v>
      </c>
      <c r="E971" t="s">
        <v>39</v>
      </c>
      <c r="F971" t="s">
        <v>54</v>
      </c>
      <c r="G971">
        <v>115216</v>
      </c>
      <c r="H971">
        <v>0</v>
      </c>
      <c r="I971">
        <v>1</v>
      </c>
      <c r="J971">
        <v>1</v>
      </c>
      <c r="K971">
        <v>0</v>
      </c>
      <c r="L971" t="s">
        <v>56</v>
      </c>
      <c r="M971" t="s">
        <v>55</v>
      </c>
      <c r="N971" t="s">
        <v>122</v>
      </c>
      <c r="O971" t="s">
        <v>45</v>
      </c>
      <c r="P971" t="s">
        <v>44</v>
      </c>
      <c r="Q971" t="s">
        <v>68</v>
      </c>
      <c r="R971">
        <v>1</v>
      </c>
      <c r="S971">
        <v>1</v>
      </c>
      <c r="T971">
        <v>0</v>
      </c>
      <c r="U971">
        <v>0</v>
      </c>
      <c r="V971">
        <v>1</v>
      </c>
      <c r="W971">
        <v>0</v>
      </c>
      <c r="X971">
        <v>1</v>
      </c>
      <c r="Y971">
        <v>1</v>
      </c>
      <c r="Z971">
        <v>1</v>
      </c>
      <c r="AA971">
        <v>0</v>
      </c>
      <c r="AB971">
        <v>0</v>
      </c>
      <c r="AC971">
        <v>0</v>
      </c>
      <c r="AD971">
        <v>0</v>
      </c>
      <c r="AE971">
        <v>0</v>
      </c>
    </row>
    <row r="972" spans="1:31" x14ac:dyDescent="0.2">
      <c r="A972" t="s">
        <v>319</v>
      </c>
      <c r="B972" t="s">
        <v>102</v>
      </c>
      <c r="C972">
        <v>43</v>
      </c>
      <c r="D972" t="s">
        <v>78</v>
      </c>
      <c r="E972" t="s">
        <v>39</v>
      </c>
      <c r="F972" t="s">
        <v>47</v>
      </c>
      <c r="G972">
        <v>837879</v>
      </c>
      <c r="H972">
        <v>0</v>
      </c>
      <c r="I972">
        <v>0</v>
      </c>
      <c r="J972">
        <v>0</v>
      </c>
      <c r="K972">
        <v>1</v>
      </c>
      <c r="L972" t="s">
        <v>49</v>
      </c>
      <c r="M972" t="s">
        <v>48</v>
      </c>
      <c r="N972" t="s">
        <v>95</v>
      </c>
      <c r="O972" t="s">
        <v>44</v>
      </c>
      <c r="P972" t="s">
        <v>46</v>
      </c>
      <c r="Q972" t="s">
        <v>68</v>
      </c>
      <c r="R972">
        <v>1</v>
      </c>
      <c r="S972">
        <v>1</v>
      </c>
      <c r="T972">
        <v>1</v>
      </c>
      <c r="U972">
        <v>0</v>
      </c>
      <c r="V972">
        <v>0</v>
      </c>
      <c r="W972">
        <v>0</v>
      </c>
      <c r="X972">
        <v>1</v>
      </c>
      <c r="Y972">
        <v>0</v>
      </c>
      <c r="Z972">
        <v>0</v>
      </c>
      <c r="AA972">
        <v>0</v>
      </c>
      <c r="AB972">
        <v>0</v>
      </c>
      <c r="AC972">
        <v>0</v>
      </c>
      <c r="AD972">
        <v>0</v>
      </c>
      <c r="AE972">
        <v>1</v>
      </c>
    </row>
    <row r="973" spans="1:31" x14ac:dyDescent="0.2">
      <c r="A973" t="s">
        <v>319</v>
      </c>
      <c r="B973" t="s">
        <v>102</v>
      </c>
      <c r="C973">
        <v>43</v>
      </c>
      <c r="D973" t="s">
        <v>78</v>
      </c>
      <c r="E973" t="s">
        <v>52</v>
      </c>
      <c r="F973" t="s">
        <v>69</v>
      </c>
      <c r="G973">
        <v>86583</v>
      </c>
      <c r="H973">
        <v>0</v>
      </c>
      <c r="I973">
        <v>0</v>
      </c>
      <c r="J973">
        <v>1</v>
      </c>
      <c r="K973">
        <v>0</v>
      </c>
      <c r="L973" t="s">
        <v>35</v>
      </c>
      <c r="M973" t="s">
        <v>35</v>
      </c>
      <c r="N973" t="s">
        <v>35</v>
      </c>
      <c r="O973" t="s">
        <v>35</v>
      </c>
      <c r="P973" t="s">
        <v>35</v>
      </c>
      <c r="Q973" t="s">
        <v>35</v>
      </c>
      <c r="R973" t="s">
        <v>35</v>
      </c>
      <c r="S973">
        <v>1</v>
      </c>
      <c r="T973">
        <v>1</v>
      </c>
      <c r="U973">
        <v>0</v>
      </c>
      <c r="V973">
        <v>0</v>
      </c>
      <c r="W973">
        <v>0</v>
      </c>
      <c r="X973">
        <v>1</v>
      </c>
      <c r="Y973">
        <v>0</v>
      </c>
      <c r="Z973">
        <v>0</v>
      </c>
      <c r="AA973">
        <v>0</v>
      </c>
      <c r="AB973">
        <v>0</v>
      </c>
      <c r="AC973">
        <v>0</v>
      </c>
      <c r="AD973">
        <v>0</v>
      </c>
      <c r="AE973">
        <v>1</v>
      </c>
    </row>
    <row r="974" spans="1:31" x14ac:dyDescent="0.2">
      <c r="A974" t="s">
        <v>319</v>
      </c>
      <c r="B974" t="s">
        <v>102</v>
      </c>
      <c r="C974">
        <v>43</v>
      </c>
      <c r="D974" t="s">
        <v>78</v>
      </c>
      <c r="E974" t="s">
        <v>39</v>
      </c>
      <c r="F974" t="s">
        <v>40</v>
      </c>
      <c r="G974">
        <v>59441</v>
      </c>
      <c r="H974">
        <v>0</v>
      </c>
      <c r="I974">
        <v>0</v>
      </c>
      <c r="J974">
        <v>1</v>
      </c>
      <c r="K974">
        <v>0</v>
      </c>
      <c r="L974" t="s">
        <v>91</v>
      </c>
      <c r="M974" t="s">
        <v>42</v>
      </c>
      <c r="N974" t="s">
        <v>41</v>
      </c>
      <c r="O974" t="s">
        <v>51</v>
      </c>
      <c r="P974" t="s">
        <v>45</v>
      </c>
      <c r="Q974" t="s">
        <v>44</v>
      </c>
      <c r="R974">
        <v>0</v>
      </c>
      <c r="S974">
        <v>1</v>
      </c>
      <c r="T974">
        <v>0</v>
      </c>
      <c r="U974">
        <v>0</v>
      </c>
      <c r="V974">
        <v>1</v>
      </c>
      <c r="W974">
        <v>0</v>
      </c>
      <c r="X974">
        <v>1</v>
      </c>
      <c r="Y974">
        <v>0</v>
      </c>
      <c r="Z974">
        <v>1</v>
      </c>
      <c r="AA974">
        <v>0</v>
      </c>
      <c r="AB974">
        <v>0</v>
      </c>
      <c r="AC974">
        <v>0</v>
      </c>
      <c r="AD974">
        <v>0</v>
      </c>
      <c r="AE974">
        <v>0</v>
      </c>
    </row>
    <row r="975" spans="1:31" x14ac:dyDescent="0.2">
      <c r="A975" t="s">
        <v>319</v>
      </c>
      <c r="B975" t="s">
        <v>102</v>
      </c>
      <c r="C975">
        <v>43</v>
      </c>
      <c r="D975" t="s">
        <v>78</v>
      </c>
      <c r="E975" t="s">
        <v>39</v>
      </c>
      <c r="F975" t="s">
        <v>70</v>
      </c>
      <c r="G975">
        <v>56031</v>
      </c>
      <c r="H975">
        <v>1</v>
      </c>
      <c r="I975">
        <v>0</v>
      </c>
      <c r="J975">
        <v>0</v>
      </c>
      <c r="K975">
        <v>0</v>
      </c>
      <c r="L975" t="s">
        <v>72</v>
      </c>
      <c r="M975" t="s">
        <v>71</v>
      </c>
      <c r="N975" t="s">
        <v>92</v>
      </c>
      <c r="O975" t="s">
        <v>67</v>
      </c>
      <c r="P975" t="s">
        <v>45</v>
      </c>
      <c r="Q975" t="s">
        <v>51</v>
      </c>
      <c r="R975">
        <v>0</v>
      </c>
      <c r="S975">
        <v>0</v>
      </c>
      <c r="T975">
        <v>0</v>
      </c>
      <c r="U975">
        <v>1</v>
      </c>
      <c r="V975">
        <v>1</v>
      </c>
      <c r="W975">
        <v>0</v>
      </c>
      <c r="X975">
        <v>1</v>
      </c>
      <c r="Y975">
        <v>0</v>
      </c>
      <c r="Z975">
        <v>0</v>
      </c>
      <c r="AA975">
        <v>0</v>
      </c>
      <c r="AB975">
        <v>1</v>
      </c>
      <c r="AC975">
        <v>0</v>
      </c>
      <c r="AD975">
        <v>0</v>
      </c>
      <c r="AE975">
        <v>0</v>
      </c>
    </row>
    <row r="976" spans="1:31" x14ac:dyDescent="0.2">
      <c r="A976" t="s">
        <v>319</v>
      </c>
      <c r="B976" t="s">
        <v>102</v>
      </c>
      <c r="C976">
        <v>43</v>
      </c>
      <c r="D976" t="s">
        <v>78</v>
      </c>
      <c r="E976" t="s">
        <v>52</v>
      </c>
      <c r="F976" t="s">
        <v>53</v>
      </c>
      <c r="G976">
        <v>47803</v>
      </c>
      <c r="H976">
        <v>0</v>
      </c>
      <c r="I976">
        <v>0</v>
      </c>
      <c r="J976">
        <v>0</v>
      </c>
      <c r="K976">
        <v>1</v>
      </c>
      <c r="L976" t="s">
        <v>35</v>
      </c>
      <c r="M976" t="s">
        <v>35</v>
      </c>
      <c r="N976" t="s">
        <v>35</v>
      </c>
      <c r="O976" t="s">
        <v>35</v>
      </c>
      <c r="P976" t="s">
        <v>35</v>
      </c>
      <c r="Q976" t="s">
        <v>35</v>
      </c>
      <c r="R976" t="s">
        <v>35</v>
      </c>
      <c r="S976">
        <v>0</v>
      </c>
      <c r="T976">
        <v>0</v>
      </c>
      <c r="U976">
        <v>1</v>
      </c>
      <c r="V976">
        <v>1</v>
      </c>
      <c r="W976">
        <v>0</v>
      </c>
      <c r="X976">
        <v>1</v>
      </c>
      <c r="Y976">
        <v>0</v>
      </c>
      <c r="Z976">
        <v>0</v>
      </c>
      <c r="AA976">
        <v>0</v>
      </c>
      <c r="AB976">
        <v>1</v>
      </c>
      <c r="AC976">
        <v>0</v>
      </c>
      <c r="AD976">
        <v>0</v>
      </c>
      <c r="AE976">
        <v>0</v>
      </c>
    </row>
    <row r="977" spans="1:31" x14ac:dyDescent="0.2">
      <c r="A977" t="s">
        <v>319</v>
      </c>
      <c r="B977" t="s">
        <v>102</v>
      </c>
      <c r="C977">
        <v>43</v>
      </c>
      <c r="D977" t="s">
        <v>78</v>
      </c>
      <c r="E977" t="s">
        <v>39</v>
      </c>
      <c r="F977" t="s">
        <v>63</v>
      </c>
      <c r="G977">
        <v>48358</v>
      </c>
      <c r="H977">
        <v>0</v>
      </c>
      <c r="I977">
        <v>0</v>
      </c>
      <c r="J977">
        <v>1</v>
      </c>
      <c r="K977">
        <v>0</v>
      </c>
      <c r="L977" t="s">
        <v>85</v>
      </c>
      <c r="M977" t="s">
        <v>84</v>
      </c>
      <c r="N977" t="s">
        <v>65</v>
      </c>
      <c r="O977" t="s">
        <v>51</v>
      </c>
      <c r="P977" t="s">
        <v>46</v>
      </c>
      <c r="Q977" t="s">
        <v>68</v>
      </c>
      <c r="R977">
        <v>1</v>
      </c>
      <c r="S977">
        <v>0</v>
      </c>
      <c r="T977">
        <v>1</v>
      </c>
      <c r="U977">
        <v>0</v>
      </c>
      <c r="V977">
        <v>0</v>
      </c>
      <c r="W977">
        <v>0</v>
      </c>
      <c r="X977">
        <v>1</v>
      </c>
      <c r="Y977">
        <v>1</v>
      </c>
      <c r="Z977">
        <v>0</v>
      </c>
      <c r="AA977">
        <v>0</v>
      </c>
      <c r="AB977">
        <v>0</v>
      </c>
      <c r="AC977">
        <v>0</v>
      </c>
      <c r="AD977">
        <v>0</v>
      </c>
      <c r="AE977">
        <v>0</v>
      </c>
    </row>
    <row r="978" spans="1:31" x14ac:dyDescent="0.2">
      <c r="A978" t="s">
        <v>319</v>
      </c>
      <c r="B978" t="s">
        <v>102</v>
      </c>
      <c r="C978">
        <v>43</v>
      </c>
      <c r="D978" t="s">
        <v>78</v>
      </c>
      <c r="E978" t="s">
        <v>52</v>
      </c>
      <c r="F978" t="s">
        <v>58</v>
      </c>
      <c r="G978">
        <v>34991</v>
      </c>
      <c r="H978">
        <v>1</v>
      </c>
      <c r="I978">
        <v>0</v>
      </c>
      <c r="J978">
        <v>0</v>
      </c>
      <c r="K978">
        <v>0</v>
      </c>
      <c r="L978" t="s">
        <v>35</v>
      </c>
      <c r="M978" t="s">
        <v>35</v>
      </c>
      <c r="N978" t="s">
        <v>35</v>
      </c>
      <c r="O978" t="s">
        <v>35</v>
      </c>
      <c r="P978" t="s">
        <v>35</v>
      </c>
      <c r="Q978" t="s">
        <v>35</v>
      </c>
      <c r="R978" t="s">
        <v>35</v>
      </c>
      <c r="S978">
        <v>0</v>
      </c>
      <c r="T978">
        <v>1</v>
      </c>
      <c r="U978">
        <v>0</v>
      </c>
      <c r="V978">
        <v>0</v>
      </c>
      <c r="W978">
        <v>0</v>
      </c>
      <c r="X978">
        <v>1</v>
      </c>
      <c r="Y978">
        <v>1</v>
      </c>
      <c r="Z978">
        <v>0</v>
      </c>
      <c r="AA978">
        <v>0</v>
      </c>
      <c r="AB978">
        <v>0</v>
      </c>
      <c r="AC978">
        <v>0</v>
      </c>
      <c r="AD978">
        <v>0</v>
      </c>
      <c r="AE978">
        <v>0</v>
      </c>
    </row>
    <row r="979" spans="1:31" x14ac:dyDescent="0.2">
      <c r="A979" t="s">
        <v>319</v>
      </c>
      <c r="B979" t="s">
        <v>102</v>
      </c>
      <c r="C979">
        <v>43</v>
      </c>
      <c r="D979" t="s">
        <v>78</v>
      </c>
      <c r="E979" t="s">
        <v>39</v>
      </c>
      <c r="F979" t="s">
        <v>59</v>
      </c>
      <c r="G979">
        <v>73098</v>
      </c>
      <c r="H979">
        <v>0</v>
      </c>
      <c r="I979">
        <v>1</v>
      </c>
      <c r="J979">
        <v>0</v>
      </c>
      <c r="K979">
        <v>0</v>
      </c>
      <c r="L979" t="s">
        <v>60</v>
      </c>
      <c r="M979" t="s">
        <v>94</v>
      </c>
      <c r="N979" t="s">
        <v>99</v>
      </c>
      <c r="O979" t="s">
        <v>44</v>
      </c>
      <c r="P979" t="s">
        <v>68</v>
      </c>
      <c r="Q979" t="s">
        <v>67</v>
      </c>
      <c r="R979">
        <v>1</v>
      </c>
      <c r="S979">
        <v>1</v>
      </c>
      <c r="T979">
        <v>0</v>
      </c>
      <c r="U979">
        <v>1</v>
      </c>
      <c r="V979">
        <v>0</v>
      </c>
      <c r="W979">
        <v>0</v>
      </c>
      <c r="X979">
        <v>1</v>
      </c>
      <c r="Y979">
        <v>1</v>
      </c>
      <c r="Z979">
        <v>0</v>
      </c>
      <c r="AA979">
        <v>0</v>
      </c>
      <c r="AB979">
        <v>0</v>
      </c>
      <c r="AC979">
        <v>0</v>
      </c>
      <c r="AD979">
        <v>0</v>
      </c>
      <c r="AE979">
        <v>0</v>
      </c>
    </row>
    <row r="980" spans="1:31" x14ac:dyDescent="0.2">
      <c r="A980" t="s">
        <v>319</v>
      </c>
      <c r="B980" t="s">
        <v>102</v>
      </c>
      <c r="C980">
        <v>43</v>
      </c>
      <c r="D980" t="s">
        <v>78</v>
      </c>
      <c r="E980" t="s">
        <v>52</v>
      </c>
      <c r="F980" t="s">
        <v>74</v>
      </c>
      <c r="G980">
        <v>40647</v>
      </c>
      <c r="H980">
        <v>1</v>
      </c>
      <c r="I980">
        <v>0</v>
      </c>
      <c r="J980">
        <v>0</v>
      </c>
      <c r="K980">
        <v>0</v>
      </c>
      <c r="L980" t="s">
        <v>35</v>
      </c>
      <c r="M980" t="s">
        <v>35</v>
      </c>
      <c r="N980" t="s">
        <v>35</v>
      </c>
      <c r="O980" t="s">
        <v>35</v>
      </c>
      <c r="P980" t="s">
        <v>35</v>
      </c>
      <c r="Q980" t="s">
        <v>35</v>
      </c>
      <c r="R980" t="s">
        <v>35</v>
      </c>
      <c r="S980">
        <v>1</v>
      </c>
      <c r="T980">
        <v>0</v>
      </c>
      <c r="U980">
        <v>1</v>
      </c>
      <c r="V980">
        <v>0</v>
      </c>
      <c r="W980">
        <v>0</v>
      </c>
      <c r="X980">
        <v>1</v>
      </c>
      <c r="Y980">
        <v>1</v>
      </c>
      <c r="Z980">
        <v>0</v>
      </c>
      <c r="AA980">
        <v>0</v>
      </c>
      <c r="AB980">
        <v>0</v>
      </c>
      <c r="AC980">
        <v>0</v>
      </c>
      <c r="AD980">
        <v>0</v>
      </c>
      <c r="AE980">
        <v>0</v>
      </c>
    </row>
    <row r="981" spans="1:31" x14ac:dyDescent="0.2">
      <c r="A981" t="s">
        <v>319</v>
      </c>
      <c r="B981" t="s">
        <v>102</v>
      </c>
      <c r="C981">
        <v>43</v>
      </c>
      <c r="D981" t="s">
        <v>78</v>
      </c>
      <c r="E981" t="s">
        <v>75</v>
      </c>
      <c r="F981" t="s">
        <v>35</v>
      </c>
      <c r="G981">
        <v>169151</v>
      </c>
      <c r="H981" t="s">
        <v>320</v>
      </c>
      <c r="I981" t="s">
        <v>321</v>
      </c>
      <c r="J981" t="s">
        <v>322</v>
      </c>
      <c r="K981" t="s">
        <v>35</v>
      </c>
      <c r="L981" t="s">
        <v>35</v>
      </c>
      <c r="M981" t="s">
        <v>35</v>
      </c>
      <c r="N981" t="s">
        <v>35</v>
      </c>
      <c r="O981" t="s">
        <v>35</v>
      </c>
      <c r="P981" t="s">
        <v>35</v>
      </c>
      <c r="Q981" t="s">
        <v>35</v>
      </c>
      <c r="R981" t="s">
        <v>35</v>
      </c>
      <c r="S981" t="s">
        <v>35</v>
      </c>
      <c r="T981" t="s">
        <v>35</v>
      </c>
      <c r="U981" t="s">
        <v>35</v>
      </c>
      <c r="V981" t="s">
        <v>35</v>
      </c>
      <c r="W981" t="s">
        <v>35</v>
      </c>
      <c r="X981" t="s">
        <v>35</v>
      </c>
      <c r="Y981" t="s">
        <v>35</v>
      </c>
      <c r="Z981" t="s">
        <v>35</v>
      </c>
      <c r="AA981" t="s">
        <v>35</v>
      </c>
      <c r="AB981" t="s">
        <v>35</v>
      </c>
      <c r="AC981" t="s">
        <v>35</v>
      </c>
      <c r="AD981" t="s">
        <v>35</v>
      </c>
      <c r="AE981" t="s">
        <v>35</v>
      </c>
    </row>
    <row r="982" spans="1:31" x14ac:dyDescent="0.2">
      <c r="A982" t="s">
        <v>323</v>
      </c>
      <c r="B982" t="s">
        <v>32</v>
      </c>
      <c r="C982">
        <v>30</v>
      </c>
      <c r="D982" t="s">
        <v>78</v>
      </c>
      <c r="E982" t="s">
        <v>34</v>
      </c>
      <c r="F982" t="s">
        <v>35</v>
      </c>
      <c r="G982">
        <v>275518</v>
      </c>
      <c r="H982" t="s">
        <v>35</v>
      </c>
      <c r="I982" t="s">
        <v>35</v>
      </c>
      <c r="J982" t="s">
        <v>35</v>
      </c>
      <c r="K982" t="s">
        <v>35</v>
      </c>
      <c r="L982" t="s">
        <v>35</v>
      </c>
      <c r="M982" t="s">
        <v>35</v>
      </c>
      <c r="N982" t="s">
        <v>35</v>
      </c>
      <c r="O982" t="s">
        <v>35</v>
      </c>
      <c r="P982" t="s">
        <v>35</v>
      </c>
      <c r="Q982" t="s">
        <v>35</v>
      </c>
      <c r="R982" t="s">
        <v>35</v>
      </c>
      <c r="S982" t="s">
        <v>35</v>
      </c>
      <c r="T982" t="s">
        <v>35</v>
      </c>
      <c r="U982" t="s">
        <v>35</v>
      </c>
      <c r="V982" t="s">
        <v>35</v>
      </c>
      <c r="W982" t="s">
        <v>35</v>
      </c>
      <c r="X982" t="s">
        <v>35</v>
      </c>
      <c r="Y982" t="s">
        <v>35</v>
      </c>
      <c r="Z982" t="s">
        <v>35</v>
      </c>
      <c r="AA982" t="s">
        <v>35</v>
      </c>
      <c r="AB982" t="s">
        <v>35</v>
      </c>
      <c r="AC982" t="s">
        <v>35</v>
      </c>
      <c r="AD982" t="s">
        <v>35</v>
      </c>
      <c r="AE982" t="s">
        <v>35</v>
      </c>
    </row>
    <row r="983" spans="1:31" x14ac:dyDescent="0.2">
      <c r="A983" t="s">
        <v>323</v>
      </c>
      <c r="B983" t="s">
        <v>32</v>
      </c>
      <c r="C983">
        <v>30</v>
      </c>
      <c r="D983" t="s">
        <v>78</v>
      </c>
      <c r="E983" t="s">
        <v>36</v>
      </c>
      <c r="F983" t="s">
        <v>37</v>
      </c>
      <c r="G983">
        <v>54449</v>
      </c>
      <c r="H983">
        <v>0</v>
      </c>
      <c r="I983">
        <v>0</v>
      </c>
      <c r="J983">
        <v>1</v>
      </c>
      <c r="K983">
        <v>0</v>
      </c>
      <c r="L983" t="s">
        <v>35</v>
      </c>
      <c r="M983" t="s">
        <v>35</v>
      </c>
      <c r="N983" t="s">
        <v>35</v>
      </c>
      <c r="O983" t="s">
        <v>35</v>
      </c>
      <c r="P983" t="s">
        <v>35</v>
      </c>
      <c r="Q983" t="s">
        <v>35</v>
      </c>
      <c r="R983" t="s">
        <v>35</v>
      </c>
      <c r="S983" t="s">
        <v>35</v>
      </c>
      <c r="T983" t="s">
        <v>35</v>
      </c>
      <c r="U983" t="s">
        <v>35</v>
      </c>
      <c r="V983" t="s">
        <v>35</v>
      </c>
      <c r="W983" t="s">
        <v>35</v>
      </c>
      <c r="X983" t="s">
        <v>35</v>
      </c>
      <c r="Y983" t="s">
        <v>35</v>
      </c>
      <c r="Z983" t="s">
        <v>35</v>
      </c>
      <c r="AA983" t="s">
        <v>35</v>
      </c>
      <c r="AB983" t="s">
        <v>35</v>
      </c>
      <c r="AC983" t="s">
        <v>35</v>
      </c>
      <c r="AD983" t="s">
        <v>35</v>
      </c>
      <c r="AE983" t="s">
        <v>35</v>
      </c>
    </row>
    <row r="984" spans="1:31" x14ac:dyDescent="0.2">
      <c r="A984" t="s">
        <v>323</v>
      </c>
      <c r="B984" t="s">
        <v>32</v>
      </c>
      <c r="C984">
        <v>30</v>
      </c>
      <c r="D984" t="s">
        <v>78</v>
      </c>
      <c r="E984" t="s">
        <v>36</v>
      </c>
      <c r="F984" t="s">
        <v>38</v>
      </c>
      <c r="G984">
        <v>50184</v>
      </c>
      <c r="H984">
        <v>0</v>
      </c>
      <c r="I984">
        <v>0</v>
      </c>
      <c r="J984">
        <v>0</v>
      </c>
      <c r="K984">
        <v>1</v>
      </c>
      <c r="L984" t="s">
        <v>35</v>
      </c>
      <c r="M984" t="s">
        <v>35</v>
      </c>
      <c r="N984" t="s">
        <v>35</v>
      </c>
      <c r="O984" t="s">
        <v>35</v>
      </c>
      <c r="P984" t="s">
        <v>35</v>
      </c>
      <c r="Q984" t="s">
        <v>35</v>
      </c>
      <c r="R984" t="s">
        <v>35</v>
      </c>
      <c r="S984" t="s">
        <v>35</v>
      </c>
      <c r="T984" t="s">
        <v>35</v>
      </c>
      <c r="U984" t="s">
        <v>35</v>
      </c>
      <c r="V984" t="s">
        <v>35</v>
      </c>
      <c r="W984" t="s">
        <v>35</v>
      </c>
      <c r="X984" t="s">
        <v>35</v>
      </c>
      <c r="Y984" t="s">
        <v>35</v>
      </c>
      <c r="Z984" t="s">
        <v>35</v>
      </c>
      <c r="AA984" t="s">
        <v>35</v>
      </c>
      <c r="AB984" t="s">
        <v>35</v>
      </c>
      <c r="AC984" t="s">
        <v>35</v>
      </c>
      <c r="AD984" t="s">
        <v>35</v>
      </c>
      <c r="AE984" t="s">
        <v>35</v>
      </c>
    </row>
    <row r="985" spans="1:31" x14ac:dyDescent="0.2">
      <c r="A985" t="s">
        <v>323</v>
      </c>
      <c r="B985" t="s">
        <v>32</v>
      </c>
      <c r="C985">
        <v>30</v>
      </c>
      <c r="D985" t="s">
        <v>78</v>
      </c>
      <c r="E985" t="s">
        <v>39</v>
      </c>
      <c r="F985" t="s">
        <v>70</v>
      </c>
      <c r="G985">
        <v>67360</v>
      </c>
      <c r="H985">
        <v>0</v>
      </c>
      <c r="I985">
        <v>0</v>
      </c>
      <c r="J985">
        <v>0</v>
      </c>
      <c r="K985">
        <v>1</v>
      </c>
      <c r="L985" t="s">
        <v>71</v>
      </c>
      <c r="M985" t="s">
        <v>72</v>
      </c>
      <c r="N985" t="s">
        <v>86</v>
      </c>
      <c r="O985" t="s">
        <v>45</v>
      </c>
      <c r="P985" t="s">
        <v>67</v>
      </c>
      <c r="Q985" t="s">
        <v>46</v>
      </c>
      <c r="R985">
        <v>0</v>
      </c>
      <c r="S985">
        <v>0</v>
      </c>
      <c r="T985">
        <v>1</v>
      </c>
      <c r="U985">
        <v>1</v>
      </c>
      <c r="V985">
        <v>1</v>
      </c>
      <c r="W985">
        <v>0</v>
      </c>
      <c r="X985">
        <v>1</v>
      </c>
      <c r="Y985">
        <v>0</v>
      </c>
      <c r="Z985">
        <v>0</v>
      </c>
      <c r="AA985">
        <v>0</v>
      </c>
      <c r="AB985">
        <v>0</v>
      </c>
      <c r="AC985">
        <v>0</v>
      </c>
      <c r="AD985">
        <v>0</v>
      </c>
      <c r="AE985">
        <v>1</v>
      </c>
    </row>
    <row r="986" spans="1:31" x14ac:dyDescent="0.2">
      <c r="A986" t="s">
        <v>323</v>
      </c>
      <c r="B986" t="s">
        <v>32</v>
      </c>
      <c r="C986">
        <v>30</v>
      </c>
      <c r="D986" t="s">
        <v>78</v>
      </c>
      <c r="E986" t="s">
        <v>39</v>
      </c>
      <c r="F986" t="s">
        <v>59</v>
      </c>
      <c r="G986">
        <v>66389</v>
      </c>
      <c r="H986">
        <v>0</v>
      </c>
      <c r="I986">
        <v>0</v>
      </c>
      <c r="J986">
        <v>0</v>
      </c>
      <c r="K986">
        <v>1</v>
      </c>
      <c r="L986" t="s">
        <v>60</v>
      </c>
      <c r="M986" t="s">
        <v>83</v>
      </c>
      <c r="N986" t="s">
        <v>99</v>
      </c>
      <c r="O986" t="s">
        <v>44</v>
      </c>
      <c r="P986" t="s">
        <v>51</v>
      </c>
      <c r="Q986" t="s">
        <v>67</v>
      </c>
      <c r="R986">
        <v>0</v>
      </c>
      <c r="S986">
        <v>1</v>
      </c>
      <c r="T986">
        <v>0</v>
      </c>
      <c r="U986">
        <v>1</v>
      </c>
      <c r="V986">
        <v>0</v>
      </c>
      <c r="W986">
        <v>0</v>
      </c>
      <c r="X986">
        <v>1</v>
      </c>
      <c r="Y986">
        <v>0</v>
      </c>
      <c r="Z986">
        <v>0</v>
      </c>
      <c r="AA986">
        <v>0</v>
      </c>
      <c r="AB986">
        <v>0</v>
      </c>
      <c r="AC986">
        <v>0</v>
      </c>
      <c r="AD986">
        <v>0</v>
      </c>
      <c r="AE986">
        <v>1</v>
      </c>
    </row>
    <row r="987" spans="1:31" x14ac:dyDescent="0.2">
      <c r="A987" t="s">
        <v>323</v>
      </c>
      <c r="B987" t="s">
        <v>32</v>
      </c>
      <c r="C987">
        <v>30</v>
      </c>
      <c r="D987" t="s">
        <v>78</v>
      </c>
      <c r="E987" t="s">
        <v>52</v>
      </c>
      <c r="F987" t="s">
        <v>69</v>
      </c>
      <c r="G987">
        <v>57514</v>
      </c>
      <c r="H987">
        <v>0</v>
      </c>
      <c r="I987">
        <v>1</v>
      </c>
      <c r="J987">
        <v>0</v>
      </c>
      <c r="K987">
        <v>0</v>
      </c>
      <c r="L987" t="s">
        <v>35</v>
      </c>
      <c r="M987" t="s">
        <v>35</v>
      </c>
      <c r="N987" t="s">
        <v>35</v>
      </c>
      <c r="O987" t="s">
        <v>35</v>
      </c>
      <c r="P987" t="s">
        <v>35</v>
      </c>
      <c r="Q987" t="s">
        <v>35</v>
      </c>
      <c r="R987" t="s">
        <v>35</v>
      </c>
      <c r="S987">
        <v>1</v>
      </c>
      <c r="T987">
        <v>0</v>
      </c>
      <c r="U987">
        <v>1</v>
      </c>
      <c r="V987">
        <v>0</v>
      </c>
      <c r="W987">
        <v>0</v>
      </c>
      <c r="X987">
        <v>1</v>
      </c>
      <c r="Y987">
        <v>0</v>
      </c>
      <c r="Z987">
        <v>0</v>
      </c>
      <c r="AA987">
        <v>0</v>
      </c>
      <c r="AB987">
        <v>0</v>
      </c>
      <c r="AC987">
        <v>0</v>
      </c>
      <c r="AD987">
        <v>0</v>
      </c>
      <c r="AE987">
        <v>1</v>
      </c>
    </row>
    <row r="988" spans="1:31" x14ac:dyDescent="0.2">
      <c r="A988" t="s">
        <v>323</v>
      </c>
      <c r="B988" t="s">
        <v>32</v>
      </c>
      <c r="C988">
        <v>30</v>
      </c>
      <c r="D988" t="s">
        <v>78</v>
      </c>
      <c r="E988" t="s">
        <v>39</v>
      </c>
      <c r="F988" t="s">
        <v>40</v>
      </c>
      <c r="G988">
        <v>85360</v>
      </c>
      <c r="H988">
        <v>0</v>
      </c>
      <c r="I988">
        <v>0</v>
      </c>
      <c r="J988">
        <v>0</v>
      </c>
      <c r="K988">
        <v>1</v>
      </c>
      <c r="L988" t="s">
        <v>81</v>
      </c>
      <c r="M988" t="s">
        <v>82</v>
      </c>
      <c r="N988" t="s">
        <v>42</v>
      </c>
      <c r="O988" t="s">
        <v>67</v>
      </c>
      <c r="P988" t="s">
        <v>68</v>
      </c>
      <c r="Q988" t="s">
        <v>45</v>
      </c>
      <c r="R988">
        <v>1</v>
      </c>
      <c r="S988">
        <v>0</v>
      </c>
      <c r="T988">
        <v>0</v>
      </c>
      <c r="U988">
        <v>1</v>
      </c>
      <c r="V988">
        <v>1</v>
      </c>
      <c r="W988">
        <v>0</v>
      </c>
      <c r="X988">
        <v>1</v>
      </c>
      <c r="Y988">
        <v>0</v>
      </c>
      <c r="Z988">
        <v>0</v>
      </c>
      <c r="AA988">
        <v>0</v>
      </c>
      <c r="AB988">
        <v>0</v>
      </c>
      <c r="AC988">
        <v>0</v>
      </c>
      <c r="AD988">
        <v>0</v>
      </c>
      <c r="AE988">
        <v>1</v>
      </c>
    </row>
    <row r="989" spans="1:31" x14ac:dyDescent="0.2">
      <c r="A989" t="s">
        <v>323</v>
      </c>
      <c r="B989" t="s">
        <v>32</v>
      </c>
      <c r="C989">
        <v>30</v>
      </c>
      <c r="D989" t="s">
        <v>78</v>
      </c>
      <c r="E989" t="s">
        <v>52</v>
      </c>
      <c r="F989" t="s">
        <v>53</v>
      </c>
      <c r="G989">
        <v>48422</v>
      </c>
      <c r="H989">
        <v>1</v>
      </c>
      <c r="I989">
        <v>0</v>
      </c>
      <c r="J989">
        <v>0</v>
      </c>
      <c r="K989">
        <v>0</v>
      </c>
      <c r="L989" t="s">
        <v>35</v>
      </c>
      <c r="M989" t="s">
        <v>35</v>
      </c>
      <c r="N989" t="s">
        <v>35</v>
      </c>
      <c r="O989" t="s">
        <v>35</v>
      </c>
      <c r="P989" t="s">
        <v>35</v>
      </c>
      <c r="Q989" t="s">
        <v>35</v>
      </c>
      <c r="R989" t="s">
        <v>35</v>
      </c>
      <c r="S989">
        <v>0</v>
      </c>
      <c r="T989">
        <v>0</v>
      </c>
      <c r="U989">
        <v>1</v>
      </c>
      <c r="V989">
        <v>1</v>
      </c>
      <c r="W989">
        <v>0</v>
      </c>
      <c r="X989">
        <v>1</v>
      </c>
      <c r="Y989">
        <v>0</v>
      </c>
      <c r="Z989">
        <v>0</v>
      </c>
      <c r="AA989">
        <v>0</v>
      </c>
      <c r="AB989">
        <v>0</v>
      </c>
      <c r="AC989">
        <v>0</v>
      </c>
      <c r="AD989">
        <v>0</v>
      </c>
      <c r="AE989">
        <v>1</v>
      </c>
    </row>
    <row r="990" spans="1:31" x14ac:dyDescent="0.2">
      <c r="A990" t="s">
        <v>323</v>
      </c>
      <c r="B990" t="s">
        <v>32</v>
      </c>
      <c r="C990">
        <v>30</v>
      </c>
      <c r="D990" t="s">
        <v>78</v>
      </c>
      <c r="E990" t="s">
        <v>39</v>
      </c>
      <c r="F990" t="s">
        <v>47</v>
      </c>
      <c r="G990">
        <v>60657</v>
      </c>
      <c r="H990">
        <v>0</v>
      </c>
      <c r="I990">
        <v>0</v>
      </c>
      <c r="J990">
        <v>0</v>
      </c>
      <c r="K990">
        <v>1</v>
      </c>
      <c r="L990" t="s">
        <v>95</v>
      </c>
      <c r="M990" t="s">
        <v>79</v>
      </c>
      <c r="N990" t="s">
        <v>80</v>
      </c>
      <c r="O990" t="s">
        <v>68</v>
      </c>
      <c r="P990" t="s">
        <v>45</v>
      </c>
      <c r="Q990" t="s">
        <v>67</v>
      </c>
      <c r="R990">
        <v>1</v>
      </c>
      <c r="S990">
        <v>0</v>
      </c>
      <c r="T990">
        <v>0</v>
      </c>
      <c r="U990">
        <v>1</v>
      </c>
      <c r="V990">
        <v>1</v>
      </c>
      <c r="W990">
        <v>0</v>
      </c>
      <c r="X990">
        <v>1</v>
      </c>
      <c r="Y990">
        <v>0</v>
      </c>
      <c r="Z990">
        <v>0</v>
      </c>
      <c r="AA990">
        <v>0</v>
      </c>
      <c r="AB990">
        <v>0</v>
      </c>
      <c r="AC990">
        <v>0</v>
      </c>
      <c r="AD990">
        <v>0</v>
      </c>
      <c r="AE990">
        <v>1</v>
      </c>
    </row>
    <row r="991" spans="1:31" x14ac:dyDescent="0.2">
      <c r="A991" t="s">
        <v>323</v>
      </c>
      <c r="B991" t="s">
        <v>32</v>
      </c>
      <c r="C991">
        <v>30</v>
      </c>
      <c r="D991" t="s">
        <v>78</v>
      </c>
      <c r="E991" t="s">
        <v>39</v>
      </c>
      <c r="F991" t="s">
        <v>54</v>
      </c>
      <c r="G991">
        <v>69468</v>
      </c>
      <c r="H991">
        <v>1</v>
      </c>
      <c r="I991">
        <v>0</v>
      </c>
      <c r="J991">
        <v>0</v>
      </c>
      <c r="K991">
        <v>0</v>
      </c>
      <c r="L991" t="s">
        <v>55</v>
      </c>
      <c r="M991" t="s">
        <v>56</v>
      </c>
      <c r="N991" t="s">
        <v>57</v>
      </c>
      <c r="O991" t="s">
        <v>44</v>
      </c>
      <c r="P991" t="s">
        <v>45</v>
      </c>
      <c r="Q991" t="s">
        <v>46</v>
      </c>
      <c r="R991">
        <v>0</v>
      </c>
      <c r="S991">
        <v>1</v>
      </c>
      <c r="T991">
        <v>1</v>
      </c>
      <c r="U991">
        <v>0</v>
      </c>
      <c r="V991">
        <v>1</v>
      </c>
      <c r="W991">
        <v>0</v>
      </c>
      <c r="X991">
        <v>1</v>
      </c>
      <c r="Y991">
        <v>0</v>
      </c>
      <c r="Z991">
        <v>1</v>
      </c>
      <c r="AA991">
        <v>0</v>
      </c>
      <c r="AB991">
        <v>0</v>
      </c>
      <c r="AC991">
        <v>0</v>
      </c>
      <c r="AD991">
        <v>0</v>
      </c>
      <c r="AE991">
        <v>0</v>
      </c>
    </row>
    <row r="992" spans="1:31" x14ac:dyDescent="0.2">
      <c r="A992" t="s">
        <v>323</v>
      </c>
      <c r="B992" t="s">
        <v>32</v>
      </c>
      <c r="C992">
        <v>30</v>
      </c>
      <c r="D992" t="s">
        <v>78</v>
      </c>
      <c r="E992" t="s">
        <v>52</v>
      </c>
      <c r="F992" t="s">
        <v>74</v>
      </c>
      <c r="G992">
        <v>38883</v>
      </c>
      <c r="H992">
        <v>1</v>
      </c>
      <c r="I992">
        <v>0</v>
      </c>
      <c r="J992">
        <v>0</v>
      </c>
      <c r="K992">
        <v>0</v>
      </c>
      <c r="L992" t="s">
        <v>35</v>
      </c>
      <c r="M992" t="s">
        <v>35</v>
      </c>
      <c r="N992" t="s">
        <v>35</v>
      </c>
      <c r="O992" t="s">
        <v>35</v>
      </c>
      <c r="P992" t="s">
        <v>35</v>
      </c>
      <c r="Q992" t="s">
        <v>35</v>
      </c>
      <c r="R992" t="s">
        <v>35</v>
      </c>
      <c r="S992">
        <v>1</v>
      </c>
      <c r="T992">
        <v>1</v>
      </c>
      <c r="U992">
        <v>0</v>
      </c>
      <c r="V992">
        <v>1</v>
      </c>
      <c r="W992">
        <v>0</v>
      </c>
      <c r="X992">
        <v>1</v>
      </c>
      <c r="Y992">
        <v>0</v>
      </c>
      <c r="Z992">
        <v>1</v>
      </c>
      <c r="AA992">
        <v>0</v>
      </c>
      <c r="AB992">
        <v>0</v>
      </c>
      <c r="AC992">
        <v>0</v>
      </c>
      <c r="AD992">
        <v>0</v>
      </c>
      <c r="AE992">
        <v>0</v>
      </c>
    </row>
    <row r="993" spans="1:31" x14ac:dyDescent="0.2">
      <c r="A993" t="s">
        <v>323</v>
      </c>
      <c r="B993" t="s">
        <v>32</v>
      </c>
      <c r="C993">
        <v>30</v>
      </c>
      <c r="D993" t="s">
        <v>78</v>
      </c>
      <c r="E993" t="s">
        <v>39</v>
      </c>
      <c r="F993" t="s">
        <v>63</v>
      </c>
      <c r="G993">
        <v>294250</v>
      </c>
      <c r="H993">
        <v>0</v>
      </c>
      <c r="I993">
        <v>0</v>
      </c>
      <c r="J993">
        <v>0</v>
      </c>
      <c r="K993">
        <v>1</v>
      </c>
      <c r="L993" t="s">
        <v>90</v>
      </c>
      <c r="M993" t="s">
        <v>64</v>
      </c>
      <c r="N993" t="s">
        <v>85</v>
      </c>
      <c r="O993" t="s">
        <v>44</v>
      </c>
      <c r="P993" t="s">
        <v>67</v>
      </c>
      <c r="Q993" t="s">
        <v>51</v>
      </c>
      <c r="R993">
        <v>0</v>
      </c>
      <c r="S993">
        <v>1</v>
      </c>
      <c r="T993">
        <v>0</v>
      </c>
      <c r="U993">
        <v>1</v>
      </c>
      <c r="V993">
        <v>0</v>
      </c>
      <c r="W993">
        <v>0</v>
      </c>
      <c r="X993">
        <v>1</v>
      </c>
      <c r="Y993">
        <v>0</v>
      </c>
      <c r="Z993">
        <v>0</v>
      </c>
      <c r="AA993">
        <v>0</v>
      </c>
      <c r="AB993">
        <v>0</v>
      </c>
      <c r="AC993">
        <v>0</v>
      </c>
      <c r="AD993">
        <v>0</v>
      </c>
      <c r="AE993">
        <v>1</v>
      </c>
    </row>
    <row r="994" spans="1:31" x14ac:dyDescent="0.2">
      <c r="A994" t="s">
        <v>323</v>
      </c>
      <c r="B994" t="s">
        <v>32</v>
      </c>
      <c r="C994">
        <v>30</v>
      </c>
      <c r="D994" t="s">
        <v>78</v>
      </c>
      <c r="E994" t="s">
        <v>52</v>
      </c>
      <c r="F994" t="s">
        <v>58</v>
      </c>
      <c r="G994">
        <v>156765</v>
      </c>
      <c r="H994">
        <v>0</v>
      </c>
      <c r="I994">
        <v>1</v>
      </c>
      <c r="J994">
        <v>0</v>
      </c>
      <c r="K994">
        <v>0</v>
      </c>
      <c r="L994" t="s">
        <v>35</v>
      </c>
      <c r="M994" t="s">
        <v>35</v>
      </c>
      <c r="N994" t="s">
        <v>35</v>
      </c>
      <c r="O994" t="s">
        <v>35</v>
      </c>
      <c r="P994" t="s">
        <v>35</v>
      </c>
      <c r="Q994" t="s">
        <v>35</v>
      </c>
      <c r="R994" t="s">
        <v>35</v>
      </c>
      <c r="S994">
        <v>1</v>
      </c>
      <c r="T994">
        <v>0</v>
      </c>
      <c r="U994">
        <v>1</v>
      </c>
      <c r="V994">
        <v>0</v>
      </c>
      <c r="W994">
        <v>0</v>
      </c>
      <c r="X994">
        <v>1</v>
      </c>
      <c r="Y994">
        <v>0</v>
      </c>
      <c r="Z994">
        <v>0</v>
      </c>
      <c r="AA994">
        <v>0</v>
      </c>
      <c r="AB994">
        <v>0</v>
      </c>
      <c r="AC994">
        <v>0</v>
      </c>
      <c r="AD994">
        <v>0</v>
      </c>
      <c r="AE994">
        <v>1</v>
      </c>
    </row>
    <row r="995" spans="1:31" x14ac:dyDescent="0.2">
      <c r="A995" t="s">
        <v>323</v>
      </c>
      <c r="B995" t="s">
        <v>32</v>
      </c>
      <c r="C995">
        <v>30</v>
      </c>
      <c r="D995" t="s">
        <v>78</v>
      </c>
      <c r="E995" t="s">
        <v>75</v>
      </c>
      <c r="F995" t="s">
        <v>35</v>
      </c>
      <c r="G995">
        <v>309578</v>
      </c>
      <c r="H995" t="s">
        <v>324</v>
      </c>
      <c r="I995" t="s">
        <v>325</v>
      </c>
      <c r="J995" t="s">
        <v>325</v>
      </c>
      <c r="K995" t="s">
        <v>35</v>
      </c>
      <c r="L995" t="s">
        <v>35</v>
      </c>
      <c r="M995" t="s">
        <v>35</v>
      </c>
      <c r="N995" t="s">
        <v>35</v>
      </c>
      <c r="O995" t="s">
        <v>35</v>
      </c>
      <c r="P995" t="s">
        <v>35</v>
      </c>
      <c r="Q995" t="s">
        <v>35</v>
      </c>
      <c r="R995" t="s">
        <v>35</v>
      </c>
      <c r="S995" t="s">
        <v>35</v>
      </c>
      <c r="T995" t="s">
        <v>35</v>
      </c>
      <c r="U995" t="s">
        <v>35</v>
      </c>
      <c r="V995" t="s">
        <v>35</v>
      </c>
      <c r="W995" t="s">
        <v>35</v>
      </c>
      <c r="X995" t="s">
        <v>35</v>
      </c>
      <c r="Y995" t="s">
        <v>35</v>
      </c>
      <c r="Z995" t="s">
        <v>35</v>
      </c>
      <c r="AA995" t="s">
        <v>35</v>
      </c>
      <c r="AB995" t="s">
        <v>35</v>
      </c>
      <c r="AC995" t="s">
        <v>35</v>
      </c>
      <c r="AD995" t="s">
        <v>35</v>
      </c>
      <c r="AE995" t="s">
        <v>35</v>
      </c>
    </row>
    <row r="996" spans="1:31" x14ac:dyDescent="0.2">
      <c r="A996" t="s">
        <v>326</v>
      </c>
      <c r="B996" t="s">
        <v>102</v>
      </c>
      <c r="C996">
        <v>45</v>
      </c>
      <c r="D996" t="s">
        <v>33</v>
      </c>
      <c r="E996" t="s">
        <v>34</v>
      </c>
      <c r="F996" t="s">
        <v>35</v>
      </c>
      <c r="G996">
        <v>37157</v>
      </c>
      <c r="H996" t="s">
        <v>35</v>
      </c>
      <c r="I996" t="s">
        <v>35</v>
      </c>
      <c r="J996" t="s">
        <v>35</v>
      </c>
      <c r="K996" t="s">
        <v>35</v>
      </c>
      <c r="L996" t="s">
        <v>35</v>
      </c>
      <c r="M996" t="s">
        <v>35</v>
      </c>
      <c r="N996" t="s">
        <v>35</v>
      </c>
      <c r="O996" t="s">
        <v>35</v>
      </c>
      <c r="P996" t="s">
        <v>35</v>
      </c>
      <c r="Q996" t="s">
        <v>35</v>
      </c>
      <c r="R996" t="s">
        <v>35</v>
      </c>
      <c r="S996" t="s">
        <v>35</v>
      </c>
      <c r="T996" t="s">
        <v>35</v>
      </c>
      <c r="U996" t="s">
        <v>35</v>
      </c>
      <c r="V996" t="s">
        <v>35</v>
      </c>
      <c r="W996" t="s">
        <v>35</v>
      </c>
      <c r="X996" t="s">
        <v>35</v>
      </c>
      <c r="Y996" t="s">
        <v>35</v>
      </c>
      <c r="Z996" t="s">
        <v>35</v>
      </c>
      <c r="AA996" t="s">
        <v>35</v>
      </c>
      <c r="AB996" t="s">
        <v>35</v>
      </c>
      <c r="AC996" t="s">
        <v>35</v>
      </c>
      <c r="AD996" t="s">
        <v>35</v>
      </c>
      <c r="AE996" t="s">
        <v>35</v>
      </c>
    </row>
    <row r="997" spans="1:31" x14ac:dyDescent="0.2">
      <c r="A997" t="s">
        <v>326</v>
      </c>
      <c r="B997" t="s">
        <v>102</v>
      </c>
      <c r="C997">
        <v>45</v>
      </c>
      <c r="D997" t="s">
        <v>33</v>
      </c>
      <c r="E997" t="s">
        <v>36</v>
      </c>
      <c r="F997" t="s">
        <v>37</v>
      </c>
      <c r="G997">
        <v>314858</v>
      </c>
      <c r="H997">
        <v>1</v>
      </c>
      <c r="I997">
        <v>0</v>
      </c>
      <c r="J997">
        <v>0</v>
      </c>
      <c r="K997">
        <v>0</v>
      </c>
      <c r="L997" t="s">
        <v>35</v>
      </c>
      <c r="M997" t="s">
        <v>35</v>
      </c>
      <c r="N997" t="s">
        <v>35</v>
      </c>
      <c r="O997" t="s">
        <v>35</v>
      </c>
      <c r="P997" t="s">
        <v>35</v>
      </c>
      <c r="Q997" t="s">
        <v>35</v>
      </c>
      <c r="R997" t="s">
        <v>35</v>
      </c>
      <c r="S997" t="s">
        <v>35</v>
      </c>
      <c r="T997" t="s">
        <v>35</v>
      </c>
      <c r="U997" t="s">
        <v>35</v>
      </c>
      <c r="V997" t="s">
        <v>35</v>
      </c>
      <c r="W997" t="s">
        <v>35</v>
      </c>
      <c r="X997" t="s">
        <v>35</v>
      </c>
      <c r="Y997" t="s">
        <v>35</v>
      </c>
      <c r="Z997" t="s">
        <v>35</v>
      </c>
      <c r="AA997" t="s">
        <v>35</v>
      </c>
      <c r="AB997" t="s">
        <v>35</v>
      </c>
      <c r="AC997" t="s">
        <v>35</v>
      </c>
      <c r="AD997" t="s">
        <v>35</v>
      </c>
      <c r="AE997" t="s">
        <v>35</v>
      </c>
    </row>
    <row r="998" spans="1:31" x14ac:dyDescent="0.2">
      <c r="A998" t="s">
        <v>326</v>
      </c>
      <c r="B998" t="s">
        <v>102</v>
      </c>
      <c r="C998">
        <v>45</v>
      </c>
      <c r="D998" t="s">
        <v>33</v>
      </c>
      <c r="E998" t="s">
        <v>36</v>
      </c>
      <c r="F998" t="s">
        <v>38</v>
      </c>
      <c r="G998">
        <v>116700</v>
      </c>
      <c r="H998">
        <v>1</v>
      </c>
      <c r="I998">
        <v>0</v>
      </c>
      <c r="J998">
        <v>0</v>
      </c>
      <c r="K998">
        <v>0</v>
      </c>
      <c r="L998" t="s">
        <v>35</v>
      </c>
      <c r="M998" t="s">
        <v>35</v>
      </c>
      <c r="N998" t="s">
        <v>35</v>
      </c>
      <c r="O998" t="s">
        <v>35</v>
      </c>
      <c r="P998" t="s">
        <v>35</v>
      </c>
      <c r="Q998" t="s">
        <v>35</v>
      </c>
      <c r="R998" t="s">
        <v>35</v>
      </c>
      <c r="S998" t="s">
        <v>35</v>
      </c>
      <c r="T998" t="s">
        <v>35</v>
      </c>
      <c r="U998" t="s">
        <v>35</v>
      </c>
      <c r="V998" t="s">
        <v>35</v>
      </c>
      <c r="W998" t="s">
        <v>35</v>
      </c>
      <c r="X998" t="s">
        <v>35</v>
      </c>
      <c r="Y998" t="s">
        <v>35</v>
      </c>
      <c r="Z998" t="s">
        <v>35</v>
      </c>
      <c r="AA998" t="s">
        <v>35</v>
      </c>
      <c r="AB998" t="s">
        <v>35</v>
      </c>
      <c r="AC998" t="s">
        <v>35</v>
      </c>
      <c r="AD998" t="s">
        <v>35</v>
      </c>
      <c r="AE998" t="s">
        <v>35</v>
      </c>
    </row>
    <row r="999" spans="1:31" x14ac:dyDescent="0.2">
      <c r="A999" t="s">
        <v>326</v>
      </c>
      <c r="B999" t="s">
        <v>102</v>
      </c>
      <c r="C999">
        <v>45</v>
      </c>
      <c r="D999" t="s">
        <v>33</v>
      </c>
      <c r="E999" t="s">
        <v>39</v>
      </c>
      <c r="F999" t="s">
        <v>54</v>
      </c>
      <c r="G999">
        <v>15317</v>
      </c>
      <c r="H999">
        <v>1</v>
      </c>
      <c r="I999">
        <v>0</v>
      </c>
      <c r="J999">
        <v>0</v>
      </c>
      <c r="K999">
        <v>0</v>
      </c>
      <c r="L999" t="s">
        <v>57</v>
      </c>
      <c r="M999" t="s">
        <v>122</v>
      </c>
      <c r="N999" t="s">
        <v>56</v>
      </c>
      <c r="O999" t="s">
        <v>46</v>
      </c>
      <c r="P999" t="s">
        <v>68</v>
      </c>
      <c r="Q999" t="s">
        <v>45</v>
      </c>
      <c r="R999">
        <v>1</v>
      </c>
      <c r="S999">
        <v>0</v>
      </c>
      <c r="T999">
        <v>1</v>
      </c>
      <c r="U999">
        <v>0</v>
      </c>
      <c r="V999">
        <v>1</v>
      </c>
      <c r="W999">
        <v>0</v>
      </c>
      <c r="X999">
        <v>1</v>
      </c>
      <c r="Y999">
        <v>0</v>
      </c>
      <c r="Z999">
        <v>0</v>
      </c>
      <c r="AA999">
        <v>1</v>
      </c>
      <c r="AB999">
        <v>0</v>
      </c>
      <c r="AC999">
        <v>0</v>
      </c>
      <c r="AD999">
        <v>0</v>
      </c>
      <c r="AE999">
        <v>0</v>
      </c>
    </row>
    <row r="1000" spans="1:31" x14ac:dyDescent="0.2">
      <c r="A1000" t="s">
        <v>326</v>
      </c>
      <c r="B1000" t="s">
        <v>102</v>
      </c>
      <c r="C1000">
        <v>45</v>
      </c>
      <c r="D1000" t="s">
        <v>33</v>
      </c>
      <c r="E1000" t="s">
        <v>39</v>
      </c>
      <c r="F1000" t="s">
        <v>47</v>
      </c>
      <c r="G1000">
        <v>4920</v>
      </c>
      <c r="H1000">
        <v>1</v>
      </c>
      <c r="I1000">
        <v>0</v>
      </c>
      <c r="J1000">
        <v>0</v>
      </c>
      <c r="K1000">
        <v>0</v>
      </c>
      <c r="L1000" t="s">
        <v>49</v>
      </c>
      <c r="M1000" t="s">
        <v>95</v>
      </c>
      <c r="N1000" t="s">
        <v>50</v>
      </c>
      <c r="O1000" t="s">
        <v>44</v>
      </c>
      <c r="P1000" t="s">
        <v>68</v>
      </c>
      <c r="Q1000" t="s">
        <v>51</v>
      </c>
      <c r="R1000">
        <v>1</v>
      </c>
      <c r="S1000">
        <v>1</v>
      </c>
      <c r="T1000">
        <v>0</v>
      </c>
      <c r="U1000">
        <v>0</v>
      </c>
      <c r="V1000">
        <v>0</v>
      </c>
      <c r="W1000">
        <v>0</v>
      </c>
      <c r="X1000">
        <v>1</v>
      </c>
      <c r="Y1000">
        <v>0</v>
      </c>
      <c r="Z1000">
        <v>1</v>
      </c>
      <c r="AA1000">
        <v>0</v>
      </c>
      <c r="AB1000">
        <v>0</v>
      </c>
      <c r="AC1000">
        <v>0</v>
      </c>
      <c r="AD1000">
        <v>0</v>
      </c>
      <c r="AE1000">
        <v>0</v>
      </c>
    </row>
    <row r="1001" spans="1:31" x14ac:dyDescent="0.2">
      <c r="A1001" t="s">
        <v>326</v>
      </c>
      <c r="B1001" t="s">
        <v>102</v>
      </c>
      <c r="C1001">
        <v>45</v>
      </c>
      <c r="D1001" t="s">
        <v>33</v>
      </c>
      <c r="E1001" t="s">
        <v>52</v>
      </c>
      <c r="F1001" t="s">
        <v>69</v>
      </c>
      <c r="G1001">
        <v>6094</v>
      </c>
      <c r="H1001">
        <v>1</v>
      </c>
      <c r="I1001">
        <v>0</v>
      </c>
      <c r="J1001">
        <v>0</v>
      </c>
      <c r="K1001">
        <v>0</v>
      </c>
      <c r="L1001" t="s">
        <v>35</v>
      </c>
      <c r="M1001" t="s">
        <v>35</v>
      </c>
      <c r="N1001" t="s">
        <v>35</v>
      </c>
      <c r="O1001" t="s">
        <v>35</v>
      </c>
      <c r="P1001" t="s">
        <v>35</v>
      </c>
      <c r="Q1001" t="s">
        <v>35</v>
      </c>
      <c r="R1001" t="s">
        <v>35</v>
      </c>
      <c r="S1001">
        <v>1</v>
      </c>
      <c r="T1001">
        <v>0</v>
      </c>
      <c r="U1001">
        <v>0</v>
      </c>
      <c r="V1001">
        <v>0</v>
      </c>
      <c r="W1001">
        <v>0</v>
      </c>
      <c r="X1001">
        <v>1</v>
      </c>
      <c r="Y1001">
        <v>0</v>
      </c>
      <c r="Z1001">
        <v>1</v>
      </c>
      <c r="AA1001">
        <v>0</v>
      </c>
      <c r="AB1001">
        <v>0</v>
      </c>
      <c r="AC1001">
        <v>0</v>
      </c>
      <c r="AD1001">
        <v>0</v>
      </c>
      <c r="AE1001">
        <v>0</v>
      </c>
    </row>
    <row r="1002" spans="1:31" x14ac:dyDescent="0.2">
      <c r="A1002" t="s">
        <v>326</v>
      </c>
      <c r="B1002" t="s">
        <v>102</v>
      </c>
      <c r="C1002">
        <v>45</v>
      </c>
      <c r="D1002" t="s">
        <v>33</v>
      </c>
      <c r="E1002" t="s">
        <v>39</v>
      </c>
      <c r="F1002" t="s">
        <v>63</v>
      </c>
      <c r="G1002">
        <v>3287</v>
      </c>
      <c r="H1002">
        <v>1</v>
      </c>
      <c r="I1002">
        <v>0</v>
      </c>
      <c r="J1002">
        <v>0</v>
      </c>
      <c r="K1002">
        <v>0</v>
      </c>
      <c r="L1002" t="s">
        <v>84</v>
      </c>
      <c r="M1002" t="s">
        <v>90</v>
      </c>
      <c r="N1002" t="s">
        <v>64</v>
      </c>
      <c r="O1002" t="s">
        <v>46</v>
      </c>
      <c r="P1002" t="s">
        <v>44</v>
      </c>
      <c r="Q1002" t="s">
        <v>67</v>
      </c>
      <c r="R1002">
        <v>0</v>
      </c>
      <c r="S1002">
        <v>1</v>
      </c>
      <c r="T1002">
        <v>1</v>
      </c>
      <c r="U1002">
        <v>1</v>
      </c>
      <c r="V1002">
        <v>0</v>
      </c>
      <c r="W1002">
        <v>0</v>
      </c>
      <c r="X1002">
        <v>1</v>
      </c>
      <c r="Y1002">
        <v>0</v>
      </c>
      <c r="Z1002">
        <v>0</v>
      </c>
      <c r="AA1002">
        <v>1</v>
      </c>
      <c r="AB1002">
        <v>0</v>
      </c>
      <c r="AC1002">
        <v>0</v>
      </c>
      <c r="AD1002">
        <v>0</v>
      </c>
      <c r="AE1002">
        <v>0</v>
      </c>
    </row>
    <row r="1003" spans="1:31" x14ac:dyDescent="0.2">
      <c r="A1003" t="s">
        <v>326</v>
      </c>
      <c r="B1003" t="s">
        <v>102</v>
      </c>
      <c r="C1003">
        <v>45</v>
      </c>
      <c r="D1003" t="s">
        <v>33</v>
      </c>
      <c r="E1003" t="s">
        <v>52</v>
      </c>
      <c r="F1003" t="s">
        <v>58</v>
      </c>
      <c r="G1003">
        <v>21615</v>
      </c>
      <c r="H1003">
        <v>0</v>
      </c>
      <c r="I1003">
        <v>1</v>
      </c>
      <c r="J1003">
        <v>0</v>
      </c>
      <c r="K1003">
        <v>0</v>
      </c>
      <c r="L1003" t="s">
        <v>35</v>
      </c>
      <c r="M1003" t="s">
        <v>35</v>
      </c>
      <c r="N1003" t="s">
        <v>35</v>
      </c>
      <c r="O1003" t="s">
        <v>35</v>
      </c>
      <c r="P1003" t="s">
        <v>35</v>
      </c>
      <c r="Q1003" t="s">
        <v>35</v>
      </c>
      <c r="R1003" t="s">
        <v>35</v>
      </c>
      <c r="S1003">
        <v>1</v>
      </c>
      <c r="T1003">
        <v>1</v>
      </c>
      <c r="U1003">
        <v>1</v>
      </c>
      <c r="V1003">
        <v>0</v>
      </c>
      <c r="W1003">
        <v>0</v>
      </c>
      <c r="X1003">
        <v>1</v>
      </c>
      <c r="Y1003">
        <v>0</v>
      </c>
      <c r="Z1003">
        <v>0</v>
      </c>
      <c r="AA1003">
        <v>1</v>
      </c>
      <c r="AB1003">
        <v>0</v>
      </c>
      <c r="AC1003">
        <v>0</v>
      </c>
      <c r="AD1003">
        <v>0</v>
      </c>
      <c r="AE1003">
        <v>0</v>
      </c>
    </row>
    <row r="1004" spans="1:31" x14ac:dyDescent="0.2">
      <c r="A1004" t="s">
        <v>326</v>
      </c>
      <c r="B1004" t="s">
        <v>102</v>
      </c>
      <c r="C1004">
        <v>45</v>
      </c>
      <c r="D1004" t="s">
        <v>33</v>
      </c>
      <c r="E1004" t="s">
        <v>39</v>
      </c>
      <c r="F1004" t="s">
        <v>40</v>
      </c>
      <c r="G1004">
        <v>6015</v>
      </c>
      <c r="H1004">
        <v>0</v>
      </c>
      <c r="I1004">
        <v>1</v>
      </c>
      <c r="J1004">
        <v>0</v>
      </c>
      <c r="K1004">
        <v>0</v>
      </c>
      <c r="L1004" t="s">
        <v>41</v>
      </c>
      <c r="M1004" t="s">
        <v>43</v>
      </c>
      <c r="N1004" t="s">
        <v>82</v>
      </c>
      <c r="O1004" t="s">
        <v>44</v>
      </c>
      <c r="P1004" t="s">
        <v>46</v>
      </c>
      <c r="Q1004" t="s">
        <v>68</v>
      </c>
      <c r="R1004">
        <v>1</v>
      </c>
      <c r="S1004">
        <v>1</v>
      </c>
      <c r="T1004">
        <v>1</v>
      </c>
      <c r="U1004">
        <v>0</v>
      </c>
      <c r="V1004">
        <v>0</v>
      </c>
      <c r="W1004">
        <v>0</v>
      </c>
      <c r="X1004">
        <v>1</v>
      </c>
      <c r="Y1004">
        <v>0</v>
      </c>
      <c r="Z1004">
        <v>0</v>
      </c>
      <c r="AA1004">
        <v>1</v>
      </c>
      <c r="AB1004">
        <v>0</v>
      </c>
      <c r="AC1004">
        <v>0</v>
      </c>
      <c r="AD1004">
        <v>0</v>
      </c>
      <c r="AE1004">
        <v>0</v>
      </c>
    </row>
    <row r="1005" spans="1:31" x14ac:dyDescent="0.2">
      <c r="A1005" t="s">
        <v>326</v>
      </c>
      <c r="B1005" t="s">
        <v>102</v>
      </c>
      <c r="C1005">
        <v>45</v>
      </c>
      <c r="D1005" t="s">
        <v>33</v>
      </c>
      <c r="E1005" t="s">
        <v>39</v>
      </c>
      <c r="F1005" t="s">
        <v>70</v>
      </c>
      <c r="G1005">
        <v>8713</v>
      </c>
      <c r="H1005">
        <v>1</v>
      </c>
      <c r="I1005">
        <v>0</v>
      </c>
      <c r="J1005">
        <v>0</v>
      </c>
      <c r="K1005">
        <v>0</v>
      </c>
      <c r="L1005" t="s">
        <v>72</v>
      </c>
      <c r="M1005" t="s">
        <v>73</v>
      </c>
      <c r="N1005" t="s">
        <v>71</v>
      </c>
      <c r="O1005" t="s">
        <v>67</v>
      </c>
      <c r="P1005" t="s">
        <v>44</v>
      </c>
      <c r="Q1005" t="s">
        <v>45</v>
      </c>
      <c r="R1005">
        <v>0</v>
      </c>
      <c r="S1005">
        <v>1</v>
      </c>
      <c r="T1005">
        <v>0</v>
      </c>
      <c r="U1005">
        <v>1</v>
      </c>
      <c r="V1005">
        <v>1</v>
      </c>
      <c r="W1005">
        <v>0</v>
      </c>
      <c r="X1005">
        <v>1</v>
      </c>
      <c r="Y1005">
        <v>0</v>
      </c>
      <c r="Z1005">
        <v>0</v>
      </c>
      <c r="AA1005">
        <v>0</v>
      </c>
      <c r="AB1005">
        <v>1</v>
      </c>
      <c r="AC1005">
        <v>0</v>
      </c>
      <c r="AD1005">
        <v>0</v>
      </c>
      <c r="AE1005">
        <v>0</v>
      </c>
    </row>
    <row r="1006" spans="1:31" x14ac:dyDescent="0.2">
      <c r="A1006" t="s">
        <v>326</v>
      </c>
      <c r="B1006" t="s">
        <v>102</v>
      </c>
      <c r="C1006">
        <v>45</v>
      </c>
      <c r="D1006" t="s">
        <v>33</v>
      </c>
      <c r="E1006" t="s">
        <v>52</v>
      </c>
      <c r="F1006" t="s">
        <v>74</v>
      </c>
      <c r="G1006">
        <v>9623</v>
      </c>
      <c r="H1006">
        <v>0</v>
      </c>
      <c r="I1006">
        <v>1</v>
      </c>
      <c r="J1006">
        <v>0</v>
      </c>
      <c r="K1006">
        <v>0</v>
      </c>
      <c r="L1006" t="s">
        <v>35</v>
      </c>
      <c r="M1006" t="s">
        <v>35</v>
      </c>
      <c r="N1006" t="s">
        <v>35</v>
      </c>
      <c r="O1006" t="s">
        <v>35</v>
      </c>
      <c r="P1006" t="s">
        <v>35</v>
      </c>
      <c r="Q1006" t="s">
        <v>35</v>
      </c>
      <c r="R1006" t="s">
        <v>35</v>
      </c>
      <c r="S1006">
        <v>1</v>
      </c>
      <c r="T1006">
        <v>0</v>
      </c>
      <c r="U1006">
        <v>1</v>
      </c>
      <c r="V1006">
        <v>1</v>
      </c>
      <c r="W1006">
        <v>0</v>
      </c>
      <c r="X1006">
        <v>1</v>
      </c>
      <c r="Y1006">
        <v>0</v>
      </c>
      <c r="Z1006">
        <v>0</v>
      </c>
      <c r="AA1006">
        <v>0</v>
      </c>
      <c r="AB1006">
        <v>1</v>
      </c>
      <c r="AC1006">
        <v>0</v>
      </c>
      <c r="AD1006">
        <v>0</v>
      </c>
      <c r="AE1006">
        <v>0</v>
      </c>
    </row>
    <row r="1007" spans="1:31" x14ac:dyDescent="0.2">
      <c r="A1007" t="s">
        <v>326</v>
      </c>
      <c r="B1007" t="s">
        <v>102</v>
      </c>
      <c r="C1007">
        <v>45</v>
      </c>
      <c r="D1007" t="s">
        <v>33</v>
      </c>
      <c r="E1007" t="s">
        <v>39</v>
      </c>
      <c r="F1007" t="s">
        <v>59</v>
      </c>
      <c r="G1007">
        <v>855612</v>
      </c>
      <c r="H1007">
        <v>1</v>
      </c>
      <c r="I1007">
        <v>0</v>
      </c>
      <c r="J1007">
        <v>0</v>
      </c>
      <c r="K1007">
        <v>0</v>
      </c>
      <c r="L1007" t="s">
        <v>94</v>
      </c>
      <c r="M1007" t="s">
        <v>61</v>
      </c>
      <c r="N1007" t="s">
        <v>62</v>
      </c>
      <c r="O1007" t="s">
        <v>68</v>
      </c>
      <c r="P1007" t="s">
        <v>46</v>
      </c>
      <c r="Q1007" t="s">
        <v>45</v>
      </c>
      <c r="R1007">
        <v>1</v>
      </c>
      <c r="S1007">
        <v>0</v>
      </c>
      <c r="T1007">
        <v>1</v>
      </c>
      <c r="U1007">
        <v>0</v>
      </c>
      <c r="V1007">
        <v>1</v>
      </c>
      <c r="W1007">
        <v>0</v>
      </c>
      <c r="X1007">
        <v>1</v>
      </c>
      <c r="Y1007">
        <v>1</v>
      </c>
      <c r="Z1007">
        <v>0</v>
      </c>
      <c r="AA1007">
        <v>0</v>
      </c>
      <c r="AB1007">
        <v>0</v>
      </c>
      <c r="AC1007">
        <v>0</v>
      </c>
      <c r="AD1007">
        <v>0</v>
      </c>
      <c r="AE1007">
        <v>0</v>
      </c>
    </row>
    <row r="1008" spans="1:31" x14ac:dyDescent="0.2">
      <c r="A1008" t="s">
        <v>326</v>
      </c>
      <c r="B1008" t="s">
        <v>102</v>
      </c>
      <c r="C1008">
        <v>45</v>
      </c>
      <c r="D1008" t="s">
        <v>33</v>
      </c>
      <c r="E1008" t="s">
        <v>52</v>
      </c>
      <c r="F1008" t="s">
        <v>53</v>
      </c>
      <c r="G1008">
        <v>10002</v>
      </c>
      <c r="H1008">
        <v>0</v>
      </c>
      <c r="I1008">
        <v>1</v>
      </c>
      <c r="J1008">
        <v>0</v>
      </c>
      <c r="K1008">
        <v>0</v>
      </c>
      <c r="L1008" t="s">
        <v>35</v>
      </c>
      <c r="M1008" t="s">
        <v>35</v>
      </c>
      <c r="N1008" t="s">
        <v>35</v>
      </c>
      <c r="O1008" t="s">
        <v>35</v>
      </c>
      <c r="P1008" t="s">
        <v>35</v>
      </c>
      <c r="Q1008" t="s">
        <v>35</v>
      </c>
      <c r="R1008" t="s">
        <v>35</v>
      </c>
      <c r="S1008">
        <v>0</v>
      </c>
      <c r="T1008">
        <v>1</v>
      </c>
      <c r="U1008">
        <v>0</v>
      </c>
      <c r="V1008">
        <v>1</v>
      </c>
      <c r="W1008">
        <v>0</v>
      </c>
      <c r="X1008">
        <v>1</v>
      </c>
      <c r="Y1008">
        <v>1</v>
      </c>
      <c r="Z1008">
        <v>0</v>
      </c>
      <c r="AA1008">
        <v>0</v>
      </c>
      <c r="AB1008">
        <v>0</v>
      </c>
      <c r="AC1008">
        <v>0</v>
      </c>
      <c r="AD1008">
        <v>0</v>
      </c>
      <c r="AE1008">
        <v>0</v>
      </c>
    </row>
    <row r="1009" spans="1:31" x14ac:dyDescent="0.2">
      <c r="A1009" t="s">
        <v>326</v>
      </c>
      <c r="B1009" t="s">
        <v>102</v>
      </c>
      <c r="C1009">
        <v>45</v>
      </c>
      <c r="D1009" t="s">
        <v>33</v>
      </c>
      <c r="E1009" t="s">
        <v>75</v>
      </c>
      <c r="F1009" t="s">
        <v>35</v>
      </c>
      <c r="G1009">
        <v>169144</v>
      </c>
      <c r="H1009" t="s">
        <v>327</v>
      </c>
      <c r="I1009" t="s">
        <v>116</v>
      </c>
      <c r="J1009" t="s">
        <v>328</v>
      </c>
      <c r="K1009" t="s">
        <v>35</v>
      </c>
      <c r="L1009" t="s">
        <v>35</v>
      </c>
      <c r="M1009" t="s">
        <v>35</v>
      </c>
      <c r="N1009" t="s">
        <v>35</v>
      </c>
      <c r="O1009" t="s">
        <v>35</v>
      </c>
      <c r="P1009" t="s">
        <v>35</v>
      </c>
      <c r="Q1009" t="s">
        <v>35</v>
      </c>
      <c r="R1009" t="s">
        <v>35</v>
      </c>
      <c r="S1009" t="s">
        <v>35</v>
      </c>
      <c r="T1009" t="s">
        <v>35</v>
      </c>
      <c r="U1009" t="s">
        <v>35</v>
      </c>
      <c r="V1009" t="s">
        <v>35</v>
      </c>
      <c r="W1009" t="s">
        <v>35</v>
      </c>
      <c r="X1009" t="s">
        <v>35</v>
      </c>
      <c r="Y1009" t="s">
        <v>35</v>
      </c>
      <c r="Z1009" t="s">
        <v>35</v>
      </c>
      <c r="AA1009" t="s">
        <v>35</v>
      </c>
      <c r="AB1009" t="s">
        <v>35</v>
      </c>
      <c r="AC1009" t="s">
        <v>35</v>
      </c>
      <c r="AD1009" t="s">
        <v>35</v>
      </c>
      <c r="AE1009" t="s">
        <v>35</v>
      </c>
    </row>
    <row r="1010" spans="1:31" x14ac:dyDescent="0.2">
      <c r="A1010" t="s">
        <v>329</v>
      </c>
      <c r="B1010" t="s">
        <v>102</v>
      </c>
      <c r="C1010">
        <v>30</v>
      </c>
      <c r="D1010" t="s">
        <v>33</v>
      </c>
      <c r="E1010" t="s">
        <v>34</v>
      </c>
      <c r="F1010" t="s">
        <v>35</v>
      </c>
      <c r="G1010">
        <v>35517</v>
      </c>
      <c r="H1010" t="s">
        <v>35</v>
      </c>
      <c r="I1010" t="s">
        <v>35</v>
      </c>
      <c r="J1010" t="s">
        <v>35</v>
      </c>
      <c r="K1010" t="s">
        <v>35</v>
      </c>
      <c r="L1010" t="s">
        <v>35</v>
      </c>
      <c r="M1010" t="s">
        <v>35</v>
      </c>
      <c r="N1010" t="s">
        <v>35</v>
      </c>
      <c r="O1010" t="s">
        <v>35</v>
      </c>
      <c r="P1010" t="s">
        <v>35</v>
      </c>
      <c r="Q1010" t="s">
        <v>35</v>
      </c>
      <c r="R1010" t="s">
        <v>35</v>
      </c>
      <c r="S1010" t="s">
        <v>35</v>
      </c>
      <c r="T1010" t="s">
        <v>35</v>
      </c>
      <c r="U1010" t="s">
        <v>35</v>
      </c>
      <c r="V1010" t="s">
        <v>35</v>
      </c>
      <c r="W1010" t="s">
        <v>35</v>
      </c>
      <c r="X1010" t="s">
        <v>35</v>
      </c>
      <c r="Y1010" t="s">
        <v>35</v>
      </c>
      <c r="Z1010" t="s">
        <v>35</v>
      </c>
      <c r="AA1010" t="s">
        <v>35</v>
      </c>
      <c r="AB1010" t="s">
        <v>35</v>
      </c>
      <c r="AC1010" t="s">
        <v>35</v>
      </c>
      <c r="AD1010" t="s">
        <v>35</v>
      </c>
      <c r="AE1010" t="s">
        <v>35</v>
      </c>
    </row>
    <row r="1011" spans="1:31" x14ac:dyDescent="0.2">
      <c r="A1011" t="s">
        <v>329</v>
      </c>
      <c r="B1011" t="s">
        <v>102</v>
      </c>
      <c r="C1011">
        <v>30</v>
      </c>
      <c r="D1011" t="s">
        <v>33</v>
      </c>
      <c r="E1011" t="s">
        <v>36</v>
      </c>
      <c r="F1011" t="s">
        <v>37</v>
      </c>
      <c r="G1011">
        <v>83241</v>
      </c>
      <c r="H1011">
        <v>0</v>
      </c>
      <c r="I1011">
        <v>0</v>
      </c>
      <c r="J1011">
        <v>1</v>
      </c>
      <c r="K1011">
        <v>0</v>
      </c>
      <c r="L1011" t="s">
        <v>35</v>
      </c>
      <c r="M1011" t="s">
        <v>35</v>
      </c>
      <c r="N1011" t="s">
        <v>35</v>
      </c>
      <c r="O1011" t="s">
        <v>35</v>
      </c>
      <c r="P1011" t="s">
        <v>35</v>
      </c>
      <c r="Q1011" t="s">
        <v>35</v>
      </c>
      <c r="R1011" t="s">
        <v>35</v>
      </c>
      <c r="S1011" t="s">
        <v>35</v>
      </c>
      <c r="T1011" t="s">
        <v>35</v>
      </c>
      <c r="U1011" t="s">
        <v>35</v>
      </c>
      <c r="V1011" t="s">
        <v>35</v>
      </c>
      <c r="W1011" t="s">
        <v>35</v>
      </c>
      <c r="X1011" t="s">
        <v>35</v>
      </c>
      <c r="Y1011" t="s">
        <v>35</v>
      </c>
      <c r="Z1011" t="s">
        <v>35</v>
      </c>
      <c r="AA1011" t="s">
        <v>35</v>
      </c>
      <c r="AB1011" t="s">
        <v>35</v>
      </c>
      <c r="AC1011" t="s">
        <v>35</v>
      </c>
      <c r="AD1011" t="s">
        <v>35</v>
      </c>
      <c r="AE1011" t="s">
        <v>35</v>
      </c>
    </row>
    <row r="1012" spans="1:31" x14ac:dyDescent="0.2">
      <c r="A1012" t="s">
        <v>329</v>
      </c>
      <c r="B1012" t="s">
        <v>102</v>
      </c>
      <c r="C1012">
        <v>30</v>
      </c>
      <c r="D1012" t="s">
        <v>33</v>
      </c>
      <c r="E1012" t="s">
        <v>36</v>
      </c>
      <c r="F1012" t="s">
        <v>38</v>
      </c>
      <c r="G1012">
        <v>41424</v>
      </c>
      <c r="H1012">
        <v>0</v>
      </c>
      <c r="I1012">
        <v>0</v>
      </c>
      <c r="J1012">
        <v>0</v>
      </c>
      <c r="K1012">
        <v>1</v>
      </c>
      <c r="L1012" t="s">
        <v>35</v>
      </c>
      <c r="M1012" t="s">
        <v>35</v>
      </c>
      <c r="N1012" t="s">
        <v>35</v>
      </c>
      <c r="O1012" t="s">
        <v>35</v>
      </c>
      <c r="P1012" t="s">
        <v>35</v>
      </c>
      <c r="Q1012" t="s">
        <v>35</v>
      </c>
      <c r="R1012" t="s">
        <v>35</v>
      </c>
      <c r="S1012" t="s">
        <v>35</v>
      </c>
      <c r="T1012" t="s">
        <v>35</v>
      </c>
      <c r="U1012" t="s">
        <v>35</v>
      </c>
      <c r="V1012" t="s">
        <v>35</v>
      </c>
      <c r="W1012" t="s">
        <v>35</v>
      </c>
      <c r="X1012" t="s">
        <v>35</v>
      </c>
      <c r="Y1012" t="s">
        <v>35</v>
      </c>
      <c r="Z1012" t="s">
        <v>35</v>
      </c>
      <c r="AA1012" t="s">
        <v>35</v>
      </c>
      <c r="AB1012" t="s">
        <v>35</v>
      </c>
      <c r="AC1012" t="s">
        <v>35</v>
      </c>
      <c r="AD1012" t="s">
        <v>35</v>
      </c>
      <c r="AE1012" t="s">
        <v>35</v>
      </c>
    </row>
    <row r="1013" spans="1:31" x14ac:dyDescent="0.2">
      <c r="A1013" t="s">
        <v>329</v>
      </c>
      <c r="B1013" t="s">
        <v>102</v>
      </c>
      <c r="C1013">
        <v>30</v>
      </c>
      <c r="D1013" t="s">
        <v>33</v>
      </c>
      <c r="E1013" t="s">
        <v>39</v>
      </c>
      <c r="F1013" t="s">
        <v>47</v>
      </c>
      <c r="G1013">
        <v>50399</v>
      </c>
      <c r="H1013">
        <v>0</v>
      </c>
      <c r="I1013">
        <v>0</v>
      </c>
      <c r="J1013">
        <v>0</v>
      </c>
      <c r="K1013">
        <v>1</v>
      </c>
      <c r="L1013" t="s">
        <v>48</v>
      </c>
      <c r="M1013" t="s">
        <v>49</v>
      </c>
      <c r="N1013" t="s">
        <v>50</v>
      </c>
      <c r="O1013" t="s">
        <v>46</v>
      </c>
      <c r="P1013" t="s">
        <v>44</v>
      </c>
      <c r="Q1013" t="s">
        <v>51</v>
      </c>
      <c r="R1013">
        <v>0</v>
      </c>
      <c r="S1013">
        <v>1</v>
      </c>
      <c r="T1013">
        <v>1</v>
      </c>
      <c r="U1013">
        <v>0</v>
      </c>
      <c r="V1013">
        <v>0</v>
      </c>
      <c r="W1013">
        <v>0</v>
      </c>
      <c r="X1013">
        <v>1</v>
      </c>
      <c r="Y1013">
        <v>0</v>
      </c>
      <c r="Z1013">
        <v>0</v>
      </c>
      <c r="AA1013">
        <v>0</v>
      </c>
      <c r="AB1013">
        <v>0</v>
      </c>
      <c r="AC1013">
        <v>0</v>
      </c>
      <c r="AD1013">
        <v>0</v>
      </c>
      <c r="AE1013">
        <v>1</v>
      </c>
    </row>
    <row r="1014" spans="1:31" x14ac:dyDescent="0.2">
      <c r="A1014" t="s">
        <v>329</v>
      </c>
      <c r="B1014" t="s">
        <v>102</v>
      </c>
      <c r="C1014">
        <v>30</v>
      </c>
      <c r="D1014" t="s">
        <v>33</v>
      </c>
      <c r="E1014" t="s">
        <v>39</v>
      </c>
      <c r="F1014" t="s">
        <v>63</v>
      </c>
      <c r="G1014">
        <v>54343</v>
      </c>
      <c r="H1014">
        <v>0</v>
      </c>
      <c r="I1014">
        <v>0</v>
      </c>
      <c r="J1014">
        <v>0</v>
      </c>
      <c r="K1014">
        <v>1</v>
      </c>
      <c r="L1014" t="s">
        <v>65</v>
      </c>
      <c r="M1014" t="s">
        <v>90</v>
      </c>
      <c r="N1014" t="s">
        <v>85</v>
      </c>
      <c r="O1014" t="s">
        <v>68</v>
      </c>
      <c r="P1014" t="s">
        <v>44</v>
      </c>
      <c r="Q1014" t="s">
        <v>51</v>
      </c>
      <c r="R1014">
        <v>1</v>
      </c>
      <c r="S1014">
        <v>1</v>
      </c>
      <c r="T1014">
        <v>0</v>
      </c>
      <c r="U1014">
        <v>0</v>
      </c>
      <c r="V1014">
        <v>0</v>
      </c>
      <c r="W1014">
        <v>0</v>
      </c>
      <c r="X1014">
        <v>1</v>
      </c>
      <c r="Y1014">
        <v>0</v>
      </c>
      <c r="Z1014">
        <v>0</v>
      </c>
      <c r="AA1014">
        <v>0</v>
      </c>
      <c r="AB1014">
        <v>0</v>
      </c>
      <c r="AC1014">
        <v>0</v>
      </c>
      <c r="AD1014">
        <v>0</v>
      </c>
      <c r="AE1014">
        <v>1</v>
      </c>
    </row>
    <row r="1015" spans="1:31" x14ac:dyDescent="0.2">
      <c r="A1015" t="s">
        <v>329</v>
      </c>
      <c r="B1015" t="s">
        <v>102</v>
      </c>
      <c r="C1015">
        <v>30</v>
      </c>
      <c r="D1015" t="s">
        <v>33</v>
      </c>
      <c r="E1015" t="s">
        <v>52</v>
      </c>
      <c r="F1015" t="s">
        <v>58</v>
      </c>
      <c r="G1015">
        <v>28202</v>
      </c>
      <c r="H1015">
        <v>0</v>
      </c>
      <c r="I1015">
        <v>0</v>
      </c>
      <c r="J1015">
        <v>0</v>
      </c>
      <c r="K1015">
        <v>1</v>
      </c>
      <c r="L1015" t="s">
        <v>35</v>
      </c>
      <c r="M1015" t="s">
        <v>35</v>
      </c>
      <c r="N1015" t="s">
        <v>35</v>
      </c>
      <c r="O1015" t="s">
        <v>35</v>
      </c>
      <c r="P1015" t="s">
        <v>35</v>
      </c>
      <c r="Q1015" t="s">
        <v>35</v>
      </c>
      <c r="R1015" t="s">
        <v>35</v>
      </c>
      <c r="S1015">
        <v>1</v>
      </c>
      <c r="T1015">
        <v>0</v>
      </c>
      <c r="U1015">
        <v>0</v>
      </c>
      <c r="V1015">
        <v>0</v>
      </c>
      <c r="W1015">
        <v>0</v>
      </c>
      <c r="X1015">
        <v>1</v>
      </c>
      <c r="Y1015">
        <v>0</v>
      </c>
      <c r="Z1015">
        <v>0</v>
      </c>
      <c r="AA1015">
        <v>0</v>
      </c>
      <c r="AB1015">
        <v>0</v>
      </c>
      <c r="AC1015">
        <v>0</v>
      </c>
      <c r="AD1015">
        <v>0</v>
      </c>
      <c r="AE1015">
        <v>1</v>
      </c>
    </row>
    <row r="1016" spans="1:31" x14ac:dyDescent="0.2">
      <c r="A1016" t="s">
        <v>329</v>
      </c>
      <c r="B1016" t="s">
        <v>102</v>
      </c>
      <c r="C1016">
        <v>30</v>
      </c>
      <c r="D1016" t="s">
        <v>33</v>
      </c>
      <c r="E1016" t="s">
        <v>39</v>
      </c>
      <c r="F1016" t="s">
        <v>40</v>
      </c>
      <c r="G1016">
        <v>26243</v>
      </c>
      <c r="H1016">
        <v>0</v>
      </c>
      <c r="I1016">
        <v>0</v>
      </c>
      <c r="J1016">
        <v>0</v>
      </c>
      <c r="K1016">
        <v>1</v>
      </c>
      <c r="L1016" t="s">
        <v>43</v>
      </c>
      <c r="M1016" t="s">
        <v>41</v>
      </c>
      <c r="N1016" t="s">
        <v>91</v>
      </c>
      <c r="O1016" t="s">
        <v>46</v>
      </c>
      <c r="P1016" t="s">
        <v>44</v>
      </c>
      <c r="Q1016" t="s">
        <v>51</v>
      </c>
      <c r="R1016">
        <v>0</v>
      </c>
      <c r="S1016">
        <v>1</v>
      </c>
      <c r="T1016">
        <v>1</v>
      </c>
      <c r="U1016">
        <v>0</v>
      </c>
      <c r="V1016">
        <v>0</v>
      </c>
      <c r="W1016">
        <v>0</v>
      </c>
      <c r="X1016">
        <v>1</v>
      </c>
      <c r="Y1016">
        <v>0</v>
      </c>
      <c r="Z1016">
        <v>0</v>
      </c>
      <c r="AA1016">
        <v>0</v>
      </c>
      <c r="AB1016">
        <v>0</v>
      </c>
      <c r="AC1016">
        <v>0</v>
      </c>
      <c r="AD1016">
        <v>0</v>
      </c>
      <c r="AE1016">
        <v>1</v>
      </c>
    </row>
    <row r="1017" spans="1:31" x14ac:dyDescent="0.2">
      <c r="A1017" t="s">
        <v>329</v>
      </c>
      <c r="B1017" t="s">
        <v>102</v>
      </c>
      <c r="C1017">
        <v>30</v>
      </c>
      <c r="D1017" t="s">
        <v>33</v>
      </c>
      <c r="E1017" t="s">
        <v>39</v>
      </c>
      <c r="F1017" t="s">
        <v>59</v>
      </c>
      <c r="G1017">
        <v>27477</v>
      </c>
      <c r="H1017">
        <v>0</v>
      </c>
      <c r="I1017">
        <v>0</v>
      </c>
      <c r="J1017">
        <v>0</v>
      </c>
      <c r="K1017">
        <v>1</v>
      </c>
      <c r="L1017" t="s">
        <v>60</v>
      </c>
      <c r="M1017" t="s">
        <v>94</v>
      </c>
      <c r="N1017" t="s">
        <v>62</v>
      </c>
      <c r="O1017" t="s">
        <v>44</v>
      </c>
      <c r="P1017" t="s">
        <v>68</v>
      </c>
      <c r="Q1017" t="s">
        <v>45</v>
      </c>
      <c r="R1017">
        <v>1</v>
      </c>
      <c r="S1017">
        <v>1</v>
      </c>
      <c r="T1017">
        <v>0</v>
      </c>
      <c r="U1017">
        <v>0</v>
      </c>
      <c r="V1017">
        <v>1</v>
      </c>
      <c r="W1017">
        <v>0</v>
      </c>
      <c r="X1017">
        <v>1</v>
      </c>
      <c r="Y1017">
        <v>0</v>
      </c>
      <c r="Z1017">
        <v>0</v>
      </c>
      <c r="AA1017">
        <v>0</v>
      </c>
      <c r="AB1017">
        <v>0</v>
      </c>
      <c r="AC1017">
        <v>0</v>
      </c>
      <c r="AD1017">
        <v>0</v>
      </c>
      <c r="AE1017">
        <v>1</v>
      </c>
    </row>
    <row r="1018" spans="1:31" x14ac:dyDescent="0.2">
      <c r="A1018" t="s">
        <v>329</v>
      </c>
      <c r="B1018" t="s">
        <v>102</v>
      </c>
      <c r="C1018">
        <v>30</v>
      </c>
      <c r="D1018" t="s">
        <v>33</v>
      </c>
      <c r="E1018" t="s">
        <v>52</v>
      </c>
      <c r="F1018" t="s">
        <v>53</v>
      </c>
      <c r="G1018">
        <v>53991</v>
      </c>
      <c r="H1018">
        <v>0</v>
      </c>
      <c r="I1018">
        <v>0</v>
      </c>
      <c r="J1018">
        <v>0</v>
      </c>
      <c r="K1018">
        <v>1</v>
      </c>
      <c r="L1018" t="s">
        <v>35</v>
      </c>
      <c r="M1018" t="s">
        <v>35</v>
      </c>
      <c r="N1018" t="s">
        <v>35</v>
      </c>
      <c r="O1018" t="s">
        <v>35</v>
      </c>
      <c r="P1018" t="s">
        <v>35</v>
      </c>
      <c r="Q1018" t="s">
        <v>35</v>
      </c>
      <c r="R1018" t="s">
        <v>35</v>
      </c>
      <c r="S1018">
        <v>1</v>
      </c>
      <c r="T1018">
        <v>0</v>
      </c>
      <c r="U1018">
        <v>0</v>
      </c>
      <c r="V1018">
        <v>1</v>
      </c>
      <c r="W1018">
        <v>0</v>
      </c>
      <c r="X1018">
        <v>1</v>
      </c>
      <c r="Y1018">
        <v>0</v>
      </c>
      <c r="Z1018">
        <v>0</v>
      </c>
      <c r="AA1018">
        <v>0</v>
      </c>
      <c r="AB1018">
        <v>0</v>
      </c>
      <c r="AC1018">
        <v>0</v>
      </c>
      <c r="AD1018">
        <v>0</v>
      </c>
      <c r="AE1018">
        <v>1</v>
      </c>
    </row>
    <row r="1019" spans="1:31" x14ac:dyDescent="0.2">
      <c r="A1019" t="s">
        <v>329</v>
      </c>
      <c r="B1019" t="s">
        <v>102</v>
      </c>
      <c r="C1019">
        <v>30</v>
      </c>
      <c r="D1019" t="s">
        <v>33</v>
      </c>
      <c r="E1019" t="s">
        <v>39</v>
      </c>
      <c r="F1019" t="s">
        <v>70</v>
      </c>
      <c r="G1019">
        <v>33648</v>
      </c>
      <c r="H1019">
        <v>0</v>
      </c>
      <c r="I1019">
        <v>0</v>
      </c>
      <c r="J1019">
        <v>0</v>
      </c>
      <c r="K1019">
        <v>1</v>
      </c>
      <c r="L1019" t="s">
        <v>72</v>
      </c>
      <c r="M1019" t="s">
        <v>71</v>
      </c>
      <c r="N1019" t="s">
        <v>73</v>
      </c>
      <c r="O1019" t="s">
        <v>67</v>
      </c>
      <c r="P1019" t="s">
        <v>45</v>
      </c>
      <c r="Q1019" t="s">
        <v>44</v>
      </c>
      <c r="R1019">
        <v>0</v>
      </c>
      <c r="S1019">
        <v>1</v>
      </c>
      <c r="T1019">
        <v>0</v>
      </c>
      <c r="U1019">
        <v>1</v>
      </c>
      <c r="V1019">
        <v>1</v>
      </c>
      <c r="W1019">
        <v>0</v>
      </c>
      <c r="X1019">
        <v>1</v>
      </c>
      <c r="Y1019">
        <v>0</v>
      </c>
      <c r="Z1019">
        <v>0</v>
      </c>
      <c r="AA1019">
        <v>0</v>
      </c>
      <c r="AB1019">
        <v>0</v>
      </c>
      <c r="AC1019">
        <v>0</v>
      </c>
      <c r="AD1019">
        <v>0</v>
      </c>
      <c r="AE1019">
        <v>1</v>
      </c>
    </row>
    <row r="1020" spans="1:31" x14ac:dyDescent="0.2">
      <c r="A1020" t="s">
        <v>329</v>
      </c>
      <c r="B1020" t="s">
        <v>102</v>
      </c>
      <c r="C1020">
        <v>30</v>
      </c>
      <c r="D1020" t="s">
        <v>33</v>
      </c>
      <c r="E1020" t="s">
        <v>52</v>
      </c>
      <c r="F1020" t="s">
        <v>74</v>
      </c>
      <c r="G1020">
        <v>25250</v>
      </c>
      <c r="H1020">
        <v>1</v>
      </c>
      <c r="I1020">
        <v>0</v>
      </c>
      <c r="J1020">
        <v>0</v>
      </c>
      <c r="K1020">
        <v>0</v>
      </c>
      <c r="L1020" t="s">
        <v>35</v>
      </c>
      <c r="M1020" t="s">
        <v>35</v>
      </c>
      <c r="N1020" t="s">
        <v>35</v>
      </c>
      <c r="O1020" t="s">
        <v>35</v>
      </c>
      <c r="P1020" t="s">
        <v>35</v>
      </c>
      <c r="Q1020" t="s">
        <v>35</v>
      </c>
      <c r="R1020" t="s">
        <v>35</v>
      </c>
      <c r="S1020">
        <v>1</v>
      </c>
      <c r="T1020">
        <v>0</v>
      </c>
      <c r="U1020">
        <v>1</v>
      </c>
      <c r="V1020">
        <v>1</v>
      </c>
      <c r="W1020">
        <v>0</v>
      </c>
      <c r="X1020">
        <v>1</v>
      </c>
      <c r="Y1020">
        <v>0</v>
      </c>
      <c r="Z1020">
        <v>0</v>
      </c>
      <c r="AA1020">
        <v>0</v>
      </c>
      <c r="AB1020">
        <v>0</v>
      </c>
      <c r="AC1020">
        <v>0</v>
      </c>
      <c r="AD1020">
        <v>0</v>
      </c>
      <c r="AE1020">
        <v>1</v>
      </c>
    </row>
    <row r="1021" spans="1:31" x14ac:dyDescent="0.2">
      <c r="A1021" t="s">
        <v>329</v>
      </c>
      <c r="B1021" t="s">
        <v>102</v>
      </c>
      <c r="C1021">
        <v>30</v>
      </c>
      <c r="D1021" t="s">
        <v>33</v>
      </c>
      <c r="E1021" t="s">
        <v>39</v>
      </c>
      <c r="F1021" t="s">
        <v>54</v>
      </c>
      <c r="G1021">
        <v>25429</v>
      </c>
      <c r="H1021">
        <v>0</v>
      </c>
      <c r="I1021">
        <v>0</v>
      </c>
      <c r="J1021">
        <v>0</v>
      </c>
      <c r="K1021">
        <v>1</v>
      </c>
      <c r="L1021" t="s">
        <v>56</v>
      </c>
      <c r="M1021" t="s">
        <v>57</v>
      </c>
      <c r="N1021" t="s">
        <v>55</v>
      </c>
      <c r="O1021" t="s">
        <v>45</v>
      </c>
      <c r="P1021" t="s">
        <v>46</v>
      </c>
      <c r="Q1021" t="s">
        <v>44</v>
      </c>
      <c r="R1021">
        <v>0</v>
      </c>
      <c r="S1021">
        <v>1</v>
      </c>
      <c r="T1021">
        <v>1</v>
      </c>
      <c r="U1021">
        <v>0</v>
      </c>
      <c r="V1021">
        <v>1</v>
      </c>
      <c r="W1021">
        <v>0</v>
      </c>
      <c r="X1021">
        <v>1</v>
      </c>
      <c r="Y1021">
        <v>0</v>
      </c>
      <c r="Z1021">
        <v>0</v>
      </c>
      <c r="AA1021">
        <v>0</v>
      </c>
      <c r="AB1021">
        <v>0</v>
      </c>
      <c r="AC1021">
        <v>0</v>
      </c>
      <c r="AD1021">
        <v>0</v>
      </c>
      <c r="AE1021">
        <v>1</v>
      </c>
    </row>
    <row r="1022" spans="1:31" x14ac:dyDescent="0.2">
      <c r="A1022" t="s">
        <v>329</v>
      </c>
      <c r="B1022" t="s">
        <v>102</v>
      </c>
      <c r="C1022">
        <v>30</v>
      </c>
      <c r="D1022" t="s">
        <v>33</v>
      </c>
      <c r="E1022" t="s">
        <v>52</v>
      </c>
      <c r="F1022" t="s">
        <v>69</v>
      </c>
      <c r="G1022">
        <v>38422</v>
      </c>
      <c r="H1022">
        <v>0</v>
      </c>
      <c r="I1022">
        <v>1</v>
      </c>
      <c r="J1022">
        <v>0</v>
      </c>
      <c r="K1022">
        <v>0</v>
      </c>
      <c r="L1022" t="s">
        <v>35</v>
      </c>
      <c r="M1022" t="s">
        <v>35</v>
      </c>
      <c r="N1022" t="s">
        <v>35</v>
      </c>
      <c r="O1022" t="s">
        <v>35</v>
      </c>
      <c r="P1022" t="s">
        <v>35</v>
      </c>
      <c r="Q1022" t="s">
        <v>35</v>
      </c>
      <c r="R1022" t="s">
        <v>35</v>
      </c>
      <c r="S1022">
        <v>1</v>
      </c>
      <c r="T1022">
        <v>1</v>
      </c>
      <c r="U1022">
        <v>0</v>
      </c>
      <c r="V1022">
        <v>1</v>
      </c>
      <c r="W1022">
        <v>0</v>
      </c>
      <c r="X1022">
        <v>1</v>
      </c>
      <c r="Y1022">
        <v>0</v>
      </c>
      <c r="Z1022">
        <v>0</v>
      </c>
      <c r="AA1022">
        <v>0</v>
      </c>
      <c r="AB1022">
        <v>0</v>
      </c>
      <c r="AC1022">
        <v>0</v>
      </c>
      <c r="AD1022">
        <v>0</v>
      </c>
      <c r="AE1022">
        <v>1</v>
      </c>
    </row>
    <row r="1023" spans="1:31" x14ac:dyDescent="0.2">
      <c r="A1023" t="s">
        <v>329</v>
      </c>
      <c r="B1023" t="s">
        <v>102</v>
      </c>
      <c r="C1023">
        <v>30</v>
      </c>
      <c r="D1023" t="s">
        <v>33</v>
      </c>
      <c r="E1023" t="s">
        <v>75</v>
      </c>
      <c r="F1023" t="s">
        <v>35</v>
      </c>
      <c r="G1023">
        <v>174886</v>
      </c>
      <c r="H1023" t="s">
        <v>330</v>
      </c>
      <c r="I1023" t="s">
        <v>331</v>
      </c>
      <c r="J1023" t="s">
        <v>332</v>
      </c>
      <c r="K1023" t="s">
        <v>35</v>
      </c>
      <c r="L1023" t="s">
        <v>35</v>
      </c>
      <c r="M1023" t="s">
        <v>35</v>
      </c>
      <c r="N1023" t="s">
        <v>35</v>
      </c>
      <c r="O1023" t="s">
        <v>35</v>
      </c>
      <c r="P1023" t="s">
        <v>35</v>
      </c>
      <c r="Q1023" t="s">
        <v>35</v>
      </c>
      <c r="R1023" t="s">
        <v>35</v>
      </c>
      <c r="S1023" t="s">
        <v>35</v>
      </c>
      <c r="T1023" t="s">
        <v>35</v>
      </c>
      <c r="U1023" t="s">
        <v>35</v>
      </c>
      <c r="V1023" t="s">
        <v>35</v>
      </c>
      <c r="W1023" t="s">
        <v>35</v>
      </c>
      <c r="X1023" t="s">
        <v>35</v>
      </c>
      <c r="Y1023" t="s">
        <v>35</v>
      </c>
      <c r="Z1023" t="s">
        <v>35</v>
      </c>
      <c r="AA1023" t="s">
        <v>35</v>
      </c>
      <c r="AB1023" t="s">
        <v>35</v>
      </c>
      <c r="AC1023" t="s">
        <v>35</v>
      </c>
      <c r="AD1023" t="s">
        <v>35</v>
      </c>
      <c r="AE1023" t="s">
        <v>35</v>
      </c>
    </row>
    <row r="1024" spans="1:31" x14ac:dyDescent="0.2">
      <c r="A1024" t="s">
        <v>333</v>
      </c>
      <c r="B1024" t="s">
        <v>334</v>
      </c>
      <c r="C1024">
        <v>39</v>
      </c>
      <c r="D1024" t="s">
        <v>33</v>
      </c>
      <c r="E1024" t="s">
        <v>34</v>
      </c>
      <c r="F1024" t="s">
        <v>35</v>
      </c>
      <c r="G1024">
        <v>28732</v>
      </c>
      <c r="H1024" t="s">
        <v>35</v>
      </c>
      <c r="I1024" t="s">
        <v>35</v>
      </c>
      <c r="J1024" t="s">
        <v>35</v>
      </c>
      <c r="K1024" t="s">
        <v>35</v>
      </c>
      <c r="L1024" t="s">
        <v>35</v>
      </c>
      <c r="M1024" t="s">
        <v>35</v>
      </c>
      <c r="N1024" t="s">
        <v>35</v>
      </c>
      <c r="O1024" t="s">
        <v>35</v>
      </c>
      <c r="P1024" t="s">
        <v>35</v>
      </c>
      <c r="Q1024" t="s">
        <v>35</v>
      </c>
      <c r="R1024" t="s">
        <v>35</v>
      </c>
      <c r="S1024" t="s">
        <v>35</v>
      </c>
      <c r="T1024" t="s">
        <v>35</v>
      </c>
      <c r="U1024" t="s">
        <v>35</v>
      </c>
      <c r="V1024" t="s">
        <v>35</v>
      </c>
      <c r="W1024" t="s">
        <v>35</v>
      </c>
      <c r="X1024" t="s">
        <v>35</v>
      </c>
      <c r="Y1024" t="s">
        <v>35</v>
      </c>
      <c r="Z1024" t="s">
        <v>35</v>
      </c>
      <c r="AA1024" t="s">
        <v>35</v>
      </c>
      <c r="AB1024" t="s">
        <v>35</v>
      </c>
      <c r="AC1024" t="s">
        <v>35</v>
      </c>
      <c r="AD1024" t="s">
        <v>35</v>
      </c>
      <c r="AE1024" t="s">
        <v>35</v>
      </c>
    </row>
    <row r="1025" spans="1:31" x14ac:dyDescent="0.2">
      <c r="A1025" t="s">
        <v>333</v>
      </c>
      <c r="B1025" t="s">
        <v>334</v>
      </c>
      <c r="C1025">
        <v>39</v>
      </c>
      <c r="D1025" t="s">
        <v>33</v>
      </c>
      <c r="E1025" t="s">
        <v>36</v>
      </c>
      <c r="F1025" t="s">
        <v>37</v>
      </c>
      <c r="G1025">
        <v>69895</v>
      </c>
      <c r="H1025">
        <v>0</v>
      </c>
      <c r="I1025">
        <v>0</v>
      </c>
      <c r="J1025">
        <v>1</v>
      </c>
      <c r="K1025">
        <v>0</v>
      </c>
      <c r="L1025" t="s">
        <v>35</v>
      </c>
      <c r="M1025" t="s">
        <v>35</v>
      </c>
      <c r="N1025" t="s">
        <v>35</v>
      </c>
      <c r="O1025" t="s">
        <v>35</v>
      </c>
      <c r="P1025" t="s">
        <v>35</v>
      </c>
      <c r="Q1025" t="s">
        <v>35</v>
      </c>
      <c r="R1025" t="s">
        <v>35</v>
      </c>
      <c r="S1025" t="s">
        <v>35</v>
      </c>
      <c r="T1025" t="s">
        <v>35</v>
      </c>
      <c r="U1025" t="s">
        <v>35</v>
      </c>
      <c r="V1025" t="s">
        <v>35</v>
      </c>
      <c r="W1025" t="s">
        <v>35</v>
      </c>
      <c r="X1025" t="s">
        <v>35</v>
      </c>
      <c r="Y1025" t="s">
        <v>35</v>
      </c>
      <c r="Z1025" t="s">
        <v>35</v>
      </c>
      <c r="AA1025" t="s">
        <v>35</v>
      </c>
      <c r="AB1025" t="s">
        <v>35</v>
      </c>
      <c r="AC1025" t="s">
        <v>35</v>
      </c>
      <c r="AD1025" t="s">
        <v>35</v>
      </c>
      <c r="AE1025" t="s">
        <v>35</v>
      </c>
    </row>
    <row r="1026" spans="1:31" x14ac:dyDescent="0.2">
      <c r="A1026" t="s">
        <v>333</v>
      </c>
      <c r="B1026" t="s">
        <v>334</v>
      </c>
      <c r="C1026">
        <v>39</v>
      </c>
      <c r="D1026" t="s">
        <v>33</v>
      </c>
      <c r="E1026" t="s">
        <v>36</v>
      </c>
      <c r="F1026" t="s">
        <v>38</v>
      </c>
      <c r="G1026">
        <v>50117</v>
      </c>
      <c r="H1026">
        <v>0</v>
      </c>
      <c r="I1026">
        <v>0</v>
      </c>
      <c r="J1026">
        <v>0</v>
      </c>
      <c r="K1026">
        <v>1</v>
      </c>
      <c r="L1026" t="s">
        <v>35</v>
      </c>
      <c r="M1026" t="s">
        <v>35</v>
      </c>
      <c r="N1026" t="s">
        <v>35</v>
      </c>
      <c r="O1026" t="s">
        <v>35</v>
      </c>
      <c r="P1026" t="s">
        <v>35</v>
      </c>
      <c r="Q1026" t="s">
        <v>35</v>
      </c>
      <c r="R1026" t="s">
        <v>35</v>
      </c>
      <c r="S1026" t="s">
        <v>35</v>
      </c>
      <c r="T1026" t="s">
        <v>35</v>
      </c>
      <c r="U1026" t="s">
        <v>35</v>
      </c>
      <c r="V1026" t="s">
        <v>35</v>
      </c>
      <c r="W1026" t="s">
        <v>35</v>
      </c>
      <c r="X1026" t="s">
        <v>35</v>
      </c>
      <c r="Y1026" t="s">
        <v>35</v>
      </c>
      <c r="Z1026" t="s">
        <v>35</v>
      </c>
      <c r="AA1026" t="s">
        <v>35</v>
      </c>
      <c r="AB1026" t="s">
        <v>35</v>
      </c>
      <c r="AC1026" t="s">
        <v>35</v>
      </c>
      <c r="AD1026" t="s">
        <v>35</v>
      </c>
      <c r="AE1026" t="s">
        <v>35</v>
      </c>
    </row>
    <row r="1027" spans="1:31" x14ac:dyDescent="0.2">
      <c r="A1027" t="s">
        <v>333</v>
      </c>
      <c r="B1027" t="s">
        <v>334</v>
      </c>
      <c r="C1027">
        <v>39</v>
      </c>
      <c r="D1027" t="s">
        <v>33</v>
      </c>
      <c r="E1027" t="s">
        <v>39</v>
      </c>
      <c r="F1027" t="s">
        <v>63</v>
      </c>
      <c r="G1027">
        <v>45597</v>
      </c>
      <c r="H1027">
        <v>0</v>
      </c>
      <c r="I1027">
        <v>0</v>
      </c>
      <c r="J1027">
        <v>0</v>
      </c>
      <c r="K1027">
        <v>1</v>
      </c>
      <c r="L1027" t="s">
        <v>66</v>
      </c>
      <c r="M1027" t="s">
        <v>64</v>
      </c>
      <c r="N1027" t="s">
        <v>84</v>
      </c>
      <c r="O1027" t="s">
        <v>45</v>
      </c>
      <c r="P1027" t="s">
        <v>67</v>
      </c>
      <c r="Q1027" t="s">
        <v>46</v>
      </c>
      <c r="R1027">
        <v>0</v>
      </c>
      <c r="S1027">
        <v>0</v>
      </c>
      <c r="T1027">
        <v>1</v>
      </c>
      <c r="U1027">
        <v>1</v>
      </c>
      <c r="V1027">
        <v>1</v>
      </c>
      <c r="W1027">
        <v>0</v>
      </c>
      <c r="X1027">
        <v>1</v>
      </c>
      <c r="Y1027">
        <v>0</v>
      </c>
      <c r="Z1027">
        <v>0</v>
      </c>
      <c r="AA1027">
        <v>0</v>
      </c>
      <c r="AB1027">
        <v>0</v>
      </c>
      <c r="AC1027">
        <v>0</v>
      </c>
      <c r="AD1027">
        <v>0</v>
      </c>
      <c r="AE1027">
        <v>1</v>
      </c>
    </row>
    <row r="1028" spans="1:31" x14ac:dyDescent="0.2">
      <c r="A1028" t="s">
        <v>333</v>
      </c>
      <c r="B1028" t="s">
        <v>334</v>
      </c>
      <c r="C1028">
        <v>39</v>
      </c>
      <c r="D1028" t="s">
        <v>33</v>
      </c>
      <c r="E1028" t="s">
        <v>39</v>
      </c>
      <c r="F1028" t="s">
        <v>47</v>
      </c>
      <c r="G1028">
        <v>33540</v>
      </c>
      <c r="H1028">
        <v>0</v>
      </c>
      <c r="I1028">
        <v>0</v>
      </c>
      <c r="J1028">
        <v>1</v>
      </c>
      <c r="K1028">
        <v>0</v>
      </c>
      <c r="L1028" t="s">
        <v>49</v>
      </c>
      <c r="M1028" t="s">
        <v>50</v>
      </c>
      <c r="N1028" t="s">
        <v>80</v>
      </c>
      <c r="O1028" t="s">
        <v>44</v>
      </c>
      <c r="P1028" t="s">
        <v>51</v>
      </c>
      <c r="Q1028" t="s">
        <v>67</v>
      </c>
      <c r="R1028">
        <v>0</v>
      </c>
      <c r="S1028">
        <v>1</v>
      </c>
      <c r="T1028">
        <v>0</v>
      </c>
      <c r="U1028">
        <v>1</v>
      </c>
      <c r="V1028">
        <v>0</v>
      </c>
      <c r="W1028">
        <v>0</v>
      </c>
      <c r="X1028">
        <v>1</v>
      </c>
      <c r="Y1028">
        <v>0</v>
      </c>
      <c r="Z1028">
        <v>0</v>
      </c>
      <c r="AA1028">
        <v>0</v>
      </c>
      <c r="AB1028">
        <v>1</v>
      </c>
      <c r="AC1028">
        <v>0</v>
      </c>
      <c r="AD1028">
        <v>0</v>
      </c>
      <c r="AE1028">
        <v>0</v>
      </c>
    </row>
    <row r="1029" spans="1:31" x14ac:dyDescent="0.2">
      <c r="A1029" t="s">
        <v>333</v>
      </c>
      <c r="B1029" t="s">
        <v>334</v>
      </c>
      <c r="C1029">
        <v>39</v>
      </c>
      <c r="D1029" t="s">
        <v>33</v>
      </c>
      <c r="E1029" t="s">
        <v>52</v>
      </c>
      <c r="F1029" t="s">
        <v>74</v>
      </c>
      <c r="G1029">
        <v>33710</v>
      </c>
      <c r="H1029">
        <v>1</v>
      </c>
      <c r="I1029">
        <v>0</v>
      </c>
      <c r="J1029">
        <v>0</v>
      </c>
      <c r="K1029">
        <v>0</v>
      </c>
      <c r="L1029" t="s">
        <v>35</v>
      </c>
      <c r="M1029" t="s">
        <v>35</v>
      </c>
      <c r="N1029" t="s">
        <v>35</v>
      </c>
      <c r="O1029" t="s">
        <v>35</v>
      </c>
      <c r="P1029" t="s">
        <v>35</v>
      </c>
      <c r="Q1029" t="s">
        <v>35</v>
      </c>
      <c r="R1029" t="s">
        <v>35</v>
      </c>
      <c r="S1029">
        <v>1</v>
      </c>
      <c r="T1029">
        <v>0</v>
      </c>
      <c r="U1029">
        <v>1</v>
      </c>
      <c r="V1029">
        <v>0</v>
      </c>
      <c r="W1029">
        <v>0</v>
      </c>
      <c r="X1029">
        <v>1</v>
      </c>
      <c r="Y1029">
        <v>0</v>
      </c>
      <c r="Z1029">
        <v>0</v>
      </c>
      <c r="AA1029">
        <v>0</v>
      </c>
      <c r="AB1029">
        <v>1</v>
      </c>
      <c r="AC1029">
        <v>0</v>
      </c>
      <c r="AD1029">
        <v>0</v>
      </c>
      <c r="AE1029">
        <v>0</v>
      </c>
    </row>
    <row r="1030" spans="1:31" x14ac:dyDescent="0.2">
      <c r="A1030" t="s">
        <v>333</v>
      </c>
      <c r="B1030" t="s">
        <v>334</v>
      </c>
      <c r="C1030">
        <v>39</v>
      </c>
      <c r="D1030" t="s">
        <v>33</v>
      </c>
      <c r="E1030" t="s">
        <v>39</v>
      </c>
      <c r="F1030" t="s">
        <v>54</v>
      </c>
      <c r="G1030">
        <v>30127</v>
      </c>
      <c r="H1030">
        <v>1</v>
      </c>
      <c r="I1030">
        <v>0</v>
      </c>
      <c r="J1030">
        <v>1</v>
      </c>
      <c r="K1030">
        <v>0</v>
      </c>
      <c r="L1030" t="s">
        <v>55</v>
      </c>
      <c r="M1030" t="s">
        <v>56</v>
      </c>
      <c r="N1030" t="s">
        <v>89</v>
      </c>
      <c r="O1030" t="s">
        <v>44</v>
      </c>
      <c r="P1030" t="s">
        <v>45</v>
      </c>
      <c r="Q1030" t="s">
        <v>67</v>
      </c>
      <c r="R1030">
        <v>0</v>
      </c>
      <c r="S1030">
        <v>1</v>
      </c>
      <c r="T1030">
        <v>0</v>
      </c>
      <c r="U1030">
        <v>1</v>
      </c>
      <c r="V1030">
        <v>1</v>
      </c>
      <c r="W1030">
        <v>0</v>
      </c>
      <c r="X1030">
        <v>1</v>
      </c>
      <c r="Y1030">
        <v>0</v>
      </c>
      <c r="Z1030">
        <v>1</v>
      </c>
      <c r="AA1030">
        <v>0</v>
      </c>
      <c r="AB1030">
        <v>1</v>
      </c>
      <c r="AC1030">
        <v>0</v>
      </c>
      <c r="AD1030">
        <v>0</v>
      </c>
      <c r="AE1030">
        <v>0</v>
      </c>
    </row>
    <row r="1031" spans="1:31" x14ac:dyDescent="0.2">
      <c r="A1031" t="s">
        <v>333</v>
      </c>
      <c r="B1031" t="s">
        <v>334</v>
      </c>
      <c r="C1031">
        <v>39</v>
      </c>
      <c r="D1031" t="s">
        <v>33</v>
      </c>
      <c r="E1031" t="s">
        <v>39</v>
      </c>
      <c r="F1031" t="s">
        <v>70</v>
      </c>
      <c r="G1031">
        <v>28997</v>
      </c>
      <c r="H1031">
        <v>1</v>
      </c>
      <c r="I1031">
        <v>1</v>
      </c>
      <c r="J1031">
        <v>0</v>
      </c>
      <c r="K1031">
        <v>0</v>
      </c>
      <c r="L1031" t="s">
        <v>73</v>
      </c>
      <c r="M1031" t="s">
        <v>72</v>
      </c>
      <c r="N1031" t="s">
        <v>86</v>
      </c>
      <c r="O1031" t="s">
        <v>44</v>
      </c>
      <c r="P1031" t="s">
        <v>67</v>
      </c>
      <c r="Q1031" t="s">
        <v>46</v>
      </c>
      <c r="R1031">
        <v>0</v>
      </c>
      <c r="S1031">
        <v>1</v>
      </c>
      <c r="T1031">
        <v>1</v>
      </c>
      <c r="U1031">
        <v>1</v>
      </c>
      <c r="V1031">
        <v>0</v>
      </c>
      <c r="W1031">
        <v>0</v>
      </c>
      <c r="X1031">
        <v>1</v>
      </c>
      <c r="Y1031">
        <v>0</v>
      </c>
      <c r="Z1031">
        <v>1</v>
      </c>
      <c r="AA1031">
        <v>0</v>
      </c>
      <c r="AB1031">
        <v>1</v>
      </c>
      <c r="AC1031">
        <v>0</v>
      </c>
      <c r="AD1031">
        <v>0</v>
      </c>
      <c r="AE1031">
        <v>0</v>
      </c>
    </row>
    <row r="1032" spans="1:31" x14ac:dyDescent="0.2">
      <c r="A1032" t="s">
        <v>333</v>
      </c>
      <c r="B1032" t="s">
        <v>334</v>
      </c>
      <c r="C1032">
        <v>39</v>
      </c>
      <c r="D1032" t="s">
        <v>33</v>
      </c>
      <c r="E1032" t="s">
        <v>52</v>
      </c>
      <c r="F1032" t="s">
        <v>69</v>
      </c>
      <c r="G1032">
        <v>98102</v>
      </c>
      <c r="H1032">
        <v>0</v>
      </c>
      <c r="I1032">
        <v>0</v>
      </c>
      <c r="J1032">
        <v>1</v>
      </c>
      <c r="K1032">
        <v>0</v>
      </c>
      <c r="L1032" t="s">
        <v>35</v>
      </c>
      <c r="M1032" t="s">
        <v>35</v>
      </c>
      <c r="N1032" t="s">
        <v>35</v>
      </c>
      <c r="O1032" t="s">
        <v>35</v>
      </c>
      <c r="P1032" t="s">
        <v>35</v>
      </c>
      <c r="Q1032" t="s">
        <v>35</v>
      </c>
      <c r="R1032" t="s">
        <v>35</v>
      </c>
      <c r="S1032">
        <v>1</v>
      </c>
      <c r="T1032">
        <v>1</v>
      </c>
      <c r="U1032">
        <v>1</v>
      </c>
      <c r="V1032">
        <v>0</v>
      </c>
      <c r="W1032">
        <v>0</v>
      </c>
      <c r="X1032">
        <v>1</v>
      </c>
      <c r="Y1032">
        <v>0</v>
      </c>
      <c r="Z1032">
        <v>1</v>
      </c>
      <c r="AA1032">
        <v>0</v>
      </c>
      <c r="AB1032">
        <v>1</v>
      </c>
      <c r="AC1032">
        <v>0</v>
      </c>
      <c r="AD1032">
        <v>0</v>
      </c>
      <c r="AE1032">
        <v>0</v>
      </c>
    </row>
    <row r="1033" spans="1:31" x14ac:dyDescent="0.2">
      <c r="A1033" t="s">
        <v>333</v>
      </c>
      <c r="B1033" t="s">
        <v>334</v>
      </c>
      <c r="C1033">
        <v>39</v>
      </c>
      <c r="D1033" t="s">
        <v>33</v>
      </c>
      <c r="E1033" t="s">
        <v>39</v>
      </c>
      <c r="F1033" t="s">
        <v>59</v>
      </c>
      <c r="G1033">
        <v>36862</v>
      </c>
      <c r="H1033">
        <v>0</v>
      </c>
      <c r="I1033">
        <v>1</v>
      </c>
      <c r="J1033">
        <v>0</v>
      </c>
      <c r="K1033">
        <v>0</v>
      </c>
      <c r="L1033" t="s">
        <v>61</v>
      </c>
      <c r="M1033" t="s">
        <v>60</v>
      </c>
      <c r="N1033" t="s">
        <v>62</v>
      </c>
      <c r="O1033" t="s">
        <v>46</v>
      </c>
      <c r="P1033" t="s">
        <v>44</v>
      </c>
      <c r="Q1033" t="s">
        <v>45</v>
      </c>
      <c r="R1033">
        <v>0</v>
      </c>
      <c r="S1033">
        <v>1</v>
      </c>
      <c r="T1033">
        <v>1</v>
      </c>
      <c r="U1033">
        <v>0</v>
      </c>
      <c r="V1033">
        <v>1</v>
      </c>
      <c r="W1033">
        <v>0</v>
      </c>
      <c r="X1033">
        <v>1</v>
      </c>
      <c r="Y1033">
        <v>0</v>
      </c>
      <c r="Z1033">
        <v>1</v>
      </c>
      <c r="AA1033">
        <v>0</v>
      </c>
      <c r="AB1033">
        <v>0</v>
      </c>
      <c r="AC1033">
        <v>0</v>
      </c>
      <c r="AD1033">
        <v>0</v>
      </c>
      <c r="AE1033">
        <v>0</v>
      </c>
    </row>
    <row r="1034" spans="1:31" x14ac:dyDescent="0.2">
      <c r="A1034" t="s">
        <v>333</v>
      </c>
      <c r="B1034" t="s">
        <v>334</v>
      </c>
      <c r="C1034">
        <v>39</v>
      </c>
      <c r="D1034" t="s">
        <v>33</v>
      </c>
      <c r="E1034" t="s">
        <v>52</v>
      </c>
      <c r="F1034" t="s">
        <v>53</v>
      </c>
      <c r="G1034">
        <v>56094</v>
      </c>
      <c r="H1034">
        <v>0</v>
      </c>
      <c r="I1034">
        <v>0</v>
      </c>
      <c r="J1034">
        <v>0</v>
      </c>
      <c r="K1034">
        <v>1</v>
      </c>
      <c r="L1034" t="s">
        <v>35</v>
      </c>
      <c r="M1034" t="s">
        <v>35</v>
      </c>
      <c r="N1034" t="s">
        <v>35</v>
      </c>
      <c r="O1034" t="s">
        <v>35</v>
      </c>
      <c r="P1034" t="s">
        <v>35</v>
      </c>
      <c r="Q1034" t="s">
        <v>35</v>
      </c>
      <c r="R1034" t="s">
        <v>35</v>
      </c>
      <c r="S1034">
        <v>1</v>
      </c>
      <c r="T1034">
        <v>1</v>
      </c>
      <c r="U1034">
        <v>0</v>
      </c>
      <c r="V1034">
        <v>1</v>
      </c>
      <c r="W1034">
        <v>0</v>
      </c>
      <c r="X1034">
        <v>1</v>
      </c>
      <c r="Y1034">
        <v>0</v>
      </c>
      <c r="Z1034">
        <v>1</v>
      </c>
      <c r="AA1034">
        <v>0</v>
      </c>
      <c r="AB1034">
        <v>0</v>
      </c>
      <c r="AC1034">
        <v>0</v>
      </c>
      <c r="AD1034">
        <v>0</v>
      </c>
      <c r="AE1034">
        <v>0</v>
      </c>
    </row>
    <row r="1035" spans="1:31" x14ac:dyDescent="0.2">
      <c r="A1035" t="s">
        <v>333</v>
      </c>
      <c r="B1035" t="s">
        <v>334</v>
      </c>
      <c r="C1035">
        <v>39</v>
      </c>
      <c r="D1035" t="s">
        <v>33</v>
      </c>
      <c r="E1035" t="s">
        <v>39</v>
      </c>
      <c r="F1035" t="s">
        <v>40</v>
      </c>
      <c r="G1035">
        <v>12158</v>
      </c>
      <c r="H1035">
        <v>1</v>
      </c>
      <c r="I1035">
        <v>1</v>
      </c>
      <c r="J1035">
        <v>0</v>
      </c>
      <c r="K1035">
        <v>0</v>
      </c>
      <c r="L1035" t="s">
        <v>41</v>
      </c>
      <c r="M1035" t="s">
        <v>81</v>
      </c>
      <c r="N1035" t="s">
        <v>43</v>
      </c>
      <c r="O1035" t="s">
        <v>44</v>
      </c>
      <c r="P1035" t="s">
        <v>67</v>
      </c>
      <c r="Q1035" t="s">
        <v>46</v>
      </c>
      <c r="R1035">
        <v>0</v>
      </c>
      <c r="S1035">
        <v>1</v>
      </c>
      <c r="T1035">
        <v>1</v>
      </c>
      <c r="U1035">
        <v>1</v>
      </c>
      <c r="V1035">
        <v>0</v>
      </c>
      <c r="W1035">
        <v>0</v>
      </c>
      <c r="X1035">
        <v>1</v>
      </c>
      <c r="Y1035">
        <v>0</v>
      </c>
      <c r="Z1035">
        <v>1</v>
      </c>
      <c r="AA1035">
        <v>0</v>
      </c>
      <c r="AB1035">
        <v>1</v>
      </c>
      <c r="AC1035">
        <v>0</v>
      </c>
      <c r="AD1035">
        <v>0</v>
      </c>
      <c r="AE1035">
        <v>0</v>
      </c>
    </row>
    <row r="1036" spans="1:31" x14ac:dyDescent="0.2">
      <c r="A1036" t="s">
        <v>333</v>
      </c>
      <c r="B1036" t="s">
        <v>334</v>
      </c>
      <c r="C1036">
        <v>39</v>
      </c>
      <c r="D1036" t="s">
        <v>33</v>
      </c>
      <c r="E1036" t="s">
        <v>52</v>
      </c>
      <c r="F1036" t="s">
        <v>58</v>
      </c>
      <c r="G1036">
        <v>23583</v>
      </c>
      <c r="H1036">
        <v>1</v>
      </c>
      <c r="I1036">
        <v>0</v>
      </c>
      <c r="J1036">
        <v>0</v>
      </c>
      <c r="K1036">
        <v>0</v>
      </c>
      <c r="L1036" t="s">
        <v>35</v>
      </c>
      <c r="M1036" t="s">
        <v>35</v>
      </c>
      <c r="N1036" t="s">
        <v>35</v>
      </c>
      <c r="O1036" t="s">
        <v>35</v>
      </c>
      <c r="P1036" t="s">
        <v>35</v>
      </c>
      <c r="Q1036" t="s">
        <v>35</v>
      </c>
      <c r="R1036" t="s">
        <v>35</v>
      </c>
      <c r="S1036">
        <v>1</v>
      </c>
      <c r="T1036">
        <v>1</v>
      </c>
      <c r="U1036">
        <v>1</v>
      </c>
      <c r="V1036">
        <v>0</v>
      </c>
      <c r="W1036">
        <v>0</v>
      </c>
      <c r="X1036">
        <v>1</v>
      </c>
      <c r="Y1036">
        <v>0</v>
      </c>
      <c r="Z1036">
        <v>1</v>
      </c>
      <c r="AA1036">
        <v>0</v>
      </c>
      <c r="AB1036">
        <v>1</v>
      </c>
      <c r="AC1036">
        <v>0</v>
      </c>
      <c r="AD1036">
        <v>0</v>
      </c>
      <c r="AE1036">
        <v>0</v>
      </c>
    </row>
    <row r="1037" spans="1:31" x14ac:dyDescent="0.2">
      <c r="A1037" t="s">
        <v>333</v>
      </c>
      <c r="B1037" t="s">
        <v>334</v>
      </c>
      <c r="C1037">
        <v>39</v>
      </c>
      <c r="D1037" t="s">
        <v>33</v>
      </c>
      <c r="E1037" t="s">
        <v>75</v>
      </c>
      <c r="F1037" t="s">
        <v>35</v>
      </c>
      <c r="G1037">
        <v>64246</v>
      </c>
      <c r="H1037" t="s">
        <v>335</v>
      </c>
      <c r="I1037" t="s">
        <v>336</v>
      </c>
      <c r="J1037" t="s">
        <v>337</v>
      </c>
      <c r="K1037" t="s">
        <v>35</v>
      </c>
      <c r="L1037" t="s">
        <v>35</v>
      </c>
      <c r="M1037" t="s">
        <v>35</v>
      </c>
      <c r="N1037" t="s">
        <v>35</v>
      </c>
      <c r="O1037" t="s">
        <v>35</v>
      </c>
      <c r="P1037" t="s">
        <v>35</v>
      </c>
      <c r="Q1037" t="s">
        <v>35</v>
      </c>
      <c r="R1037" t="s">
        <v>35</v>
      </c>
      <c r="S1037" t="s">
        <v>35</v>
      </c>
      <c r="T1037" t="s">
        <v>35</v>
      </c>
      <c r="U1037" t="s">
        <v>35</v>
      </c>
      <c r="V1037" t="s">
        <v>35</v>
      </c>
      <c r="W1037" t="s">
        <v>35</v>
      </c>
      <c r="X1037" t="s">
        <v>35</v>
      </c>
      <c r="Y1037" t="s">
        <v>35</v>
      </c>
      <c r="Z1037" t="s">
        <v>35</v>
      </c>
      <c r="AA1037" t="s">
        <v>35</v>
      </c>
      <c r="AB1037" t="s">
        <v>35</v>
      </c>
      <c r="AC1037" t="s">
        <v>35</v>
      </c>
      <c r="AD1037" t="s">
        <v>35</v>
      </c>
      <c r="AE1037" t="s">
        <v>35</v>
      </c>
    </row>
    <row r="1038" spans="1:31" x14ac:dyDescent="0.2">
      <c r="A1038" t="s">
        <v>338</v>
      </c>
      <c r="B1038" t="s">
        <v>32</v>
      </c>
      <c r="C1038">
        <v>56</v>
      </c>
      <c r="D1038" t="s">
        <v>78</v>
      </c>
      <c r="E1038" t="s">
        <v>34</v>
      </c>
      <c r="F1038" t="s">
        <v>35</v>
      </c>
      <c r="G1038">
        <v>34466</v>
      </c>
      <c r="H1038" t="s">
        <v>35</v>
      </c>
      <c r="I1038" t="s">
        <v>35</v>
      </c>
      <c r="J1038" t="s">
        <v>35</v>
      </c>
      <c r="K1038" t="s">
        <v>35</v>
      </c>
      <c r="L1038" t="s">
        <v>35</v>
      </c>
      <c r="M1038" t="s">
        <v>35</v>
      </c>
      <c r="N1038" t="s">
        <v>35</v>
      </c>
      <c r="O1038" t="s">
        <v>35</v>
      </c>
      <c r="P1038" t="s">
        <v>35</v>
      </c>
      <c r="Q1038" t="s">
        <v>35</v>
      </c>
      <c r="R1038" t="s">
        <v>35</v>
      </c>
      <c r="S1038" t="s">
        <v>35</v>
      </c>
      <c r="T1038" t="s">
        <v>35</v>
      </c>
      <c r="U1038" t="s">
        <v>35</v>
      </c>
      <c r="V1038" t="s">
        <v>35</v>
      </c>
      <c r="W1038" t="s">
        <v>35</v>
      </c>
      <c r="X1038" t="s">
        <v>35</v>
      </c>
      <c r="Y1038" t="s">
        <v>35</v>
      </c>
      <c r="Z1038" t="s">
        <v>35</v>
      </c>
      <c r="AA1038" t="s">
        <v>35</v>
      </c>
      <c r="AB1038" t="s">
        <v>35</v>
      </c>
      <c r="AC1038" t="s">
        <v>35</v>
      </c>
      <c r="AD1038" t="s">
        <v>35</v>
      </c>
      <c r="AE1038" t="s">
        <v>35</v>
      </c>
    </row>
    <row r="1039" spans="1:31" x14ac:dyDescent="0.2">
      <c r="A1039" t="s">
        <v>338</v>
      </c>
      <c r="B1039" t="s">
        <v>32</v>
      </c>
      <c r="C1039">
        <v>56</v>
      </c>
      <c r="D1039" t="s">
        <v>78</v>
      </c>
      <c r="E1039" t="s">
        <v>36</v>
      </c>
      <c r="F1039" t="s">
        <v>38</v>
      </c>
      <c r="G1039">
        <v>69610</v>
      </c>
      <c r="H1039">
        <v>0</v>
      </c>
      <c r="I1039">
        <v>0</v>
      </c>
      <c r="J1039">
        <v>0</v>
      </c>
      <c r="K1039">
        <v>1</v>
      </c>
      <c r="L1039" t="s">
        <v>35</v>
      </c>
      <c r="M1039" t="s">
        <v>35</v>
      </c>
      <c r="N1039" t="s">
        <v>35</v>
      </c>
      <c r="O1039" t="s">
        <v>35</v>
      </c>
      <c r="P1039" t="s">
        <v>35</v>
      </c>
      <c r="Q1039" t="s">
        <v>35</v>
      </c>
      <c r="R1039" t="s">
        <v>35</v>
      </c>
      <c r="S1039" t="s">
        <v>35</v>
      </c>
      <c r="T1039" t="s">
        <v>35</v>
      </c>
      <c r="U1039" t="s">
        <v>35</v>
      </c>
      <c r="V1039" t="s">
        <v>35</v>
      </c>
      <c r="W1039" t="s">
        <v>35</v>
      </c>
      <c r="X1039" t="s">
        <v>35</v>
      </c>
      <c r="Y1039" t="s">
        <v>35</v>
      </c>
      <c r="Z1039" t="s">
        <v>35</v>
      </c>
      <c r="AA1039" t="s">
        <v>35</v>
      </c>
      <c r="AB1039" t="s">
        <v>35</v>
      </c>
      <c r="AC1039" t="s">
        <v>35</v>
      </c>
      <c r="AD1039" t="s">
        <v>35</v>
      </c>
      <c r="AE1039" t="s">
        <v>35</v>
      </c>
    </row>
    <row r="1040" spans="1:31" x14ac:dyDescent="0.2">
      <c r="A1040" t="s">
        <v>338</v>
      </c>
      <c r="B1040" t="s">
        <v>32</v>
      </c>
      <c r="C1040">
        <v>56</v>
      </c>
      <c r="D1040" t="s">
        <v>78</v>
      </c>
      <c r="E1040" t="s">
        <v>36</v>
      </c>
      <c r="F1040" t="s">
        <v>37</v>
      </c>
      <c r="G1040">
        <v>82299</v>
      </c>
      <c r="H1040">
        <v>0</v>
      </c>
      <c r="I1040">
        <v>0</v>
      </c>
      <c r="J1040">
        <v>1</v>
      </c>
      <c r="K1040">
        <v>0</v>
      </c>
      <c r="L1040" t="s">
        <v>35</v>
      </c>
      <c r="M1040" t="s">
        <v>35</v>
      </c>
      <c r="N1040" t="s">
        <v>35</v>
      </c>
      <c r="O1040" t="s">
        <v>35</v>
      </c>
      <c r="P1040" t="s">
        <v>35</v>
      </c>
      <c r="Q1040" t="s">
        <v>35</v>
      </c>
      <c r="R1040" t="s">
        <v>35</v>
      </c>
      <c r="S1040" t="s">
        <v>35</v>
      </c>
      <c r="T1040" t="s">
        <v>35</v>
      </c>
      <c r="U1040" t="s">
        <v>35</v>
      </c>
      <c r="V1040" t="s">
        <v>35</v>
      </c>
      <c r="W1040" t="s">
        <v>35</v>
      </c>
      <c r="X1040" t="s">
        <v>35</v>
      </c>
      <c r="Y1040" t="s">
        <v>35</v>
      </c>
      <c r="Z1040" t="s">
        <v>35</v>
      </c>
      <c r="AA1040" t="s">
        <v>35</v>
      </c>
      <c r="AB1040" t="s">
        <v>35</v>
      </c>
      <c r="AC1040" t="s">
        <v>35</v>
      </c>
      <c r="AD1040" t="s">
        <v>35</v>
      </c>
      <c r="AE1040" t="s">
        <v>35</v>
      </c>
    </row>
    <row r="1041" spans="1:31" x14ac:dyDescent="0.2">
      <c r="A1041" t="s">
        <v>338</v>
      </c>
      <c r="B1041" t="s">
        <v>32</v>
      </c>
      <c r="C1041">
        <v>56</v>
      </c>
      <c r="D1041" t="s">
        <v>78</v>
      </c>
      <c r="E1041" t="s">
        <v>39</v>
      </c>
      <c r="F1041" t="s">
        <v>54</v>
      </c>
      <c r="G1041">
        <v>79978</v>
      </c>
      <c r="H1041">
        <v>0</v>
      </c>
      <c r="I1041">
        <v>0</v>
      </c>
      <c r="J1041">
        <v>0</v>
      </c>
      <c r="K1041">
        <v>1</v>
      </c>
      <c r="L1041" t="s">
        <v>122</v>
      </c>
      <c r="M1041" t="s">
        <v>56</v>
      </c>
      <c r="N1041" t="s">
        <v>89</v>
      </c>
      <c r="O1041" t="s">
        <v>68</v>
      </c>
      <c r="P1041" t="s">
        <v>45</v>
      </c>
      <c r="Q1041" t="s">
        <v>67</v>
      </c>
      <c r="R1041">
        <v>1</v>
      </c>
      <c r="S1041">
        <v>0</v>
      </c>
      <c r="T1041">
        <v>0</v>
      </c>
      <c r="U1041">
        <v>1</v>
      </c>
      <c r="V1041">
        <v>1</v>
      </c>
      <c r="W1041">
        <v>0</v>
      </c>
      <c r="X1041">
        <v>1</v>
      </c>
      <c r="Y1041">
        <v>0</v>
      </c>
      <c r="Z1041">
        <v>0</v>
      </c>
      <c r="AA1041">
        <v>0</v>
      </c>
      <c r="AB1041">
        <v>0</v>
      </c>
      <c r="AC1041">
        <v>0</v>
      </c>
      <c r="AD1041">
        <v>0</v>
      </c>
      <c r="AE1041">
        <v>1</v>
      </c>
    </row>
    <row r="1042" spans="1:31" x14ac:dyDescent="0.2">
      <c r="A1042" t="s">
        <v>338</v>
      </c>
      <c r="B1042" t="s">
        <v>32</v>
      </c>
      <c r="C1042">
        <v>56</v>
      </c>
      <c r="D1042" t="s">
        <v>78</v>
      </c>
      <c r="E1042" t="s">
        <v>52</v>
      </c>
      <c r="F1042" t="s">
        <v>74</v>
      </c>
      <c r="G1042">
        <v>61684</v>
      </c>
      <c r="H1042">
        <v>1</v>
      </c>
      <c r="I1042">
        <v>0</v>
      </c>
      <c r="J1042">
        <v>0</v>
      </c>
      <c r="K1042">
        <v>0</v>
      </c>
      <c r="L1042" t="s">
        <v>35</v>
      </c>
      <c r="M1042" t="s">
        <v>35</v>
      </c>
      <c r="N1042" t="s">
        <v>35</v>
      </c>
      <c r="O1042" t="s">
        <v>35</v>
      </c>
      <c r="P1042" t="s">
        <v>35</v>
      </c>
      <c r="Q1042" t="s">
        <v>35</v>
      </c>
      <c r="R1042" t="s">
        <v>35</v>
      </c>
      <c r="S1042">
        <v>0</v>
      </c>
      <c r="T1042">
        <v>0</v>
      </c>
      <c r="U1042">
        <v>1</v>
      </c>
      <c r="V1042">
        <v>1</v>
      </c>
      <c r="W1042">
        <v>0</v>
      </c>
      <c r="X1042">
        <v>1</v>
      </c>
      <c r="Y1042">
        <v>0</v>
      </c>
      <c r="Z1042">
        <v>0</v>
      </c>
      <c r="AA1042">
        <v>0</v>
      </c>
      <c r="AB1042">
        <v>0</v>
      </c>
      <c r="AC1042">
        <v>0</v>
      </c>
      <c r="AD1042">
        <v>0</v>
      </c>
      <c r="AE1042">
        <v>1</v>
      </c>
    </row>
    <row r="1043" spans="1:31" x14ac:dyDescent="0.2">
      <c r="A1043" t="s">
        <v>338</v>
      </c>
      <c r="B1043" t="s">
        <v>32</v>
      </c>
      <c r="C1043">
        <v>56</v>
      </c>
      <c r="D1043" t="s">
        <v>78</v>
      </c>
      <c r="E1043" t="s">
        <v>39</v>
      </c>
      <c r="F1043" t="s">
        <v>47</v>
      </c>
      <c r="G1043">
        <v>63563</v>
      </c>
      <c r="H1043">
        <v>1</v>
      </c>
      <c r="I1043">
        <v>0</v>
      </c>
      <c r="J1043">
        <v>0</v>
      </c>
      <c r="K1043">
        <v>0</v>
      </c>
      <c r="L1043" t="s">
        <v>80</v>
      </c>
      <c r="M1043" t="s">
        <v>79</v>
      </c>
      <c r="N1043" t="s">
        <v>48</v>
      </c>
      <c r="O1043" t="s">
        <v>67</v>
      </c>
      <c r="P1043" t="s">
        <v>45</v>
      </c>
      <c r="Q1043" t="s">
        <v>46</v>
      </c>
      <c r="R1043">
        <v>0</v>
      </c>
      <c r="S1043">
        <v>0</v>
      </c>
      <c r="T1043">
        <v>1</v>
      </c>
      <c r="U1043">
        <v>1</v>
      </c>
      <c r="V1043">
        <v>1</v>
      </c>
      <c r="W1043">
        <v>0</v>
      </c>
      <c r="X1043">
        <v>1</v>
      </c>
      <c r="Y1043">
        <v>0</v>
      </c>
      <c r="Z1043">
        <v>0</v>
      </c>
      <c r="AA1043">
        <v>0</v>
      </c>
      <c r="AB1043">
        <v>1</v>
      </c>
      <c r="AC1043">
        <v>0</v>
      </c>
      <c r="AD1043">
        <v>0</v>
      </c>
      <c r="AE1043">
        <v>0</v>
      </c>
    </row>
    <row r="1044" spans="1:31" x14ac:dyDescent="0.2">
      <c r="A1044" t="s">
        <v>338</v>
      </c>
      <c r="B1044" t="s">
        <v>32</v>
      </c>
      <c r="C1044">
        <v>56</v>
      </c>
      <c r="D1044" t="s">
        <v>78</v>
      </c>
      <c r="E1044" t="s">
        <v>39</v>
      </c>
      <c r="F1044" t="s">
        <v>63</v>
      </c>
      <c r="G1044">
        <v>55074</v>
      </c>
      <c r="H1044">
        <v>0</v>
      </c>
      <c r="I1044">
        <v>0</v>
      </c>
      <c r="J1044">
        <v>0</v>
      </c>
      <c r="K1044">
        <v>1</v>
      </c>
      <c r="L1044" t="s">
        <v>65</v>
      </c>
      <c r="M1044" t="s">
        <v>64</v>
      </c>
      <c r="N1044" t="s">
        <v>84</v>
      </c>
      <c r="O1044" t="s">
        <v>68</v>
      </c>
      <c r="P1044" t="s">
        <v>67</v>
      </c>
      <c r="Q1044" t="s">
        <v>46</v>
      </c>
      <c r="R1044">
        <v>1</v>
      </c>
      <c r="S1044">
        <v>0</v>
      </c>
      <c r="T1044">
        <v>1</v>
      </c>
      <c r="U1044">
        <v>1</v>
      </c>
      <c r="V1044">
        <v>0</v>
      </c>
      <c r="W1044">
        <v>0</v>
      </c>
      <c r="X1044">
        <v>1</v>
      </c>
      <c r="Y1044">
        <v>0</v>
      </c>
      <c r="Z1044">
        <v>0</v>
      </c>
      <c r="AA1044">
        <v>0</v>
      </c>
      <c r="AB1044">
        <v>0</v>
      </c>
      <c r="AC1044">
        <v>0</v>
      </c>
      <c r="AD1044">
        <v>0</v>
      </c>
      <c r="AE1044">
        <v>1</v>
      </c>
    </row>
    <row r="1045" spans="1:31" x14ac:dyDescent="0.2">
      <c r="A1045" t="s">
        <v>338</v>
      </c>
      <c r="B1045" t="s">
        <v>32</v>
      </c>
      <c r="C1045">
        <v>56</v>
      </c>
      <c r="D1045" t="s">
        <v>78</v>
      </c>
      <c r="E1045" t="s">
        <v>52</v>
      </c>
      <c r="F1045" t="s">
        <v>53</v>
      </c>
      <c r="G1045">
        <v>145969</v>
      </c>
      <c r="H1045">
        <v>0</v>
      </c>
      <c r="I1045">
        <v>0</v>
      </c>
      <c r="J1045">
        <v>0</v>
      </c>
      <c r="K1045">
        <v>1</v>
      </c>
      <c r="L1045" t="s">
        <v>35</v>
      </c>
      <c r="M1045" t="s">
        <v>35</v>
      </c>
      <c r="N1045" t="s">
        <v>35</v>
      </c>
      <c r="O1045" t="s">
        <v>35</v>
      </c>
      <c r="P1045" t="s">
        <v>35</v>
      </c>
      <c r="Q1045" t="s">
        <v>35</v>
      </c>
      <c r="R1045" t="s">
        <v>35</v>
      </c>
      <c r="S1045">
        <v>0</v>
      </c>
      <c r="T1045">
        <v>1</v>
      </c>
      <c r="U1045">
        <v>1</v>
      </c>
      <c r="V1045">
        <v>0</v>
      </c>
      <c r="W1045">
        <v>0</v>
      </c>
      <c r="X1045">
        <v>1</v>
      </c>
      <c r="Y1045">
        <v>0</v>
      </c>
      <c r="Z1045">
        <v>0</v>
      </c>
      <c r="AA1045">
        <v>0</v>
      </c>
      <c r="AB1045">
        <v>0</v>
      </c>
      <c r="AC1045">
        <v>0</v>
      </c>
      <c r="AD1045">
        <v>0</v>
      </c>
      <c r="AE1045">
        <v>1</v>
      </c>
    </row>
    <row r="1046" spans="1:31" x14ac:dyDescent="0.2">
      <c r="A1046" t="s">
        <v>338</v>
      </c>
      <c r="B1046" t="s">
        <v>32</v>
      </c>
      <c r="C1046">
        <v>56</v>
      </c>
      <c r="D1046" t="s">
        <v>78</v>
      </c>
      <c r="E1046" t="s">
        <v>39</v>
      </c>
      <c r="F1046" t="s">
        <v>59</v>
      </c>
      <c r="G1046">
        <v>56397</v>
      </c>
      <c r="H1046">
        <v>0</v>
      </c>
      <c r="I1046">
        <v>0</v>
      </c>
      <c r="J1046">
        <v>0</v>
      </c>
      <c r="K1046">
        <v>1</v>
      </c>
      <c r="L1046" t="s">
        <v>61</v>
      </c>
      <c r="M1046" t="s">
        <v>62</v>
      </c>
      <c r="N1046" t="s">
        <v>99</v>
      </c>
      <c r="O1046" t="s">
        <v>46</v>
      </c>
      <c r="P1046" t="s">
        <v>45</v>
      </c>
      <c r="Q1046" t="s">
        <v>67</v>
      </c>
      <c r="R1046">
        <v>0</v>
      </c>
      <c r="S1046">
        <v>0</v>
      </c>
      <c r="T1046">
        <v>1</v>
      </c>
      <c r="U1046">
        <v>1</v>
      </c>
      <c r="V1046">
        <v>1</v>
      </c>
      <c r="W1046">
        <v>0</v>
      </c>
      <c r="X1046">
        <v>1</v>
      </c>
      <c r="Y1046">
        <v>0</v>
      </c>
      <c r="Z1046">
        <v>0</v>
      </c>
      <c r="AA1046">
        <v>0</v>
      </c>
      <c r="AB1046">
        <v>0</v>
      </c>
      <c r="AC1046">
        <v>0</v>
      </c>
      <c r="AD1046">
        <v>0</v>
      </c>
      <c r="AE1046">
        <v>1</v>
      </c>
    </row>
    <row r="1047" spans="1:31" x14ac:dyDescent="0.2">
      <c r="A1047" t="s">
        <v>338</v>
      </c>
      <c r="B1047" t="s">
        <v>32</v>
      </c>
      <c r="C1047">
        <v>56</v>
      </c>
      <c r="D1047" t="s">
        <v>78</v>
      </c>
      <c r="E1047" t="s">
        <v>52</v>
      </c>
      <c r="F1047" t="s">
        <v>69</v>
      </c>
      <c r="G1047">
        <v>82314</v>
      </c>
      <c r="H1047">
        <v>0</v>
      </c>
      <c r="I1047">
        <v>1</v>
      </c>
      <c r="J1047">
        <v>1</v>
      </c>
      <c r="K1047">
        <v>0</v>
      </c>
      <c r="L1047" t="s">
        <v>35</v>
      </c>
      <c r="M1047" t="s">
        <v>35</v>
      </c>
      <c r="N1047" t="s">
        <v>35</v>
      </c>
      <c r="O1047" t="s">
        <v>35</v>
      </c>
      <c r="P1047" t="s">
        <v>35</v>
      </c>
      <c r="Q1047" t="s">
        <v>35</v>
      </c>
      <c r="R1047" t="s">
        <v>35</v>
      </c>
      <c r="S1047">
        <v>0</v>
      </c>
      <c r="T1047">
        <v>1</v>
      </c>
      <c r="U1047">
        <v>1</v>
      </c>
      <c r="V1047">
        <v>1</v>
      </c>
      <c r="W1047">
        <v>0</v>
      </c>
      <c r="X1047">
        <v>1</v>
      </c>
      <c r="Y1047">
        <v>0</v>
      </c>
      <c r="Z1047">
        <v>0</v>
      </c>
      <c r="AA1047">
        <v>0</v>
      </c>
      <c r="AB1047">
        <v>0</v>
      </c>
      <c r="AC1047">
        <v>0</v>
      </c>
      <c r="AD1047">
        <v>0</v>
      </c>
      <c r="AE1047">
        <v>1</v>
      </c>
    </row>
    <row r="1048" spans="1:31" x14ac:dyDescent="0.2">
      <c r="A1048" t="s">
        <v>338</v>
      </c>
      <c r="B1048" t="s">
        <v>32</v>
      </c>
      <c r="C1048">
        <v>56</v>
      </c>
      <c r="D1048" t="s">
        <v>78</v>
      </c>
      <c r="E1048" t="s">
        <v>39</v>
      </c>
      <c r="F1048" t="s">
        <v>70</v>
      </c>
      <c r="G1048">
        <v>36126</v>
      </c>
      <c r="H1048">
        <v>0</v>
      </c>
      <c r="I1048">
        <v>0</v>
      </c>
      <c r="J1048">
        <v>0</v>
      </c>
      <c r="K1048">
        <v>1</v>
      </c>
      <c r="L1048" t="s">
        <v>73</v>
      </c>
      <c r="M1048" t="s">
        <v>72</v>
      </c>
      <c r="N1048" t="s">
        <v>86</v>
      </c>
      <c r="O1048" t="s">
        <v>44</v>
      </c>
      <c r="P1048" t="s">
        <v>67</v>
      </c>
      <c r="Q1048" t="s">
        <v>46</v>
      </c>
      <c r="R1048">
        <v>0</v>
      </c>
      <c r="S1048">
        <v>1</v>
      </c>
      <c r="T1048">
        <v>1</v>
      </c>
      <c r="U1048">
        <v>1</v>
      </c>
      <c r="V1048">
        <v>0</v>
      </c>
      <c r="W1048">
        <v>0</v>
      </c>
      <c r="X1048">
        <v>1</v>
      </c>
      <c r="Y1048">
        <v>0</v>
      </c>
      <c r="Z1048">
        <v>0</v>
      </c>
      <c r="AA1048">
        <v>0</v>
      </c>
      <c r="AB1048">
        <v>0</v>
      </c>
      <c r="AC1048">
        <v>0</v>
      </c>
      <c r="AD1048">
        <v>0</v>
      </c>
      <c r="AE1048">
        <v>1</v>
      </c>
    </row>
    <row r="1049" spans="1:31" x14ac:dyDescent="0.2">
      <c r="A1049" t="s">
        <v>338</v>
      </c>
      <c r="B1049" t="s">
        <v>32</v>
      </c>
      <c r="C1049">
        <v>56</v>
      </c>
      <c r="D1049" t="s">
        <v>78</v>
      </c>
      <c r="E1049" t="s">
        <v>39</v>
      </c>
      <c r="F1049" t="s">
        <v>40</v>
      </c>
      <c r="G1049">
        <v>19953</v>
      </c>
      <c r="H1049">
        <v>1</v>
      </c>
      <c r="I1049">
        <v>1</v>
      </c>
      <c r="J1049">
        <v>1</v>
      </c>
      <c r="K1049">
        <v>0</v>
      </c>
      <c r="L1049" t="s">
        <v>42</v>
      </c>
      <c r="M1049" t="s">
        <v>91</v>
      </c>
      <c r="N1049" t="s">
        <v>41</v>
      </c>
      <c r="O1049" t="s">
        <v>45</v>
      </c>
      <c r="P1049" t="s">
        <v>51</v>
      </c>
      <c r="Q1049" t="s">
        <v>44</v>
      </c>
      <c r="R1049">
        <v>0</v>
      </c>
      <c r="S1049">
        <v>1</v>
      </c>
      <c r="T1049">
        <v>0</v>
      </c>
      <c r="U1049">
        <v>0</v>
      </c>
      <c r="V1049">
        <v>1</v>
      </c>
      <c r="W1049">
        <v>0</v>
      </c>
      <c r="X1049">
        <v>1</v>
      </c>
      <c r="Y1049">
        <v>0</v>
      </c>
      <c r="Z1049">
        <v>1</v>
      </c>
      <c r="AA1049">
        <v>0</v>
      </c>
      <c r="AB1049">
        <v>0</v>
      </c>
      <c r="AC1049">
        <v>1</v>
      </c>
      <c r="AD1049">
        <v>0</v>
      </c>
      <c r="AE1049">
        <v>0</v>
      </c>
    </row>
    <row r="1050" spans="1:31" x14ac:dyDescent="0.2">
      <c r="A1050" t="s">
        <v>338</v>
      </c>
      <c r="B1050" t="s">
        <v>32</v>
      </c>
      <c r="C1050">
        <v>56</v>
      </c>
      <c r="D1050" t="s">
        <v>78</v>
      </c>
      <c r="E1050" t="s">
        <v>52</v>
      </c>
      <c r="F1050" t="s">
        <v>58</v>
      </c>
      <c r="G1050">
        <v>43998</v>
      </c>
      <c r="H1050">
        <v>0</v>
      </c>
      <c r="I1050">
        <v>0</v>
      </c>
      <c r="J1050">
        <v>0</v>
      </c>
      <c r="K1050">
        <v>1</v>
      </c>
      <c r="L1050" t="s">
        <v>35</v>
      </c>
      <c r="M1050" t="s">
        <v>35</v>
      </c>
      <c r="N1050" t="s">
        <v>35</v>
      </c>
      <c r="O1050" t="s">
        <v>35</v>
      </c>
      <c r="P1050" t="s">
        <v>35</v>
      </c>
      <c r="Q1050" t="s">
        <v>35</v>
      </c>
      <c r="R1050" t="s">
        <v>35</v>
      </c>
      <c r="S1050">
        <v>1</v>
      </c>
      <c r="T1050">
        <v>0</v>
      </c>
      <c r="U1050">
        <v>0</v>
      </c>
      <c r="V1050">
        <v>1</v>
      </c>
      <c r="W1050">
        <v>0</v>
      </c>
      <c r="X1050">
        <v>1</v>
      </c>
      <c r="Y1050">
        <v>0</v>
      </c>
      <c r="Z1050">
        <v>1</v>
      </c>
      <c r="AA1050">
        <v>0</v>
      </c>
      <c r="AB1050">
        <v>0</v>
      </c>
      <c r="AC1050">
        <v>1</v>
      </c>
      <c r="AD1050">
        <v>0</v>
      </c>
      <c r="AE1050">
        <v>0</v>
      </c>
    </row>
    <row r="1051" spans="1:31" x14ac:dyDescent="0.2">
      <c r="A1051" t="s">
        <v>338</v>
      </c>
      <c r="B1051" t="s">
        <v>32</v>
      </c>
      <c r="C1051">
        <v>56</v>
      </c>
      <c r="D1051" t="s">
        <v>78</v>
      </c>
      <c r="E1051" t="s">
        <v>75</v>
      </c>
      <c r="F1051" t="s">
        <v>35</v>
      </c>
      <c r="G1051">
        <v>86326</v>
      </c>
      <c r="H1051" t="s">
        <v>339</v>
      </c>
      <c r="I1051" t="s">
        <v>340</v>
      </c>
      <c r="J1051" t="s">
        <v>341</v>
      </c>
      <c r="K1051" t="s">
        <v>35</v>
      </c>
      <c r="L1051" t="s">
        <v>35</v>
      </c>
      <c r="M1051" t="s">
        <v>35</v>
      </c>
      <c r="N1051" t="s">
        <v>35</v>
      </c>
      <c r="O1051" t="s">
        <v>35</v>
      </c>
      <c r="P1051" t="s">
        <v>35</v>
      </c>
      <c r="Q1051" t="s">
        <v>35</v>
      </c>
      <c r="R1051" t="s">
        <v>35</v>
      </c>
      <c r="S1051" t="s">
        <v>35</v>
      </c>
      <c r="T1051" t="s">
        <v>35</v>
      </c>
      <c r="U1051" t="s">
        <v>35</v>
      </c>
      <c r="V1051" t="s">
        <v>35</v>
      </c>
      <c r="W1051" t="s">
        <v>35</v>
      </c>
      <c r="X1051" t="s">
        <v>35</v>
      </c>
      <c r="Y1051" t="s">
        <v>35</v>
      </c>
      <c r="Z1051" t="s">
        <v>35</v>
      </c>
      <c r="AA1051" t="s">
        <v>35</v>
      </c>
      <c r="AB1051" t="s">
        <v>35</v>
      </c>
      <c r="AC1051" t="s">
        <v>35</v>
      </c>
      <c r="AD1051" t="s">
        <v>35</v>
      </c>
      <c r="AE1051" t="s">
        <v>35</v>
      </c>
    </row>
    <row r="1052" spans="1:31" x14ac:dyDescent="0.2">
      <c r="A1052" t="s">
        <v>342</v>
      </c>
      <c r="B1052" t="s">
        <v>32</v>
      </c>
      <c r="C1052">
        <v>56</v>
      </c>
      <c r="D1052" t="s">
        <v>78</v>
      </c>
      <c r="E1052" t="s">
        <v>34</v>
      </c>
      <c r="F1052" t="s">
        <v>35</v>
      </c>
      <c r="G1052">
        <v>777808</v>
      </c>
      <c r="H1052" t="s">
        <v>35</v>
      </c>
      <c r="I1052" t="s">
        <v>35</v>
      </c>
      <c r="J1052" t="s">
        <v>35</v>
      </c>
      <c r="K1052" t="s">
        <v>35</v>
      </c>
      <c r="L1052" t="s">
        <v>35</v>
      </c>
      <c r="M1052" t="s">
        <v>35</v>
      </c>
      <c r="N1052" t="s">
        <v>35</v>
      </c>
      <c r="O1052" t="s">
        <v>35</v>
      </c>
      <c r="P1052" t="s">
        <v>35</v>
      </c>
      <c r="Q1052" t="s">
        <v>35</v>
      </c>
      <c r="R1052" t="s">
        <v>35</v>
      </c>
      <c r="S1052" t="s">
        <v>35</v>
      </c>
      <c r="T1052" t="s">
        <v>35</v>
      </c>
      <c r="U1052" t="s">
        <v>35</v>
      </c>
      <c r="V1052" t="s">
        <v>35</v>
      </c>
      <c r="W1052" t="s">
        <v>35</v>
      </c>
      <c r="X1052" t="s">
        <v>35</v>
      </c>
      <c r="Y1052" t="s">
        <v>35</v>
      </c>
      <c r="Z1052" t="s">
        <v>35</v>
      </c>
      <c r="AA1052" t="s">
        <v>35</v>
      </c>
      <c r="AB1052" t="s">
        <v>35</v>
      </c>
      <c r="AC1052" t="s">
        <v>35</v>
      </c>
      <c r="AD1052" t="s">
        <v>35</v>
      </c>
      <c r="AE1052" t="s">
        <v>35</v>
      </c>
    </row>
    <row r="1053" spans="1:31" x14ac:dyDescent="0.2">
      <c r="A1053" t="s">
        <v>342</v>
      </c>
      <c r="B1053" t="s">
        <v>32</v>
      </c>
      <c r="C1053">
        <v>56</v>
      </c>
      <c r="D1053" t="s">
        <v>78</v>
      </c>
      <c r="E1053" t="s">
        <v>36</v>
      </c>
      <c r="F1053" t="s">
        <v>38</v>
      </c>
      <c r="G1053">
        <v>357813</v>
      </c>
      <c r="H1053">
        <v>0</v>
      </c>
      <c r="I1053">
        <v>0</v>
      </c>
      <c r="J1053">
        <v>0</v>
      </c>
      <c r="K1053">
        <v>1</v>
      </c>
      <c r="L1053" t="s">
        <v>35</v>
      </c>
      <c r="M1053" t="s">
        <v>35</v>
      </c>
      <c r="N1053" t="s">
        <v>35</v>
      </c>
      <c r="O1053" t="s">
        <v>35</v>
      </c>
      <c r="P1053" t="s">
        <v>35</v>
      </c>
      <c r="Q1053" t="s">
        <v>35</v>
      </c>
      <c r="R1053" t="s">
        <v>35</v>
      </c>
      <c r="S1053" t="s">
        <v>35</v>
      </c>
      <c r="T1053" t="s">
        <v>35</v>
      </c>
      <c r="U1053" t="s">
        <v>35</v>
      </c>
      <c r="V1053" t="s">
        <v>35</v>
      </c>
      <c r="W1053" t="s">
        <v>35</v>
      </c>
      <c r="X1053" t="s">
        <v>35</v>
      </c>
      <c r="Y1053" t="s">
        <v>35</v>
      </c>
      <c r="Z1053" t="s">
        <v>35</v>
      </c>
      <c r="AA1053" t="s">
        <v>35</v>
      </c>
      <c r="AB1053" t="s">
        <v>35</v>
      </c>
      <c r="AC1053" t="s">
        <v>35</v>
      </c>
      <c r="AD1053" t="s">
        <v>35</v>
      </c>
      <c r="AE1053" t="s">
        <v>35</v>
      </c>
    </row>
    <row r="1054" spans="1:31" x14ac:dyDescent="0.2">
      <c r="A1054" t="s">
        <v>342</v>
      </c>
      <c r="B1054" t="s">
        <v>32</v>
      </c>
      <c r="C1054">
        <v>56</v>
      </c>
      <c r="D1054" t="s">
        <v>78</v>
      </c>
      <c r="E1054" t="s">
        <v>36</v>
      </c>
      <c r="F1054" t="s">
        <v>37</v>
      </c>
      <c r="G1054">
        <v>37197</v>
      </c>
      <c r="H1054">
        <v>0</v>
      </c>
      <c r="I1054">
        <v>1</v>
      </c>
      <c r="J1054">
        <v>1</v>
      </c>
      <c r="K1054">
        <v>0</v>
      </c>
      <c r="L1054" t="s">
        <v>35</v>
      </c>
      <c r="M1054" t="s">
        <v>35</v>
      </c>
      <c r="N1054" t="s">
        <v>35</v>
      </c>
      <c r="O1054" t="s">
        <v>35</v>
      </c>
      <c r="P1054" t="s">
        <v>35</v>
      </c>
      <c r="Q1054" t="s">
        <v>35</v>
      </c>
      <c r="R1054" t="s">
        <v>35</v>
      </c>
      <c r="S1054" t="s">
        <v>35</v>
      </c>
      <c r="T1054" t="s">
        <v>35</v>
      </c>
      <c r="U1054" t="s">
        <v>35</v>
      </c>
      <c r="V1054" t="s">
        <v>35</v>
      </c>
      <c r="W1054" t="s">
        <v>35</v>
      </c>
      <c r="X1054" t="s">
        <v>35</v>
      </c>
      <c r="Y1054" t="s">
        <v>35</v>
      </c>
      <c r="Z1054" t="s">
        <v>35</v>
      </c>
      <c r="AA1054" t="s">
        <v>35</v>
      </c>
      <c r="AB1054" t="s">
        <v>35</v>
      </c>
      <c r="AC1054" t="s">
        <v>35</v>
      </c>
      <c r="AD1054" t="s">
        <v>35</v>
      </c>
      <c r="AE1054" t="s">
        <v>35</v>
      </c>
    </row>
    <row r="1055" spans="1:31" x14ac:dyDescent="0.2">
      <c r="A1055" t="s">
        <v>342</v>
      </c>
      <c r="B1055" t="s">
        <v>32</v>
      </c>
      <c r="C1055">
        <v>56</v>
      </c>
      <c r="D1055" t="s">
        <v>78</v>
      </c>
      <c r="E1055" t="s">
        <v>39</v>
      </c>
      <c r="F1055" t="s">
        <v>70</v>
      </c>
      <c r="G1055">
        <v>35877</v>
      </c>
      <c r="H1055">
        <v>0</v>
      </c>
      <c r="I1055">
        <v>0</v>
      </c>
      <c r="J1055">
        <v>1</v>
      </c>
      <c r="K1055">
        <v>0</v>
      </c>
      <c r="L1055" t="s">
        <v>71</v>
      </c>
      <c r="M1055" t="s">
        <v>92</v>
      </c>
      <c r="N1055" t="s">
        <v>72</v>
      </c>
      <c r="O1055" t="s">
        <v>45</v>
      </c>
      <c r="P1055" t="s">
        <v>51</v>
      </c>
      <c r="Q1055" t="s">
        <v>67</v>
      </c>
      <c r="R1055">
        <v>0</v>
      </c>
      <c r="S1055">
        <v>0</v>
      </c>
      <c r="T1055">
        <v>0</v>
      </c>
      <c r="U1055">
        <v>1</v>
      </c>
      <c r="V1055">
        <v>1</v>
      </c>
      <c r="W1055">
        <v>0</v>
      </c>
      <c r="X1055">
        <v>1</v>
      </c>
      <c r="Y1055">
        <v>0</v>
      </c>
      <c r="Z1055">
        <v>0</v>
      </c>
      <c r="AA1055">
        <v>0</v>
      </c>
      <c r="AB1055">
        <v>1</v>
      </c>
      <c r="AC1055">
        <v>0</v>
      </c>
      <c r="AD1055">
        <v>0</v>
      </c>
      <c r="AE1055">
        <v>0</v>
      </c>
    </row>
    <row r="1056" spans="1:31" x14ac:dyDescent="0.2">
      <c r="A1056" t="s">
        <v>342</v>
      </c>
      <c r="B1056" t="s">
        <v>32</v>
      </c>
      <c r="C1056">
        <v>56</v>
      </c>
      <c r="D1056" t="s">
        <v>78</v>
      </c>
      <c r="E1056" t="s">
        <v>39</v>
      </c>
      <c r="F1056" t="s">
        <v>40</v>
      </c>
      <c r="G1056">
        <v>19735</v>
      </c>
      <c r="H1056">
        <v>0</v>
      </c>
      <c r="I1056">
        <v>0</v>
      </c>
      <c r="J1056">
        <v>1</v>
      </c>
      <c r="K1056">
        <v>0</v>
      </c>
      <c r="L1056" t="s">
        <v>82</v>
      </c>
      <c r="M1056" t="s">
        <v>43</v>
      </c>
      <c r="N1056" t="s">
        <v>81</v>
      </c>
      <c r="O1056" t="s">
        <v>68</v>
      </c>
      <c r="P1056" t="s">
        <v>46</v>
      </c>
      <c r="Q1056" t="s">
        <v>67</v>
      </c>
      <c r="R1056">
        <v>1</v>
      </c>
      <c r="S1056">
        <v>0</v>
      </c>
      <c r="T1056">
        <v>1</v>
      </c>
      <c r="U1056">
        <v>1</v>
      </c>
      <c r="V1056">
        <v>0</v>
      </c>
      <c r="W1056">
        <v>0</v>
      </c>
      <c r="X1056">
        <v>1</v>
      </c>
      <c r="Y1056">
        <v>0</v>
      </c>
      <c r="Z1056">
        <v>0</v>
      </c>
      <c r="AA1056">
        <v>0</v>
      </c>
      <c r="AB1056">
        <v>1</v>
      </c>
      <c r="AC1056">
        <v>0</v>
      </c>
      <c r="AD1056">
        <v>0</v>
      </c>
      <c r="AE1056">
        <v>0</v>
      </c>
    </row>
    <row r="1057" spans="1:31" x14ac:dyDescent="0.2">
      <c r="A1057" t="s">
        <v>342</v>
      </c>
      <c r="B1057" t="s">
        <v>32</v>
      </c>
      <c r="C1057">
        <v>56</v>
      </c>
      <c r="D1057" t="s">
        <v>78</v>
      </c>
      <c r="E1057" t="s">
        <v>52</v>
      </c>
      <c r="F1057" t="s">
        <v>74</v>
      </c>
      <c r="G1057">
        <v>19014</v>
      </c>
      <c r="H1057">
        <v>1</v>
      </c>
      <c r="I1057">
        <v>0</v>
      </c>
      <c r="J1057">
        <v>0</v>
      </c>
      <c r="K1057">
        <v>0</v>
      </c>
      <c r="L1057" t="s">
        <v>35</v>
      </c>
      <c r="M1057" t="s">
        <v>35</v>
      </c>
      <c r="N1057" t="s">
        <v>35</v>
      </c>
      <c r="O1057" t="s">
        <v>35</v>
      </c>
      <c r="P1057" t="s">
        <v>35</v>
      </c>
      <c r="Q1057" t="s">
        <v>35</v>
      </c>
      <c r="R1057" t="s">
        <v>35</v>
      </c>
      <c r="S1057">
        <v>0</v>
      </c>
      <c r="T1057">
        <v>1</v>
      </c>
      <c r="U1057">
        <v>1</v>
      </c>
      <c r="V1057">
        <v>0</v>
      </c>
      <c r="W1057">
        <v>0</v>
      </c>
      <c r="X1057">
        <v>1</v>
      </c>
      <c r="Y1057">
        <v>0</v>
      </c>
      <c r="Z1057">
        <v>0</v>
      </c>
      <c r="AA1057">
        <v>0</v>
      </c>
      <c r="AB1057">
        <v>1</v>
      </c>
      <c r="AC1057">
        <v>0</v>
      </c>
      <c r="AD1057">
        <v>0</v>
      </c>
      <c r="AE1057">
        <v>0</v>
      </c>
    </row>
    <row r="1058" spans="1:31" x14ac:dyDescent="0.2">
      <c r="A1058" t="s">
        <v>342</v>
      </c>
      <c r="B1058" t="s">
        <v>32</v>
      </c>
      <c r="C1058">
        <v>56</v>
      </c>
      <c r="D1058" t="s">
        <v>78</v>
      </c>
      <c r="E1058" t="s">
        <v>39</v>
      </c>
      <c r="F1058" t="s">
        <v>63</v>
      </c>
      <c r="G1058">
        <v>19502</v>
      </c>
      <c r="H1058">
        <v>1</v>
      </c>
      <c r="I1058">
        <v>0</v>
      </c>
      <c r="J1058">
        <v>0</v>
      </c>
      <c r="K1058">
        <v>0</v>
      </c>
      <c r="L1058" t="s">
        <v>66</v>
      </c>
      <c r="M1058" t="s">
        <v>84</v>
      </c>
      <c r="N1058" t="s">
        <v>85</v>
      </c>
      <c r="O1058" t="s">
        <v>45</v>
      </c>
      <c r="P1058" t="s">
        <v>46</v>
      </c>
      <c r="Q1058" t="s">
        <v>51</v>
      </c>
      <c r="R1058">
        <v>0</v>
      </c>
      <c r="S1058">
        <v>0</v>
      </c>
      <c r="T1058">
        <v>1</v>
      </c>
      <c r="U1058">
        <v>0</v>
      </c>
      <c r="V1058">
        <v>1</v>
      </c>
      <c r="W1058">
        <v>0</v>
      </c>
      <c r="X1058">
        <v>1</v>
      </c>
      <c r="Y1058">
        <v>0</v>
      </c>
      <c r="Z1058">
        <v>0</v>
      </c>
      <c r="AA1058">
        <v>0</v>
      </c>
      <c r="AB1058">
        <v>0</v>
      </c>
      <c r="AC1058">
        <v>1</v>
      </c>
      <c r="AD1058">
        <v>0</v>
      </c>
      <c r="AE1058">
        <v>0</v>
      </c>
    </row>
    <row r="1059" spans="1:31" x14ac:dyDescent="0.2">
      <c r="A1059" t="s">
        <v>342</v>
      </c>
      <c r="B1059" t="s">
        <v>32</v>
      </c>
      <c r="C1059">
        <v>56</v>
      </c>
      <c r="D1059" t="s">
        <v>78</v>
      </c>
      <c r="E1059" t="s">
        <v>39</v>
      </c>
      <c r="F1059" t="s">
        <v>47</v>
      </c>
      <c r="G1059">
        <v>77278</v>
      </c>
      <c r="H1059">
        <v>0</v>
      </c>
      <c r="I1059">
        <v>0</v>
      </c>
      <c r="J1059">
        <v>0</v>
      </c>
      <c r="K1059">
        <v>1</v>
      </c>
      <c r="L1059" t="s">
        <v>50</v>
      </c>
      <c r="M1059" t="s">
        <v>49</v>
      </c>
      <c r="N1059" t="s">
        <v>79</v>
      </c>
      <c r="O1059" t="s">
        <v>51</v>
      </c>
      <c r="P1059" t="s">
        <v>44</v>
      </c>
      <c r="Q1059" t="s">
        <v>45</v>
      </c>
      <c r="R1059">
        <v>0</v>
      </c>
      <c r="S1059">
        <v>1</v>
      </c>
      <c r="T1059">
        <v>0</v>
      </c>
      <c r="U1059">
        <v>0</v>
      </c>
      <c r="V1059">
        <v>1</v>
      </c>
      <c r="W1059">
        <v>0</v>
      </c>
      <c r="X1059">
        <v>1</v>
      </c>
      <c r="Y1059">
        <v>0</v>
      </c>
      <c r="Z1059">
        <v>0</v>
      </c>
      <c r="AA1059">
        <v>0</v>
      </c>
      <c r="AB1059">
        <v>0</v>
      </c>
      <c r="AC1059">
        <v>0</v>
      </c>
      <c r="AD1059">
        <v>0</v>
      </c>
      <c r="AE1059">
        <v>1</v>
      </c>
    </row>
    <row r="1060" spans="1:31" x14ac:dyDescent="0.2">
      <c r="A1060" t="s">
        <v>342</v>
      </c>
      <c r="B1060" t="s">
        <v>32</v>
      </c>
      <c r="C1060">
        <v>56</v>
      </c>
      <c r="D1060" t="s">
        <v>78</v>
      </c>
      <c r="E1060" t="s">
        <v>52</v>
      </c>
      <c r="F1060" t="s">
        <v>69</v>
      </c>
      <c r="G1060">
        <v>1249686</v>
      </c>
      <c r="H1060">
        <v>0</v>
      </c>
      <c r="I1060">
        <v>0</v>
      </c>
      <c r="J1060">
        <v>1</v>
      </c>
      <c r="K1060">
        <v>0</v>
      </c>
      <c r="L1060" t="s">
        <v>35</v>
      </c>
      <c r="M1060" t="s">
        <v>35</v>
      </c>
      <c r="N1060" t="s">
        <v>35</v>
      </c>
      <c r="O1060" t="s">
        <v>35</v>
      </c>
      <c r="P1060" t="s">
        <v>35</v>
      </c>
      <c r="Q1060" t="s">
        <v>35</v>
      </c>
      <c r="R1060" t="s">
        <v>35</v>
      </c>
      <c r="S1060">
        <v>1</v>
      </c>
      <c r="T1060">
        <v>0</v>
      </c>
      <c r="U1060">
        <v>0</v>
      </c>
      <c r="V1060">
        <v>1</v>
      </c>
      <c r="W1060">
        <v>0</v>
      </c>
      <c r="X1060">
        <v>1</v>
      </c>
      <c r="Y1060">
        <v>0</v>
      </c>
      <c r="Z1060">
        <v>0</v>
      </c>
      <c r="AA1060">
        <v>0</v>
      </c>
      <c r="AB1060">
        <v>0</v>
      </c>
      <c r="AC1060">
        <v>0</v>
      </c>
      <c r="AD1060">
        <v>0</v>
      </c>
      <c r="AE1060">
        <v>1</v>
      </c>
    </row>
    <row r="1061" spans="1:31" x14ac:dyDescent="0.2">
      <c r="A1061" t="s">
        <v>342</v>
      </c>
      <c r="B1061" t="s">
        <v>32</v>
      </c>
      <c r="C1061">
        <v>56</v>
      </c>
      <c r="D1061" t="s">
        <v>78</v>
      </c>
      <c r="E1061" t="s">
        <v>39</v>
      </c>
      <c r="F1061" t="s">
        <v>59</v>
      </c>
      <c r="G1061">
        <v>12829</v>
      </c>
      <c r="H1061">
        <v>0</v>
      </c>
      <c r="I1061">
        <v>1</v>
      </c>
      <c r="J1061">
        <v>0</v>
      </c>
      <c r="K1061">
        <v>0</v>
      </c>
      <c r="L1061" t="s">
        <v>94</v>
      </c>
      <c r="M1061" t="s">
        <v>60</v>
      </c>
      <c r="N1061" t="s">
        <v>99</v>
      </c>
      <c r="O1061" t="s">
        <v>68</v>
      </c>
      <c r="P1061" t="s">
        <v>44</v>
      </c>
      <c r="Q1061" t="s">
        <v>67</v>
      </c>
      <c r="R1061">
        <v>1</v>
      </c>
      <c r="S1061">
        <v>1</v>
      </c>
      <c r="T1061">
        <v>0</v>
      </c>
      <c r="U1061">
        <v>1</v>
      </c>
      <c r="V1061">
        <v>0</v>
      </c>
      <c r="W1061">
        <v>0</v>
      </c>
      <c r="X1061">
        <v>1</v>
      </c>
      <c r="Y1061">
        <v>0</v>
      </c>
      <c r="Z1061">
        <v>1</v>
      </c>
      <c r="AA1061">
        <v>0</v>
      </c>
      <c r="AB1061">
        <v>0</v>
      </c>
      <c r="AC1061">
        <v>0</v>
      </c>
      <c r="AD1061">
        <v>0</v>
      </c>
      <c r="AE1061">
        <v>0</v>
      </c>
    </row>
    <row r="1062" spans="1:31" x14ac:dyDescent="0.2">
      <c r="A1062" t="s">
        <v>342</v>
      </c>
      <c r="B1062" t="s">
        <v>32</v>
      </c>
      <c r="C1062">
        <v>56</v>
      </c>
      <c r="D1062" t="s">
        <v>78</v>
      </c>
      <c r="E1062" t="s">
        <v>52</v>
      </c>
      <c r="F1062" t="s">
        <v>58</v>
      </c>
      <c r="G1062">
        <v>16951</v>
      </c>
      <c r="H1062">
        <v>1</v>
      </c>
      <c r="I1062">
        <v>1</v>
      </c>
      <c r="J1062">
        <v>0</v>
      </c>
      <c r="K1062">
        <v>0</v>
      </c>
      <c r="L1062" t="s">
        <v>35</v>
      </c>
      <c r="M1062" t="s">
        <v>35</v>
      </c>
      <c r="N1062" t="s">
        <v>35</v>
      </c>
      <c r="O1062" t="s">
        <v>35</v>
      </c>
      <c r="P1062" t="s">
        <v>35</v>
      </c>
      <c r="Q1062" t="s">
        <v>35</v>
      </c>
      <c r="R1062" t="s">
        <v>35</v>
      </c>
      <c r="S1062">
        <v>1</v>
      </c>
      <c r="T1062">
        <v>0</v>
      </c>
      <c r="U1062">
        <v>1</v>
      </c>
      <c r="V1062">
        <v>0</v>
      </c>
      <c r="W1062">
        <v>0</v>
      </c>
      <c r="X1062">
        <v>1</v>
      </c>
      <c r="Y1062">
        <v>0</v>
      </c>
      <c r="Z1062">
        <v>1</v>
      </c>
      <c r="AA1062">
        <v>0</v>
      </c>
      <c r="AB1062">
        <v>0</v>
      </c>
      <c r="AC1062">
        <v>0</v>
      </c>
      <c r="AD1062">
        <v>0</v>
      </c>
      <c r="AE1062">
        <v>0</v>
      </c>
    </row>
    <row r="1063" spans="1:31" x14ac:dyDescent="0.2">
      <c r="A1063" t="s">
        <v>342</v>
      </c>
      <c r="B1063" t="s">
        <v>32</v>
      </c>
      <c r="C1063">
        <v>56</v>
      </c>
      <c r="D1063" t="s">
        <v>78</v>
      </c>
      <c r="E1063" t="s">
        <v>39</v>
      </c>
      <c r="F1063" t="s">
        <v>54</v>
      </c>
      <c r="G1063">
        <v>82367</v>
      </c>
      <c r="H1063">
        <v>1</v>
      </c>
      <c r="I1063">
        <v>1</v>
      </c>
      <c r="J1063">
        <v>0</v>
      </c>
      <c r="K1063">
        <v>0</v>
      </c>
      <c r="L1063" t="s">
        <v>55</v>
      </c>
      <c r="M1063" t="s">
        <v>122</v>
      </c>
      <c r="N1063" t="s">
        <v>56</v>
      </c>
      <c r="O1063" t="s">
        <v>44</v>
      </c>
      <c r="P1063" t="s">
        <v>68</v>
      </c>
      <c r="Q1063" t="s">
        <v>45</v>
      </c>
      <c r="R1063">
        <v>1</v>
      </c>
      <c r="S1063">
        <v>1</v>
      </c>
      <c r="T1063">
        <v>0</v>
      </c>
      <c r="U1063">
        <v>0</v>
      </c>
      <c r="V1063">
        <v>1</v>
      </c>
      <c r="W1063">
        <v>0</v>
      </c>
      <c r="X1063">
        <v>1</v>
      </c>
      <c r="Y1063">
        <v>1</v>
      </c>
      <c r="Z1063">
        <v>1</v>
      </c>
      <c r="AA1063">
        <v>0</v>
      </c>
      <c r="AB1063">
        <v>0</v>
      </c>
      <c r="AC1063">
        <v>0</v>
      </c>
      <c r="AD1063">
        <v>0</v>
      </c>
      <c r="AE1063">
        <v>0</v>
      </c>
    </row>
    <row r="1064" spans="1:31" x14ac:dyDescent="0.2">
      <c r="A1064" t="s">
        <v>342</v>
      </c>
      <c r="B1064" t="s">
        <v>32</v>
      </c>
      <c r="C1064">
        <v>56</v>
      </c>
      <c r="D1064" t="s">
        <v>78</v>
      </c>
      <c r="E1064" t="s">
        <v>52</v>
      </c>
      <c r="F1064" t="s">
        <v>53</v>
      </c>
      <c r="G1064">
        <v>77941</v>
      </c>
      <c r="H1064">
        <v>0</v>
      </c>
      <c r="I1064">
        <v>1</v>
      </c>
      <c r="J1064">
        <v>0</v>
      </c>
      <c r="K1064">
        <v>0</v>
      </c>
      <c r="L1064" t="s">
        <v>35</v>
      </c>
      <c r="M1064" t="s">
        <v>35</v>
      </c>
      <c r="N1064" t="s">
        <v>35</v>
      </c>
      <c r="O1064" t="s">
        <v>35</v>
      </c>
      <c r="P1064" t="s">
        <v>35</v>
      </c>
      <c r="Q1064" t="s">
        <v>35</v>
      </c>
      <c r="R1064" t="s">
        <v>35</v>
      </c>
      <c r="S1064">
        <v>1</v>
      </c>
      <c r="T1064">
        <v>0</v>
      </c>
      <c r="U1064">
        <v>0</v>
      </c>
      <c r="V1064">
        <v>1</v>
      </c>
      <c r="W1064">
        <v>0</v>
      </c>
      <c r="X1064">
        <v>1</v>
      </c>
      <c r="Y1064">
        <v>1</v>
      </c>
      <c r="Z1064">
        <v>1</v>
      </c>
      <c r="AA1064">
        <v>0</v>
      </c>
      <c r="AB1064">
        <v>0</v>
      </c>
      <c r="AC1064">
        <v>0</v>
      </c>
      <c r="AD1064">
        <v>0</v>
      </c>
      <c r="AE1064">
        <v>0</v>
      </c>
    </row>
    <row r="1065" spans="1:31" x14ac:dyDescent="0.2">
      <c r="A1065" t="s">
        <v>342</v>
      </c>
      <c r="B1065" t="s">
        <v>32</v>
      </c>
      <c r="C1065">
        <v>56</v>
      </c>
      <c r="D1065" t="s">
        <v>78</v>
      </c>
      <c r="E1065" t="s">
        <v>75</v>
      </c>
      <c r="F1065" t="s">
        <v>35</v>
      </c>
      <c r="G1065">
        <v>80757</v>
      </c>
      <c r="H1065" t="s">
        <v>343</v>
      </c>
      <c r="I1065" t="s">
        <v>344</v>
      </c>
      <c r="J1065" t="s">
        <v>345</v>
      </c>
      <c r="K1065" t="s">
        <v>35</v>
      </c>
      <c r="L1065" t="s">
        <v>35</v>
      </c>
      <c r="M1065" t="s">
        <v>35</v>
      </c>
      <c r="N1065" t="s">
        <v>35</v>
      </c>
      <c r="O1065" t="s">
        <v>35</v>
      </c>
      <c r="P1065" t="s">
        <v>35</v>
      </c>
      <c r="Q1065" t="s">
        <v>35</v>
      </c>
      <c r="R1065" t="s">
        <v>35</v>
      </c>
      <c r="S1065" t="s">
        <v>35</v>
      </c>
      <c r="T1065" t="s">
        <v>35</v>
      </c>
      <c r="U1065" t="s">
        <v>35</v>
      </c>
      <c r="V1065" t="s">
        <v>35</v>
      </c>
      <c r="W1065" t="s">
        <v>35</v>
      </c>
      <c r="X1065" t="s">
        <v>35</v>
      </c>
      <c r="Y1065" t="s">
        <v>35</v>
      </c>
      <c r="Z1065" t="s">
        <v>35</v>
      </c>
      <c r="AA1065" t="s">
        <v>35</v>
      </c>
      <c r="AB1065" t="s">
        <v>35</v>
      </c>
      <c r="AC1065" t="s">
        <v>35</v>
      </c>
      <c r="AD1065" t="s">
        <v>35</v>
      </c>
      <c r="AE1065" t="s">
        <v>35</v>
      </c>
    </row>
    <row r="1066" spans="1:31" x14ac:dyDescent="0.2">
      <c r="A1066" t="s">
        <v>346</v>
      </c>
      <c r="B1066" t="s">
        <v>102</v>
      </c>
      <c r="C1066">
        <v>32</v>
      </c>
      <c r="D1066" t="s">
        <v>33</v>
      </c>
      <c r="E1066" t="s">
        <v>34</v>
      </c>
      <c r="F1066" t="s">
        <v>35</v>
      </c>
      <c r="G1066">
        <v>89649</v>
      </c>
      <c r="H1066" t="s">
        <v>35</v>
      </c>
      <c r="I1066" t="s">
        <v>35</v>
      </c>
      <c r="J1066" t="s">
        <v>35</v>
      </c>
      <c r="K1066" t="s">
        <v>35</v>
      </c>
      <c r="L1066" t="s">
        <v>35</v>
      </c>
      <c r="M1066" t="s">
        <v>35</v>
      </c>
      <c r="N1066" t="s">
        <v>35</v>
      </c>
      <c r="O1066" t="s">
        <v>35</v>
      </c>
      <c r="P1066" t="s">
        <v>35</v>
      </c>
      <c r="Q1066" t="s">
        <v>35</v>
      </c>
      <c r="R1066" t="s">
        <v>35</v>
      </c>
      <c r="S1066" t="s">
        <v>35</v>
      </c>
      <c r="T1066" t="s">
        <v>35</v>
      </c>
      <c r="U1066" t="s">
        <v>35</v>
      </c>
      <c r="V1066" t="s">
        <v>35</v>
      </c>
      <c r="W1066" t="s">
        <v>35</v>
      </c>
      <c r="X1066" t="s">
        <v>35</v>
      </c>
      <c r="Y1066" t="s">
        <v>35</v>
      </c>
      <c r="Z1066" t="s">
        <v>35</v>
      </c>
      <c r="AA1066" t="s">
        <v>35</v>
      </c>
      <c r="AB1066" t="s">
        <v>35</v>
      </c>
      <c r="AC1066" t="s">
        <v>35</v>
      </c>
      <c r="AD1066" t="s">
        <v>35</v>
      </c>
      <c r="AE1066" t="s">
        <v>35</v>
      </c>
    </row>
    <row r="1067" spans="1:31" x14ac:dyDescent="0.2">
      <c r="A1067" t="s">
        <v>346</v>
      </c>
      <c r="B1067" t="s">
        <v>102</v>
      </c>
      <c r="C1067">
        <v>32</v>
      </c>
      <c r="D1067" t="s">
        <v>33</v>
      </c>
      <c r="E1067" t="s">
        <v>36</v>
      </c>
      <c r="F1067" t="s">
        <v>38</v>
      </c>
      <c r="G1067">
        <v>30037</v>
      </c>
      <c r="H1067">
        <v>0</v>
      </c>
      <c r="I1067">
        <v>0</v>
      </c>
      <c r="J1067">
        <v>0</v>
      </c>
      <c r="K1067">
        <v>1</v>
      </c>
      <c r="L1067" t="s">
        <v>35</v>
      </c>
      <c r="M1067" t="s">
        <v>35</v>
      </c>
      <c r="N1067" t="s">
        <v>35</v>
      </c>
      <c r="O1067" t="s">
        <v>35</v>
      </c>
      <c r="P1067" t="s">
        <v>35</v>
      </c>
      <c r="Q1067" t="s">
        <v>35</v>
      </c>
      <c r="R1067" t="s">
        <v>35</v>
      </c>
      <c r="S1067" t="s">
        <v>35</v>
      </c>
      <c r="T1067" t="s">
        <v>35</v>
      </c>
      <c r="U1067" t="s">
        <v>35</v>
      </c>
      <c r="V1067" t="s">
        <v>35</v>
      </c>
      <c r="W1067" t="s">
        <v>35</v>
      </c>
      <c r="X1067" t="s">
        <v>35</v>
      </c>
      <c r="Y1067" t="s">
        <v>35</v>
      </c>
      <c r="Z1067" t="s">
        <v>35</v>
      </c>
      <c r="AA1067" t="s">
        <v>35</v>
      </c>
      <c r="AB1067" t="s">
        <v>35</v>
      </c>
      <c r="AC1067" t="s">
        <v>35</v>
      </c>
      <c r="AD1067" t="s">
        <v>35</v>
      </c>
      <c r="AE1067" t="s">
        <v>35</v>
      </c>
    </row>
    <row r="1068" spans="1:31" x14ac:dyDescent="0.2">
      <c r="A1068" t="s">
        <v>346</v>
      </c>
      <c r="B1068" t="s">
        <v>102</v>
      </c>
      <c r="C1068">
        <v>32</v>
      </c>
      <c r="D1068" t="s">
        <v>33</v>
      </c>
      <c r="E1068" t="s">
        <v>36</v>
      </c>
      <c r="F1068" t="s">
        <v>37</v>
      </c>
      <c r="G1068">
        <v>29027</v>
      </c>
      <c r="H1068">
        <v>0</v>
      </c>
      <c r="I1068">
        <v>0</v>
      </c>
      <c r="J1068">
        <v>1</v>
      </c>
      <c r="K1068">
        <v>0</v>
      </c>
      <c r="L1068" t="s">
        <v>35</v>
      </c>
      <c r="M1068" t="s">
        <v>35</v>
      </c>
      <c r="N1068" t="s">
        <v>35</v>
      </c>
      <c r="O1068" t="s">
        <v>35</v>
      </c>
      <c r="P1068" t="s">
        <v>35</v>
      </c>
      <c r="Q1068" t="s">
        <v>35</v>
      </c>
      <c r="R1068" t="s">
        <v>35</v>
      </c>
      <c r="S1068" t="s">
        <v>35</v>
      </c>
      <c r="T1068" t="s">
        <v>35</v>
      </c>
      <c r="U1068" t="s">
        <v>35</v>
      </c>
      <c r="V1068" t="s">
        <v>35</v>
      </c>
      <c r="W1068" t="s">
        <v>35</v>
      </c>
      <c r="X1068" t="s">
        <v>35</v>
      </c>
      <c r="Y1068" t="s">
        <v>35</v>
      </c>
      <c r="Z1068" t="s">
        <v>35</v>
      </c>
      <c r="AA1068" t="s">
        <v>35</v>
      </c>
      <c r="AB1068" t="s">
        <v>35</v>
      </c>
      <c r="AC1068" t="s">
        <v>35</v>
      </c>
      <c r="AD1068" t="s">
        <v>35</v>
      </c>
      <c r="AE1068" t="s">
        <v>35</v>
      </c>
    </row>
    <row r="1069" spans="1:31" x14ac:dyDescent="0.2">
      <c r="A1069" t="s">
        <v>346</v>
      </c>
      <c r="B1069" t="s">
        <v>102</v>
      </c>
      <c r="C1069">
        <v>32</v>
      </c>
      <c r="D1069" t="s">
        <v>33</v>
      </c>
      <c r="E1069" t="s">
        <v>39</v>
      </c>
      <c r="F1069" t="s">
        <v>54</v>
      </c>
      <c r="G1069">
        <v>45184</v>
      </c>
      <c r="H1069">
        <v>1</v>
      </c>
      <c r="I1069">
        <v>0</v>
      </c>
      <c r="J1069">
        <v>1</v>
      </c>
      <c r="K1069">
        <v>0</v>
      </c>
      <c r="L1069" t="s">
        <v>89</v>
      </c>
      <c r="M1069" t="s">
        <v>56</v>
      </c>
      <c r="N1069" t="s">
        <v>55</v>
      </c>
      <c r="O1069" t="s">
        <v>67</v>
      </c>
      <c r="P1069" t="s">
        <v>45</v>
      </c>
      <c r="Q1069" t="s">
        <v>44</v>
      </c>
      <c r="R1069">
        <v>0</v>
      </c>
      <c r="S1069">
        <v>1</v>
      </c>
      <c r="T1069">
        <v>0</v>
      </c>
      <c r="U1069">
        <v>1</v>
      </c>
      <c r="V1069">
        <v>1</v>
      </c>
      <c r="W1069">
        <v>0</v>
      </c>
      <c r="X1069">
        <v>1</v>
      </c>
      <c r="Y1069">
        <v>0</v>
      </c>
      <c r="Z1069">
        <v>1</v>
      </c>
      <c r="AA1069">
        <v>0</v>
      </c>
      <c r="AB1069">
        <v>1</v>
      </c>
      <c r="AC1069">
        <v>0</v>
      </c>
      <c r="AD1069">
        <v>0</v>
      </c>
      <c r="AE1069">
        <v>0</v>
      </c>
    </row>
    <row r="1070" spans="1:31" x14ac:dyDescent="0.2">
      <c r="A1070" t="s">
        <v>346</v>
      </c>
      <c r="B1070" t="s">
        <v>102</v>
      </c>
      <c r="C1070">
        <v>32</v>
      </c>
      <c r="D1070" t="s">
        <v>33</v>
      </c>
      <c r="E1070" t="s">
        <v>52</v>
      </c>
      <c r="F1070" t="s">
        <v>58</v>
      </c>
      <c r="G1070">
        <v>21483</v>
      </c>
      <c r="H1070">
        <v>1</v>
      </c>
      <c r="I1070">
        <v>1</v>
      </c>
      <c r="J1070">
        <v>0</v>
      </c>
      <c r="K1070">
        <v>0</v>
      </c>
      <c r="L1070" t="s">
        <v>35</v>
      </c>
      <c r="M1070" t="s">
        <v>35</v>
      </c>
      <c r="N1070" t="s">
        <v>35</v>
      </c>
      <c r="O1070" t="s">
        <v>35</v>
      </c>
      <c r="P1070" t="s">
        <v>35</v>
      </c>
      <c r="Q1070" t="s">
        <v>35</v>
      </c>
      <c r="R1070" t="s">
        <v>35</v>
      </c>
      <c r="S1070">
        <v>1</v>
      </c>
      <c r="T1070">
        <v>0</v>
      </c>
      <c r="U1070">
        <v>1</v>
      </c>
      <c r="V1070">
        <v>1</v>
      </c>
      <c r="W1070">
        <v>0</v>
      </c>
      <c r="X1070">
        <v>1</v>
      </c>
      <c r="Y1070">
        <v>0</v>
      </c>
      <c r="Z1070">
        <v>1</v>
      </c>
      <c r="AA1070">
        <v>0</v>
      </c>
      <c r="AB1070">
        <v>1</v>
      </c>
      <c r="AC1070">
        <v>0</v>
      </c>
      <c r="AD1070">
        <v>0</v>
      </c>
      <c r="AE1070">
        <v>0</v>
      </c>
    </row>
    <row r="1071" spans="1:31" x14ac:dyDescent="0.2">
      <c r="A1071" t="s">
        <v>346</v>
      </c>
      <c r="B1071" t="s">
        <v>102</v>
      </c>
      <c r="C1071">
        <v>32</v>
      </c>
      <c r="D1071" t="s">
        <v>33</v>
      </c>
      <c r="E1071" t="s">
        <v>39</v>
      </c>
      <c r="F1071" t="s">
        <v>63</v>
      </c>
      <c r="G1071">
        <v>26630</v>
      </c>
      <c r="H1071">
        <v>0</v>
      </c>
      <c r="I1071">
        <v>0</v>
      </c>
      <c r="J1071">
        <v>1</v>
      </c>
      <c r="K1071">
        <v>0</v>
      </c>
      <c r="L1071" t="s">
        <v>66</v>
      </c>
      <c r="M1071" t="s">
        <v>84</v>
      </c>
      <c r="N1071" t="s">
        <v>90</v>
      </c>
      <c r="O1071" t="s">
        <v>45</v>
      </c>
      <c r="P1071" t="s">
        <v>46</v>
      </c>
      <c r="Q1071" t="s">
        <v>44</v>
      </c>
      <c r="R1071">
        <v>0</v>
      </c>
      <c r="S1071">
        <v>1</v>
      </c>
      <c r="T1071">
        <v>1</v>
      </c>
      <c r="U1071">
        <v>0</v>
      </c>
      <c r="V1071">
        <v>1</v>
      </c>
      <c r="W1071">
        <v>0</v>
      </c>
      <c r="X1071">
        <v>1</v>
      </c>
      <c r="Y1071">
        <v>0</v>
      </c>
      <c r="Z1071">
        <v>1</v>
      </c>
      <c r="AA1071">
        <v>0</v>
      </c>
      <c r="AB1071">
        <v>0</v>
      </c>
      <c r="AC1071">
        <v>0</v>
      </c>
      <c r="AD1071">
        <v>0</v>
      </c>
      <c r="AE1071">
        <v>0</v>
      </c>
    </row>
    <row r="1072" spans="1:31" x14ac:dyDescent="0.2">
      <c r="A1072" t="s">
        <v>346</v>
      </c>
      <c r="B1072" t="s">
        <v>102</v>
      </c>
      <c r="C1072">
        <v>32</v>
      </c>
      <c r="D1072" t="s">
        <v>33</v>
      </c>
      <c r="E1072" t="s">
        <v>39</v>
      </c>
      <c r="F1072" t="s">
        <v>59</v>
      </c>
      <c r="G1072">
        <v>26493</v>
      </c>
      <c r="H1072">
        <v>0</v>
      </c>
      <c r="I1072">
        <v>0</v>
      </c>
      <c r="J1072">
        <v>1</v>
      </c>
      <c r="K1072">
        <v>0</v>
      </c>
      <c r="L1072" t="s">
        <v>62</v>
      </c>
      <c r="M1072" t="s">
        <v>61</v>
      </c>
      <c r="N1072" t="s">
        <v>99</v>
      </c>
      <c r="O1072" t="s">
        <v>45</v>
      </c>
      <c r="P1072" t="s">
        <v>46</v>
      </c>
      <c r="Q1072" t="s">
        <v>67</v>
      </c>
      <c r="R1072">
        <v>0</v>
      </c>
      <c r="S1072">
        <v>0</v>
      </c>
      <c r="T1072">
        <v>1</v>
      </c>
      <c r="U1072">
        <v>1</v>
      </c>
      <c r="V1072">
        <v>1</v>
      </c>
      <c r="W1072">
        <v>0</v>
      </c>
      <c r="X1072">
        <v>1</v>
      </c>
      <c r="Y1072">
        <v>0</v>
      </c>
      <c r="Z1072">
        <v>0</v>
      </c>
      <c r="AA1072">
        <v>0</v>
      </c>
      <c r="AB1072">
        <v>1</v>
      </c>
      <c r="AC1072">
        <v>0</v>
      </c>
      <c r="AD1072">
        <v>0</v>
      </c>
      <c r="AE1072">
        <v>0</v>
      </c>
    </row>
    <row r="1073" spans="1:31" x14ac:dyDescent="0.2">
      <c r="A1073" t="s">
        <v>346</v>
      </c>
      <c r="B1073" t="s">
        <v>102</v>
      </c>
      <c r="C1073">
        <v>32</v>
      </c>
      <c r="D1073" t="s">
        <v>33</v>
      </c>
      <c r="E1073" t="s">
        <v>52</v>
      </c>
      <c r="F1073" t="s">
        <v>53</v>
      </c>
      <c r="G1073">
        <v>34594</v>
      </c>
      <c r="H1073">
        <v>0</v>
      </c>
      <c r="I1073">
        <v>0</v>
      </c>
      <c r="J1073">
        <v>0</v>
      </c>
      <c r="K1073">
        <v>1</v>
      </c>
      <c r="L1073" t="s">
        <v>35</v>
      </c>
      <c r="M1073" t="s">
        <v>35</v>
      </c>
      <c r="N1073" t="s">
        <v>35</v>
      </c>
      <c r="O1073" t="s">
        <v>35</v>
      </c>
      <c r="P1073" t="s">
        <v>35</v>
      </c>
      <c r="Q1073" t="s">
        <v>35</v>
      </c>
      <c r="R1073" t="s">
        <v>35</v>
      </c>
      <c r="S1073">
        <v>0</v>
      </c>
      <c r="T1073">
        <v>1</v>
      </c>
      <c r="U1073">
        <v>1</v>
      </c>
      <c r="V1073">
        <v>1</v>
      </c>
      <c r="W1073">
        <v>0</v>
      </c>
      <c r="X1073">
        <v>1</v>
      </c>
      <c r="Y1073">
        <v>0</v>
      </c>
      <c r="Z1073">
        <v>0</v>
      </c>
      <c r="AA1073">
        <v>0</v>
      </c>
      <c r="AB1073">
        <v>1</v>
      </c>
      <c r="AC1073">
        <v>0</v>
      </c>
      <c r="AD1073">
        <v>0</v>
      </c>
      <c r="AE1073">
        <v>0</v>
      </c>
    </row>
    <row r="1074" spans="1:31" x14ac:dyDescent="0.2">
      <c r="A1074" t="s">
        <v>346</v>
      </c>
      <c r="B1074" t="s">
        <v>102</v>
      </c>
      <c r="C1074">
        <v>32</v>
      </c>
      <c r="D1074" t="s">
        <v>33</v>
      </c>
      <c r="E1074" t="s">
        <v>39</v>
      </c>
      <c r="F1074" t="s">
        <v>40</v>
      </c>
      <c r="G1074">
        <v>19325</v>
      </c>
      <c r="H1074">
        <v>0</v>
      </c>
      <c r="I1074">
        <v>0</v>
      </c>
      <c r="J1074">
        <v>1</v>
      </c>
      <c r="K1074">
        <v>0</v>
      </c>
      <c r="L1074" t="s">
        <v>42</v>
      </c>
      <c r="M1074" t="s">
        <v>43</v>
      </c>
      <c r="N1074" t="s">
        <v>81</v>
      </c>
      <c r="O1074" t="s">
        <v>45</v>
      </c>
      <c r="P1074" t="s">
        <v>46</v>
      </c>
      <c r="Q1074" t="s">
        <v>67</v>
      </c>
      <c r="R1074">
        <v>0</v>
      </c>
      <c r="S1074">
        <v>0</v>
      </c>
      <c r="T1074">
        <v>1</v>
      </c>
      <c r="U1074">
        <v>1</v>
      </c>
      <c r="V1074">
        <v>1</v>
      </c>
      <c r="W1074">
        <v>0</v>
      </c>
      <c r="X1074">
        <v>1</v>
      </c>
      <c r="Y1074">
        <v>0</v>
      </c>
      <c r="Z1074">
        <v>0</v>
      </c>
      <c r="AA1074">
        <v>0</v>
      </c>
      <c r="AB1074">
        <v>1</v>
      </c>
      <c r="AC1074">
        <v>0</v>
      </c>
      <c r="AD1074">
        <v>0</v>
      </c>
      <c r="AE1074">
        <v>0</v>
      </c>
    </row>
    <row r="1075" spans="1:31" x14ac:dyDescent="0.2">
      <c r="A1075" t="s">
        <v>346</v>
      </c>
      <c r="B1075" t="s">
        <v>102</v>
      </c>
      <c r="C1075">
        <v>32</v>
      </c>
      <c r="D1075" t="s">
        <v>33</v>
      </c>
      <c r="E1075" t="s">
        <v>52</v>
      </c>
      <c r="F1075" t="s">
        <v>69</v>
      </c>
      <c r="G1075">
        <v>49395</v>
      </c>
      <c r="H1075">
        <v>0</v>
      </c>
      <c r="I1075">
        <v>1</v>
      </c>
      <c r="J1075">
        <v>0</v>
      </c>
      <c r="K1075">
        <v>0</v>
      </c>
      <c r="L1075" t="s">
        <v>35</v>
      </c>
      <c r="M1075" t="s">
        <v>35</v>
      </c>
      <c r="N1075" t="s">
        <v>35</v>
      </c>
      <c r="O1075" t="s">
        <v>35</v>
      </c>
      <c r="P1075" t="s">
        <v>35</v>
      </c>
      <c r="Q1075" t="s">
        <v>35</v>
      </c>
      <c r="R1075" t="s">
        <v>35</v>
      </c>
      <c r="S1075">
        <v>0</v>
      </c>
      <c r="T1075">
        <v>1</v>
      </c>
      <c r="U1075">
        <v>1</v>
      </c>
      <c r="V1075">
        <v>1</v>
      </c>
      <c r="W1075">
        <v>0</v>
      </c>
      <c r="X1075">
        <v>1</v>
      </c>
      <c r="Y1075">
        <v>0</v>
      </c>
      <c r="Z1075">
        <v>0</v>
      </c>
      <c r="AA1075">
        <v>0</v>
      </c>
      <c r="AB1075">
        <v>1</v>
      </c>
      <c r="AC1075">
        <v>0</v>
      </c>
      <c r="AD1075">
        <v>0</v>
      </c>
      <c r="AE1075">
        <v>0</v>
      </c>
    </row>
    <row r="1076" spans="1:31" x14ac:dyDescent="0.2">
      <c r="A1076" t="s">
        <v>346</v>
      </c>
      <c r="B1076" t="s">
        <v>102</v>
      </c>
      <c r="C1076">
        <v>32</v>
      </c>
      <c r="D1076" t="s">
        <v>33</v>
      </c>
      <c r="E1076" t="s">
        <v>39</v>
      </c>
      <c r="F1076" t="s">
        <v>47</v>
      </c>
      <c r="G1076">
        <v>20119</v>
      </c>
      <c r="H1076">
        <v>1</v>
      </c>
      <c r="I1076">
        <v>0</v>
      </c>
      <c r="J1076">
        <v>0</v>
      </c>
      <c r="K1076">
        <v>0</v>
      </c>
      <c r="L1076" t="s">
        <v>80</v>
      </c>
      <c r="M1076" t="s">
        <v>95</v>
      </c>
      <c r="N1076" t="s">
        <v>50</v>
      </c>
      <c r="O1076" t="s">
        <v>67</v>
      </c>
      <c r="P1076" t="s">
        <v>68</v>
      </c>
      <c r="Q1076" t="s">
        <v>51</v>
      </c>
      <c r="R1076">
        <v>1</v>
      </c>
      <c r="S1076">
        <v>0</v>
      </c>
      <c r="T1076">
        <v>0</v>
      </c>
      <c r="U1076">
        <v>1</v>
      </c>
      <c r="V1076">
        <v>0</v>
      </c>
      <c r="W1076">
        <v>0</v>
      </c>
      <c r="X1076">
        <v>1</v>
      </c>
      <c r="Y1076">
        <v>0</v>
      </c>
      <c r="Z1076">
        <v>0</v>
      </c>
      <c r="AA1076">
        <v>0</v>
      </c>
      <c r="AB1076">
        <v>1</v>
      </c>
      <c r="AC1076">
        <v>0</v>
      </c>
      <c r="AD1076">
        <v>0</v>
      </c>
      <c r="AE1076">
        <v>0</v>
      </c>
    </row>
    <row r="1077" spans="1:31" x14ac:dyDescent="0.2">
      <c r="A1077" t="s">
        <v>346</v>
      </c>
      <c r="B1077" t="s">
        <v>102</v>
      </c>
      <c r="C1077">
        <v>32</v>
      </c>
      <c r="D1077" t="s">
        <v>33</v>
      </c>
      <c r="E1077" t="s">
        <v>39</v>
      </c>
      <c r="F1077" t="s">
        <v>70</v>
      </c>
      <c r="G1077">
        <v>38254</v>
      </c>
      <c r="H1077">
        <v>1</v>
      </c>
      <c r="I1077">
        <v>1</v>
      </c>
      <c r="J1077">
        <v>0</v>
      </c>
      <c r="K1077">
        <v>0</v>
      </c>
      <c r="L1077" t="s">
        <v>72</v>
      </c>
      <c r="M1077" t="s">
        <v>73</v>
      </c>
      <c r="N1077" t="s">
        <v>71</v>
      </c>
      <c r="O1077" t="s">
        <v>67</v>
      </c>
      <c r="P1077" t="s">
        <v>44</v>
      </c>
      <c r="Q1077" t="s">
        <v>45</v>
      </c>
      <c r="R1077">
        <v>0</v>
      </c>
      <c r="S1077">
        <v>1</v>
      </c>
      <c r="T1077">
        <v>0</v>
      </c>
      <c r="U1077">
        <v>1</v>
      </c>
      <c r="V1077">
        <v>1</v>
      </c>
      <c r="W1077">
        <v>0</v>
      </c>
      <c r="X1077">
        <v>1</v>
      </c>
      <c r="Y1077">
        <v>0</v>
      </c>
      <c r="Z1077">
        <v>1</v>
      </c>
      <c r="AA1077">
        <v>0</v>
      </c>
      <c r="AB1077">
        <v>1</v>
      </c>
      <c r="AC1077">
        <v>0</v>
      </c>
      <c r="AD1077">
        <v>0</v>
      </c>
      <c r="AE1077">
        <v>0</v>
      </c>
    </row>
    <row r="1078" spans="1:31" x14ac:dyDescent="0.2">
      <c r="A1078" t="s">
        <v>346</v>
      </c>
      <c r="B1078" t="s">
        <v>102</v>
      </c>
      <c r="C1078">
        <v>32</v>
      </c>
      <c r="D1078" t="s">
        <v>33</v>
      </c>
      <c r="E1078" t="s">
        <v>52</v>
      </c>
      <c r="F1078" t="s">
        <v>74</v>
      </c>
      <c r="G1078">
        <v>35914</v>
      </c>
      <c r="H1078">
        <v>1</v>
      </c>
      <c r="I1078">
        <v>1</v>
      </c>
      <c r="J1078">
        <v>0</v>
      </c>
      <c r="K1078">
        <v>0</v>
      </c>
      <c r="L1078" t="s">
        <v>35</v>
      </c>
      <c r="M1078" t="s">
        <v>35</v>
      </c>
      <c r="N1078" t="s">
        <v>35</v>
      </c>
      <c r="O1078" t="s">
        <v>35</v>
      </c>
      <c r="P1078" t="s">
        <v>35</v>
      </c>
      <c r="Q1078" t="s">
        <v>35</v>
      </c>
      <c r="R1078" t="s">
        <v>35</v>
      </c>
      <c r="S1078">
        <v>1</v>
      </c>
      <c r="T1078">
        <v>0</v>
      </c>
      <c r="U1078">
        <v>1</v>
      </c>
      <c r="V1078">
        <v>1</v>
      </c>
      <c r="W1078">
        <v>0</v>
      </c>
      <c r="X1078">
        <v>1</v>
      </c>
      <c r="Y1078">
        <v>0</v>
      </c>
      <c r="Z1078">
        <v>1</v>
      </c>
      <c r="AA1078">
        <v>0</v>
      </c>
      <c r="AB1078">
        <v>1</v>
      </c>
      <c r="AC1078">
        <v>0</v>
      </c>
      <c r="AD1078">
        <v>0</v>
      </c>
      <c r="AE1078">
        <v>0</v>
      </c>
    </row>
    <row r="1079" spans="1:31" x14ac:dyDescent="0.2">
      <c r="A1079" t="s">
        <v>346</v>
      </c>
      <c r="B1079" t="s">
        <v>102</v>
      </c>
      <c r="C1079">
        <v>32</v>
      </c>
      <c r="D1079" t="s">
        <v>33</v>
      </c>
      <c r="E1079" t="s">
        <v>75</v>
      </c>
      <c r="F1079" t="s">
        <v>35</v>
      </c>
      <c r="G1079">
        <v>81060</v>
      </c>
      <c r="H1079" t="s">
        <v>347</v>
      </c>
      <c r="I1079" t="s">
        <v>348</v>
      </c>
      <c r="J1079" t="s">
        <v>181</v>
      </c>
      <c r="K1079" t="s">
        <v>35</v>
      </c>
      <c r="L1079" t="s">
        <v>35</v>
      </c>
      <c r="M1079" t="s">
        <v>35</v>
      </c>
      <c r="N1079" t="s">
        <v>35</v>
      </c>
      <c r="O1079" t="s">
        <v>35</v>
      </c>
      <c r="P1079" t="s">
        <v>35</v>
      </c>
      <c r="Q1079" t="s">
        <v>35</v>
      </c>
      <c r="R1079" t="s">
        <v>35</v>
      </c>
      <c r="S1079" t="s">
        <v>35</v>
      </c>
      <c r="T1079" t="s">
        <v>35</v>
      </c>
      <c r="U1079" t="s">
        <v>35</v>
      </c>
      <c r="V1079" t="s">
        <v>35</v>
      </c>
      <c r="W1079" t="s">
        <v>35</v>
      </c>
      <c r="X1079" t="s">
        <v>35</v>
      </c>
      <c r="Y1079" t="s">
        <v>35</v>
      </c>
      <c r="Z1079" t="s">
        <v>35</v>
      </c>
      <c r="AA1079" t="s">
        <v>35</v>
      </c>
      <c r="AB1079" t="s">
        <v>35</v>
      </c>
      <c r="AC1079" t="s">
        <v>35</v>
      </c>
      <c r="AD1079" t="s">
        <v>35</v>
      </c>
      <c r="AE1079" t="s">
        <v>35</v>
      </c>
    </row>
    <row r="1080" spans="1:31" x14ac:dyDescent="0.2">
      <c r="A1080" t="s">
        <v>349</v>
      </c>
      <c r="B1080" t="s">
        <v>207</v>
      </c>
      <c r="C1080">
        <v>28</v>
      </c>
      <c r="D1080" t="s">
        <v>350</v>
      </c>
      <c r="E1080" t="s">
        <v>34</v>
      </c>
      <c r="F1080" t="s">
        <v>35</v>
      </c>
      <c r="G1080">
        <v>1378718</v>
      </c>
      <c r="H1080" t="s">
        <v>35</v>
      </c>
      <c r="I1080" t="s">
        <v>35</v>
      </c>
      <c r="J1080" t="s">
        <v>35</v>
      </c>
      <c r="K1080" t="s">
        <v>35</v>
      </c>
      <c r="L1080" t="s">
        <v>35</v>
      </c>
      <c r="M1080" t="s">
        <v>35</v>
      </c>
      <c r="N1080" t="s">
        <v>35</v>
      </c>
      <c r="O1080" t="s">
        <v>35</v>
      </c>
      <c r="P1080" t="s">
        <v>35</v>
      </c>
      <c r="Q1080" t="s">
        <v>35</v>
      </c>
      <c r="R1080" t="s">
        <v>35</v>
      </c>
      <c r="S1080" t="s">
        <v>35</v>
      </c>
      <c r="T1080" t="s">
        <v>35</v>
      </c>
      <c r="U1080" t="s">
        <v>35</v>
      </c>
      <c r="V1080" t="s">
        <v>35</v>
      </c>
      <c r="W1080" t="s">
        <v>35</v>
      </c>
      <c r="X1080" t="s">
        <v>35</v>
      </c>
      <c r="Y1080" t="s">
        <v>35</v>
      </c>
      <c r="Z1080" t="s">
        <v>35</v>
      </c>
      <c r="AA1080" t="s">
        <v>35</v>
      </c>
      <c r="AB1080" t="s">
        <v>35</v>
      </c>
      <c r="AC1080" t="s">
        <v>35</v>
      </c>
      <c r="AD1080" t="s">
        <v>35</v>
      </c>
      <c r="AE1080" t="s">
        <v>35</v>
      </c>
    </row>
    <row r="1081" spans="1:31" x14ac:dyDescent="0.2">
      <c r="A1081" t="s">
        <v>349</v>
      </c>
      <c r="B1081" t="s">
        <v>207</v>
      </c>
      <c r="C1081">
        <v>28</v>
      </c>
      <c r="D1081" t="s">
        <v>350</v>
      </c>
      <c r="E1081" t="s">
        <v>36</v>
      </c>
      <c r="F1081" t="s">
        <v>38</v>
      </c>
      <c r="G1081">
        <v>78254</v>
      </c>
      <c r="H1081">
        <v>0</v>
      </c>
      <c r="I1081">
        <v>1</v>
      </c>
      <c r="J1081">
        <v>1</v>
      </c>
      <c r="K1081">
        <v>0</v>
      </c>
      <c r="L1081" t="s">
        <v>35</v>
      </c>
      <c r="M1081" t="s">
        <v>35</v>
      </c>
      <c r="N1081" t="s">
        <v>35</v>
      </c>
      <c r="O1081" t="s">
        <v>35</v>
      </c>
      <c r="P1081" t="s">
        <v>35</v>
      </c>
      <c r="Q1081" t="s">
        <v>35</v>
      </c>
      <c r="R1081" t="s">
        <v>35</v>
      </c>
      <c r="S1081" t="s">
        <v>35</v>
      </c>
      <c r="T1081" t="s">
        <v>35</v>
      </c>
      <c r="U1081" t="s">
        <v>35</v>
      </c>
      <c r="V1081" t="s">
        <v>35</v>
      </c>
      <c r="W1081" t="s">
        <v>35</v>
      </c>
      <c r="X1081" t="s">
        <v>35</v>
      </c>
      <c r="Y1081" t="s">
        <v>35</v>
      </c>
      <c r="Z1081" t="s">
        <v>35</v>
      </c>
      <c r="AA1081" t="s">
        <v>35</v>
      </c>
      <c r="AB1081" t="s">
        <v>35</v>
      </c>
      <c r="AC1081" t="s">
        <v>35</v>
      </c>
      <c r="AD1081" t="s">
        <v>35</v>
      </c>
      <c r="AE1081" t="s">
        <v>35</v>
      </c>
    </row>
    <row r="1082" spans="1:31" x14ac:dyDescent="0.2">
      <c r="A1082" t="s">
        <v>349</v>
      </c>
      <c r="B1082" t="s">
        <v>207</v>
      </c>
      <c r="C1082">
        <v>28</v>
      </c>
      <c r="D1082" t="s">
        <v>350</v>
      </c>
      <c r="E1082" t="s">
        <v>36</v>
      </c>
      <c r="F1082" t="s">
        <v>37</v>
      </c>
      <c r="G1082">
        <v>114814</v>
      </c>
      <c r="H1082">
        <v>0</v>
      </c>
      <c r="I1082">
        <v>0</v>
      </c>
      <c r="J1082">
        <v>1</v>
      </c>
      <c r="K1082">
        <v>0</v>
      </c>
      <c r="L1082" t="s">
        <v>35</v>
      </c>
      <c r="M1082" t="s">
        <v>35</v>
      </c>
      <c r="N1082" t="s">
        <v>35</v>
      </c>
      <c r="O1082" t="s">
        <v>35</v>
      </c>
      <c r="P1082" t="s">
        <v>35</v>
      </c>
      <c r="Q1082" t="s">
        <v>35</v>
      </c>
      <c r="R1082" t="s">
        <v>35</v>
      </c>
      <c r="S1082" t="s">
        <v>35</v>
      </c>
      <c r="T1082" t="s">
        <v>35</v>
      </c>
      <c r="U1082" t="s">
        <v>35</v>
      </c>
      <c r="V1082" t="s">
        <v>35</v>
      </c>
      <c r="W1082" t="s">
        <v>35</v>
      </c>
      <c r="X1082" t="s">
        <v>35</v>
      </c>
      <c r="Y1082" t="s">
        <v>35</v>
      </c>
      <c r="Z1082" t="s">
        <v>35</v>
      </c>
      <c r="AA1082" t="s">
        <v>35</v>
      </c>
      <c r="AB1082" t="s">
        <v>35</v>
      </c>
      <c r="AC1082" t="s">
        <v>35</v>
      </c>
      <c r="AD1082" t="s">
        <v>35</v>
      </c>
      <c r="AE1082" t="s">
        <v>35</v>
      </c>
    </row>
    <row r="1083" spans="1:31" x14ac:dyDescent="0.2">
      <c r="A1083" t="s">
        <v>349</v>
      </c>
      <c r="B1083" t="s">
        <v>207</v>
      </c>
      <c r="C1083">
        <v>28</v>
      </c>
      <c r="D1083" t="s">
        <v>350</v>
      </c>
      <c r="E1083" t="s">
        <v>39</v>
      </c>
      <c r="F1083" t="s">
        <v>54</v>
      </c>
      <c r="G1083">
        <v>209759</v>
      </c>
      <c r="H1083">
        <v>1</v>
      </c>
      <c r="I1083">
        <v>0</v>
      </c>
      <c r="J1083">
        <v>0</v>
      </c>
      <c r="K1083">
        <v>0</v>
      </c>
      <c r="L1083" t="s">
        <v>56</v>
      </c>
      <c r="M1083" t="s">
        <v>88</v>
      </c>
      <c r="N1083" t="s">
        <v>89</v>
      </c>
      <c r="O1083" t="s">
        <v>45</v>
      </c>
      <c r="P1083" t="s">
        <v>51</v>
      </c>
      <c r="Q1083" t="s">
        <v>67</v>
      </c>
      <c r="R1083">
        <v>0</v>
      </c>
      <c r="S1083">
        <v>0</v>
      </c>
      <c r="T1083">
        <v>0</v>
      </c>
      <c r="U1083">
        <v>1</v>
      </c>
      <c r="V1083">
        <v>1</v>
      </c>
      <c r="W1083">
        <v>0</v>
      </c>
      <c r="X1083">
        <v>1</v>
      </c>
      <c r="Y1083">
        <v>0</v>
      </c>
      <c r="Z1083">
        <v>0</v>
      </c>
      <c r="AA1083">
        <v>0</v>
      </c>
      <c r="AB1083">
        <v>0</v>
      </c>
      <c r="AC1083">
        <v>1</v>
      </c>
      <c r="AD1083">
        <v>0</v>
      </c>
      <c r="AE1083">
        <v>0</v>
      </c>
    </row>
    <row r="1084" spans="1:31" x14ac:dyDescent="0.2">
      <c r="A1084" t="s">
        <v>349</v>
      </c>
      <c r="B1084" t="s">
        <v>207</v>
      </c>
      <c r="C1084">
        <v>28</v>
      </c>
      <c r="D1084" t="s">
        <v>350</v>
      </c>
      <c r="E1084" t="s">
        <v>39</v>
      </c>
      <c r="F1084" t="s">
        <v>47</v>
      </c>
      <c r="G1084">
        <v>41612</v>
      </c>
      <c r="H1084">
        <v>0</v>
      </c>
      <c r="I1084">
        <v>0</v>
      </c>
      <c r="J1084">
        <v>0</v>
      </c>
      <c r="K1084">
        <v>1</v>
      </c>
      <c r="L1084" t="s">
        <v>50</v>
      </c>
      <c r="M1084" t="s">
        <v>79</v>
      </c>
      <c r="N1084" t="s">
        <v>95</v>
      </c>
      <c r="O1084" t="s">
        <v>51</v>
      </c>
      <c r="P1084" t="s">
        <v>45</v>
      </c>
      <c r="Q1084" t="s">
        <v>68</v>
      </c>
      <c r="R1084">
        <v>1</v>
      </c>
      <c r="S1084">
        <v>0</v>
      </c>
      <c r="T1084">
        <v>0</v>
      </c>
      <c r="U1084">
        <v>0</v>
      </c>
      <c r="V1084">
        <v>1</v>
      </c>
      <c r="W1084">
        <v>0</v>
      </c>
      <c r="X1084">
        <v>1</v>
      </c>
      <c r="Y1084">
        <v>0</v>
      </c>
      <c r="Z1084">
        <v>0</v>
      </c>
      <c r="AA1084">
        <v>0</v>
      </c>
      <c r="AB1084">
        <v>0</v>
      </c>
      <c r="AC1084">
        <v>0</v>
      </c>
      <c r="AD1084">
        <v>0</v>
      </c>
      <c r="AE1084">
        <v>1</v>
      </c>
    </row>
    <row r="1085" spans="1:31" x14ac:dyDescent="0.2">
      <c r="A1085" t="s">
        <v>349</v>
      </c>
      <c r="B1085" t="s">
        <v>207</v>
      </c>
      <c r="C1085">
        <v>28</v>
      </c>
      <c r="D1085" t="s">
        <v>350</v>
      </c>
      <c r="E1085" t="s">
        <v>52</v>
      </c>
      <c r="F1085" t="s">
        <v>58</v>
      </c>
      <c r="G1085">
        <v>24679</v>
      </c>
      <c r="H1085">
        <v>1</v>
      </c>
      <c r="I1085">
        <v>1</v>
      </c>
      <c r="J1085">
        <v>0</v>
      </c>
      <c r="K1085">
        <v>0</v>
      </c>
      <c r="L1085" t="s">
        <v>35</v>
      </c>
      <c r="M1085" t="s">
        <v>35</v>
      </c>
      <c r="N1085" t="s">
        <v>35</v>
      </c>
      <c r="O1085" t="s">
        <v>35</v>
      </c>
      <c r="P1085" t="s">
        <v>35</v>
      </c>
      <c r="Q1085" t="s">
        <v>35</v>
      </c>
      <c r="R1085" t="s">
        <v>35</v>
      </c>
      <c r="S1085">
        <v>0</v>
      </c>
      <c r="T1085">
        <v>0</v>
      </c>
      <c r="U1085">
        <v>0</v>
      </c>
      <c r="V1085">
        <v>1</v>
      </c>
      <c r="W1085">
        <v>0</v>
      </c>
      <c r="X1085">
        <v>1</v>
      </c>
      <c r="Y1085">
        <v>0</v>
      </c>
      <c r="Z1085">
        <v>0</v>
      </c>
      <c r="AA1085">
        <v>0</v>
      </c>
      <c r="AB1085">
        <v>0</v>
      </c>
      <c r="AC1085">
        <v>0</v>
      </c>
      <c r="AD1085">
        <v>0</v>
      </c>
      <c r="AE1085">
        <v>1</v>
      </c>
    </row>
    <row r="1086" spans="1:31" x14ac:dyDescent="0.2">
      <c r="A1086" t="s">
        <v>349</v>
      </c>
      <c r="B1086" t="s">
        <v>207</v>
      </c>
      <c r="C1086">
        <v>28</v>
      </c>
      <c r="D1086" t="s">
        <v>350</v>
      </c>
      <c r="E1086" t="s">
        <v>39</v>
      </c>
      <c r="F1086" t="s">
        <v>40</v>
      </c>
      <c r="G1086">
        <v>10313</v>
      </c>
      <c r="H1086">
        <v>0</v>
      </c>
      <c r="I1086">
        <v>1</v>
      </c>
      <c r="J1086">
        <v>0</v>
      </c>
      <c r="K1086">
        <v>0</v>
      </c>
      <c r="L1086" t="s">
        <v>91</v>
      </c>
      <c r="M1086" t="s">
        <v>41</v>
      </c>
      <c r="N1086" t="s">
        <v>81</v>
      </c>
      <c r="O1086" t="s">
        <v>51</v>
      </c>
      <c r="P1086" t="s">
        <v>44</v>
      </c>
      <c r="Q1086" t="s">
        <v>67</v>
      </c>
      <c r="R1086">
        <v>0</v>
      </c>
      <c r="S1086">
        <v>1</v>
      </c>
      <c r="T1086">
        <v>0</v>
      </c>
      <c r="U1086">
        <v>1</v>
      </c>
      <c r="V1086">
        <v>0</v>
      </c>
      <c r="W1086">
        <v>0</v>
      </c>
      <c r="X1086">
        <v>1</v>
      </c>
      <c r="Y1086">
        <v>0</v>
      </c>
      <c r="Z1086">
        <v>1</v>
      </c>
      <c r="AA1086">
        <v>0</v>
      </c>
      <c r="AB1086">
        <v>0</v>
      </c>
      <c r="AC1086">
        <v>0</v>
      </c>
      <c r="AD1086">
        <v>0</v>
      </c>
      <c r="AE1086">
        <v>0</v>
      </c>
    </row>
    <row r="1087" spans="1:31" x14ac:dyDescent="0.2">
      <c r="A1087" t="s">
        <v>349</v>
      </c>
      <c r="B1087" t="s">
        <v>207</v>
      </c>
      <c r="C1087">
        <v>28</v>
      </c>
      <c r="D1087" t="s">
        <v>350</v>
      </c>
      <c r="E1087" t="s">
        <v>39</v>
      </c>
      <c r="F1087" t="s">
        <v>59</v>
      </c>
      <c r="G1087">
        <v>16117</v>
      </c>
      <c r="H1087">
        <v>0</v>
      </c>
      <c r="I1087">
        <v>0</v>
      </c>
      <c r="J1087">
        <v>1</v>
      </c>
      <c r="K1087">
        <v>0</v>
      </c>
      <c r="L1087" t="s">
        <v>99</v>
      </c>
      <c r="M1087" t="s">
        <v>62</v>
      </c>
      <c r="N1087" t="s">
        <v>60</v>
      </c>
      <c r="O1087" t="s">
        <v>67</v>
      </c>
      <c r="P1087" t="s">
        <v>45</v>
      </c>
      <c r="Q1087" t="s">
        <v>44</v>
      </c>
      <c r="R1087">
        <v>0</v>
      </c>
      <c r="S1087">
        <v>1</v>
      </c>
      <c r="T1087">
        <v>0</v>
      </c>
      <c r="U1087">
        <v>1</v>
      </c>
      <c r="V1087">
        <v>1</v>
      </c>
      <c r="W1087">
        <v>0</v>
      </c>
      <c r="X1087">
        <v>1</v>
      </c>
      <c r="Y1087">
        <v>0</v>
      </c>
      <c r="Z1087">
        <v>1</v>
      </c>
      <c r="AA1087">
        <v>0</v>
      </c>
      <c r="AB1087">
        <v>0</v>
      </c>
      <c r="AC1087">
        <v>0</v>
      </c>
      <c r="AD1087">
        <v>0</v>
      </c>
      <c r="AE1087">
        <v>0</v>
      </c>
    </row>
    <row r="1088" spans="1:31" x14ac:dyDescent="0.2">
      <c r="A1088" t="s">
        <v>349</v>
      </c>
      <c r="B1088" t="s">
        <v>207</v>
      </c>
      <c r="C1088">
        <v>28</v>
      </c>
      <c r="D1088" t="s">
        <v>350</v>
      </c>
      <c r="E1088" t="s">
        <v>52</v>
      </c>
      <c r="F1088" t="s">
        <v>53</v>
      </c>
      <c r="G1088">
        <v>34055</v>
      </c>
      <c r="H1088">
        <v>1</v>
      </c>
      <c r="I1088">
        <v>0</v>
      </c>
      <c r="J1088">
        <v>1</v>
      </c>
      <c r="K1088">
        <v>0</v>
      </c>
      <c r="L1088" t="s">
        <v>35</v>
      </c>
      <c r="M1088" t="s">
        <v>35</v>
      </c>
      <c r="N1088" t="s">
        <v>35</v>
      </c>
      <c r="O1088" t="s">
        <v>35</v>
      </c>
      <c r="P1088" t="s">
        <v>35</v>
      </c>
      <c r="Q1088" t="s">
        <v>35</v>
      </c>
      <c r="R1088" t="s">
        <v>35</v>
      </c>
      <c r="S1088">
        <v>1</v>
      </c>
      <c r="T1088">
        <v>0</v>
      </c>
      <c r="U1088">
        <v>1</v>
      </c>
      <c r="V1088">
        <v>1</v>
      </c>
      <c r="W1088">
        <v>0</v>
      </c>
      <c r="X1088">
        <v>1</v>
      </c>
      <c r="Y1088">
        <v>0</v>
      </c>
      <c r="Z1088">
        <v>1</v>
      </c>
      <c r="AA1088">
        <v>0</v>
      </c>
      <c r="AB1088">
        <v>0</v>
      </c>
      <c r="AC1088">
        <v>0</v>
      </c>
      <c r="AD1088">
        <v>0</v>
      </c>
      <c r="AE1088">
        <v>0</v>
      </c>
    </row>
    <row r="1089" spans="1:31" x14ac:dyDescent="0.2">
      <c r="A1089" t="s">
        <v>349</v>
      </c>
      <c r="B1089" t="s">
        <v>207</v>
      </c>
      <c r="C1089">
        <v>28</v>
      </c>
      <c r="D1089" t="s">
        <v>350</v>
      </c>
      <c r="E1089" t="s">
        <v>39</v>
      </c>
      <c r="F1089" t="s">
        <v>70</v>
      </c>
      <c r="G1089">
        <v>8366</v>
      </c>
      <c r="H1089">
        <v>1</v>
      </c>
      <c r="I1089">
        <v>0</v>
      </c>
      <c r="J1089">
        <v>0</v>
      </c>
      <c r="K1089">
        <v>0</v>
      </c>
      <c r="L1089" t="s">
        <v>92</v>
      </c>
      <c r="M1089" t="s">
        <v>72</v>
      </c>
      <c r="N1089" t="s">
        <v>93</v>
      </c>
      <c r="O1089" t="s">
        <v>51</v>
      </c>
      <c r="P1089" t="s">
        <v>67</v>
      </c>
      <c r="Q1089" t="s">
        <v>68</v>
      </c>
      <c r="R1089">
        <v>1</v>
      </c>
      <c r="S1089">
        <v>0</v>
      </c>
      <c r="T1089">
        <v>0</v>
      </c>
      <c r="U1089">
        <v>1</v>
      </c>
      <c r="V1089">
        <v>0</v>
      </c>
      <c r="W1089">
        <v>0</v>
      </c>
      <c r="X1089">
        <v>1</v>
      </c>
      <c r="Y1089">
        <v>0</v>
      </c>
      <c r="Z1089">
        <v>0</v>
      </c>
      <c r="AA1089">
        <v>0</v>
      </c>
      <c r="AB1089">
        <v>0</v>
      </c>
      <c r="AC1089">
        <v>0</v>
      </c>
      <c r="AD1089">
        <v>0</v>
      </c>
      <c r="AE1089">
        <v>0</v>
      </c>
    </row>
    <row r="1090" spans="1:31" x14ac:dyDescent="0.2">
      <c r="A1090" t="s">
        <v>349</v>
      </c>
      <c r="B1090" t="s">
        <v>207</v>
      </c>
      <c r="C1090">
        <v>28</v>
      </c>
      <c r="D1090" t="s">
        <v>350</v>
      </c>
      <c r="E1090" t="s">
        <v>52</v>
      </c>
      <c r="F1090" t="s">
        <v>74</v>
      </c>
      <c r="G1090">
        <v>39548</v>
      </c>
      <c r="H1090">
        <v>1</v>
      </c>
      <c r="I1090">
        <v>0</v>
      </c>
      <c r="J1090">
        <v>0</v>
      </c>
      <c r="K1090">
        <v>0</v>
      </c>
      <c r="L1090" t="s">
        <v>35</v>
      </c>
      <c r="M1090" t="s">
        <v>35</v>
      </c>
      <c r="N1090" t="s">
        <v>35</v>
      </c>
      <c r="O1090" t="s">
        <v>35</v>
      </c>
      <c r="P1090" t="s">
        <v>35</v>
      </c>
      <c r="Q1090" t="s">
        <v>35</v>
      </c>
      <c r="R1090" t="s">
        <v>35</v>
      </c>
      <c r="S1090">
        <v>0</v>
      </c>
      <c r="T1090">
        <v>0</v>
      </c>
      <c r="U1090">
        <v>1</v>
      </c>
      <c r="V1090">
        <v>0</v>
      </c>
      <c r="W1090">
        <v>0</v>
      </c>
      <c r="X1090">
        <v>1</v>
      </c>
      <c r="Y1090">
        <v>0</v>
      </c>
      <c r="Z1090">
        <v>0</v>
      </c>
      <c r="AA1090">
        <v>0</v>
      </c>
      <c r="AB1090">
        <v>0</v>
      </c>
      <c r="AC1090">
        <v>0</v>
      </c>
      <c r="AD1090">
        <v>0</v>
      </c>
      <c r="AE1090">
        <v>0</v>
      </c>
    </row>
    <row r="1091" spans="1:31" x14ac:dyDescent="0.2">
      <c r="A1091" t="s">
        <v>349</v>
      </c>
      <c r="B1091" t="s">
        <v>207</v>
      </c>
      <c r="C1091">
        <v>28</v>
      </c>
      <c r="D1091" t="s">
        <v>350</v>
      </c>
      <c r="E1091" t="s">
        <v>39</v>
      </c>
      <c r="F1091" t="s">
        <v>63</v>
      </c>
      <c r="G1091">
        <v>8252</v>
      </c>
      <c r="H1091">
        <v>1</v>
      </c>
      <c r="I1091">
        <v>0</v>
      </c>
      <c r="J1091">
        <v>0</v>
      </c>
      <c r="K1091">
        <v>0</v>
      </c>
      <c r="L1091" t="s">
        <v>84</v>
      </c>
      <c r="M1091" t="s">
        <v>66</v>
      </c>
      <c r="N1091" t="s">
        <v>64</v>
      </c>
      <c r="O1091" t="s">
        <v>46</v>
      </c>
      <c r="P1091" t="s">
        <v>45</v>
      </c>
      <c r="Q1091" t="s">
        <v>67</v>
      </c>
      <c r="R1091">
        <v>0</v>
      </c>
      <c r="S1091">
        <v>0</v>
      </c>
      <c r="T1091">
        <v>1</v>
      </c>
      <c r="U1091">
        <v>1</v>
      </c>
      <c r="V1091">
        <v>1</v>
      </c>
      <c r="W1091">
        <v>0</v>
      </c>
      <c r="X1091">
        <v>1</v>
      </c>
      <c r="Y1091">
        <v>0</v>
      </c>
      <c r="Z1091">
        <v>0</v>
      </c>
      <c r="AA1091">
        <v>1</v>
      </c>
      <c r="AB1091">
        <v>0</v>
      </c>
      <c r="AC1091">
        <v>0</v>
      </c>
      <c r="AD1091">
        <v>0</v>
      </c>
      <c r="AE1091">
        <v>0</v>
      </c>
    </row>
    <row r="1092" spans="1:31" x14ac:dyDescent="0.2">
      <c r="A1092" t="s">
        <v>349</v>
      </c>
      <c r="B1092" t="s">
        <v>207</v>
      </c>
      <c r="C1092">
        <v>28</v>
      </c>
      <c r="D1092" t="s">
        <v>350</v>
      </c>
      <c r="E1092" t="s">
        <v>52</v>
      </c>
      <c r="F1092" t="s">
        <v>69</v>
      </c>
      <c r="G1092">
        <v>9007</v>
      </c>
      <c r="H1092">
        <v>0</v>
      </c>
      <c r="I1092">
        <v>1</v>
      </c>
      <c r="J1092">
        <v>0</v>
      </c>
      <c r="K1092">
        <v>0</v>
      </c>
      <c r="L1092" t="s">
        <v>35</v>
      </c>
      <c r="M1092" t="s">
        <v>35</v>
      </c>
      <c r="N1092" t="s">
        <v>35</v>
      </c>
      <c r="O1092" t="s">
        <v>35</v>
      </c>
      <c r="P1092" t="s">
        <v>35</v>
      </c>
      <c r="Q1092" t="s">
        <v>35</v>
      </c>
      <c r="R1092" t="s">
        <v>35</v>
      </c>
      <c r="S1092">
        <v>0</v>
      </c>
      <c r="T1092">
        <v>1</v>
      </c>
      <c r="U1092">
        <v>1</v>
      </c>
      <c r="V1092">
        <v>1</v>
      </c>
      <c r="W1092">
        <v>0</v>
      </c>
      <c r="X1092">
        <v>1</v>
      </c>
      <c r="Y1092">
        <v>0</v>
      </c>
      <c r="Z1092">
        <v>0</v>
      </c>
      <c r="AA1092">
        <v>1</v>
      </c>
      <c r="AB1092">
        <v>0</v>
      </c>
      <c r="AC1092">
        <v>0</v>
      </c>
      <c r="AD1092">
        <v>0</v>
      </c>
      <c r="AE1092">
        <v>0</v>
      </c>
    </row>
    <row r="1093" spans="1:31" x14ac:dyDescent="0.2">
      <c r="A1093" t="s">
        <v>349</v>
      </c>
      <c r="B1093" t="s">
        <v>207</v>
      </c>
      <c r="C1093">
        <v>28</v>
      </c>
      <c r="D1093" t="s">
        <v>350</v>
      </c>
      <c r="E1093" t="s">
        <v>75</v>
      </c>
      <c r="F1093" t="s">
        <v>35</v>
      </c>
      <c r="G1093">
        <v>93440</v>
      </c>
      <c r="H1093" t="s">
        <v>351</v>
      </c>
      <c r="I1093" t="s">
        <v>100</v>
      </c>
      <c r="J1093" t="s">
        <v>76</v>
      </c>
      <c r="K1093" t="s">
        <v>35</v>
      </c>
      <c r="L1093" t="s">
        <v>35</v>
      </c>
      <c r="M1093" t="s">
        <v>35</v>
      </c>
      <c r="N1093" t="s">
        <v>35</v>
      </c>
      <c r="O1093" t="s">
        <v>35</v>
      </c>
      <c r="P1093" t="s">
        <v>35</v>
      </c>
      <c r="Q1093" t="s">
        <v>35</v>
      </c>
      <c r="R1093" t="s">
        <v>35</v>
      </c>
      <c r="S1093" t="s">
        <v>35</v>
      </c>
      <c r="T1093" t="s">
        <v>35</v>
      </c>
      <c r="U1093" t="s">
        <v>35</v>
      </c>
      <c r="V1093" t="s">
        <v>35</v>
      </c>
      <c r="W1093" t="s">
        <v>35</v>
      </c>
      <c r="X1093" t="s">
        <v>35</v>
      </c>
      <c r="Y1093" t="s">
        <v>35</v>
      </c>
      <c r="Z1093" t="s">
        <v>35</v>
      </c>
      <c r="AA1093" t="s">
        <v>35</v>
      </c>
      <c r="AB1093" t="s">
        <v>35</v>
      </c>
      <c r="AC1093" t="s">
        <v>35</v>
      </c>
      <c r="AD1093" t="s">
        <v>35</v>
      </c>
      <c r="AE1093" t="s">
        <v>35</v>
      </c>
    </row>
    <row r="1094" spans="1:31" x14ac:dyDescent="0.2">
      <c r="A1094" t="s">
        <v>352</v>
      </c>
      <c r="B1094" t="s">
        <v>102</v>
      </c>
      <c r="C1094">
        <v>32</v>
      </c>
      <c r="D1094" t="s">
        <v>78</v>
      </c>
      <c r="E1094" t="s">
        <v>34</v>
      </c>
      <c r="F1094" t="s">
        <v>35</v>
      </c>
      <c r="G1094">
        <v>74052</v>
      </c>
      <c r="H1094" t="s">
        <v>35</v>
      </c>
      <c r="I1094" t="s">
        <v>35</v>
      </c>
      <c r="J1094" t="s">
        <v>35</v>
      </c>
      <c r="K1094" t="s">
        <v>35</v>
      </c>
      <c r="L1094" t="s">
        <v>35</v>
      </c>
      <c r="M1094" t="s">
        <v>35</v>
      </c>
      <c r="N1094" t="s">
        <v>35</v>
      </c>
      <c r="O1094" t="s">
        <v>35</v>
      </c>
      <c r="P1094" t="s">
        <v>35</v>
      </c>
      <c r="Q1094" t="s">
        <v>35</v>
      </c>
      <c r="R1094" t="s">
        <v>35</v>
      </c>
      <c r="S1094" t="s">
        <v>35</v>
      </c>
      <c r="T1094" t="s">
        <v>35</v>
      </c>
      <c r="U1094" t="s">
        <v>35</v>
      </c>
      <c r="V1094" t="s">
        <v>35</v>
      </c>
      <c r="W1094" t="s">
        <v>35</v>
      </c>
      <c r="X1094" t="s">
        <v>35</v>
      </c>
      <c r="Y1094" t="s">
        <v>35</v>
      </c>
      <c r="Z1094" t="s">
        <v>35</v>
      </c>
      <c r="AA1094" t="s">
        <v>35</v>
      </c>
      <c r="AB1094" t="s">
        <v>35</v>
      </c>
      <c r="AC1094" t="s">
        <v>35</v>
      </c>
      <c r="AD1094" t="s">
        <v>35</v>
      </c>
      <c r="AE1094" t="s">
        <v>35</v>
      </c>
    </row>
    <row r="1095" spans="1:31" x14ac:dyDescent="0.2">
      <c r="A1095" t="s">
        <v>352</v>
      </c>
      <c r="B1095" t="s">
        <v>102</v>
      </c>
      <c r="C1095">
        <v>32</v>
      </c>
      <c r="D1095" t="s">
        <v>78</v>
      </c>
      <c r="E1095" t="s">
        <v>36</v>
      </c>
      <c r="F1095" t="s">
        <v>38</v>
      </c>
      <c r="G1095">
        <v>35808</v>
      </c>
      <c r="H1095">
        <v>0</v>
      </c>
      <c r="I1095">
        <v>0</v>
      </c>
      <c r="J1095">
        <v>0</v>
      </c>
      <c r="K1095">
        <v>1</v>
      </c>
      <c r="L1095" t="s">
        <v>35</v>
      </c>
      <c r="M1095" t="s">
        <v>35</v>
      </c>
      <c r="N1095" t="s">
        <v>35</v>
      </c>
      <c r="O1095" t="s">
        <v>35</v>
      </c>
      <c r="P1095" t="s">
        <v>35</v>
      </c>
      <c r="Q1095" t="s">
        <v>35</v>
      </c>
      <c r="R1095" t="s">
        <v>35</v>
      </c>
      <c r="S1095" t="s">
        <v>35</v>
      </c>
      <c r="T1095" t="s">
        <v>35</v>
      </c>
      <c r="U1095" t="s">
        <v>35</v>
      </c>
      <c r="V1095" t="s">
        <v>35</v>
      </c>
      <c r="W1095" t="s">
        <v>35</v>
      </c>
      <c r="X1095" t="s">
        <v>35</v>
      </c>
      <c r="Y1095" t="s">
        <v>35</v>
      </c>
      <c r="Z1095" t="s">
        <v>35</v>
      </c>
      <c r="AA1095" t="s">
        <v>35</v>
      </c>
      <c r="AB1095" t="s">
        <v>35</v>
      </c>
      <c r="AC1095" t="s">
        <v>35</v>
      </c>
      <c r="AD1095" t="s">
        <v>35</v>
      </c>
      <c r="AE1095" t="s">
        <v>35</v>
      </c>
    </row>
    <row r="1096" spans="1:31" x14ac:dyDescent="0.2">
      <c r="A1096" t="s">
        <v>352</v>
      </c>
      <c r="B1096" t="s">
        <v>102</v>
      </c>
      <c r="C1096">
        <v>32</v>
      </c>
      <c r="D1096" t="s">
        <v>78</v>
      </c>
      <c r="E1096" t="s">
        <v>36</v>
      </c>
      <c r="F1096" t="s">
        <v>37</v>
      </c>
      <c r="G1096">
        <v>37824</v>
      </c>
      <c r="H1096">
        <v>0</v>
      </c>
      <c r="I1096">
        <v>0</v>
      </c>
      <c r="J1096">
        <v>1</v>
      </c>
      <c r="K1096">
        <v>0</v>
      </c>
      <c r="L1096" t="s">
        <v>35</v>
      </c>
      <c r="M1096" t="s">
        <v>35</v>
      </c>
      <c r="N1096" t="s">
        <v>35</v>
      </c>
      <c r="O1096" t="s">
        <v>35</v>
      </c>
      <c r="P1096" t="s">
        <v>35</v>
      </c>
      <c r="Q1096" t="s">
        <v>35</v>
      </c>
      <c r="R1096" t="s">
        <v>35</v>
      </c>
      <c r="S1096" t="s">
        <v>35</v>
      </c>
      <c r="T1096" t="s">
        <v>35</v>
      </c>
      <c r="U1096" t="s">
        <v>35</v>
      </c>
      <c r="V1096" t="s">
        <v>35</v>
      </c>
      <c r="W1096" t="s">
        <v>35</v>
      </c>
      <c r="X1096" t="s">
        <v>35</v>
      </c>
      <c r="Y1096" t="s">
        <v>35</v>
      </c>
      <c r="Z1096" t="s">
        <v>35</v>
      </c>
      <c r="AA1096" t="s">
        <v>35</v>
      </c>
      <c r="AB1096" t="s">
        <v>35</v>
      </c>
      <c r="AC1096" t="s">
        <v>35</v>
      </c>
      <c r="AD1096" t="s">
        <v>35</v>
      </c>
      <c r="AE1096" t="s">
        <v>35</v>
      </c>
    </row>
    <row r="1097" spans="1:31" x14ac:dyDescent="0.2">
      <c r="A1097" t="s">
        <v>352</v>
      </c>
      <c r="B1097" t="s">
        <v>102</v>
      </c>
      <c r="C1097">
        <v>32</v>
      </c>
      <c r="D1097" t="s">
        <v>78</v>
      </c>
      <c r="E1097" t="s">
        <v>39</v>
      </c>
      <c r="F1097" t="s">
        <v>40</v>
      </c>
      <c r="G1097">
        <v>55769</v>
      </c>
      <c r="H1097">
        <v>0</v>
      </c>
      <c r="I1097">
        <v>0</v>
      </c>
      <c r="J1097">
        <v>0</v>
      </c>
      <c r="K1097">
        <v>1</v>
      </c>
      <c r="L1097" t="s">
        <v>81</v>
      </c>
      <c r="M1097" t="s">
        <v>43</v>
      </c>
      <c r="N1097" t="s">
        <v>42</v>
      </c>
      <c r="O1097" t="s">
        <v>67</v>
      </c>
      <c r="P1097" t="s">
        <v>46</v>
      </c>
      <c r="Q1097" t="s">
        <v>45</v>
      </c>
      <c r="R1097">
        <v>0</v>
      </c>
      <c r="S1097">
        <v>0</v>
      </c>
      <c r="T1097">
        <v>1</v>
      </c>
      <c r="U1097">
        <v>1</v>
      </c>
      <c r="V1097">
        <v>1</v>
      </c>
      <c r="W1097">
        <v>0</v>
      </c>
      <c r="X1097">
        <v>1</v>
      </c>
      <c r="Y1097">
        <v>0</v>
      </c>
      <c r="Z1097">
        <v>0</v>
      </c>
      <c r="AA1097">
        <v>0</v>
      </c>
      <c r="AB1097">
        <v>0</v>
      </c>
      <c r="AC1097">
        <v>0</v>
      </c>
      <c r="AD1097">
        <v>0</v>
      </c>
      <c r="AE1097">
        <v>1</v>
      </c>
    </row>
    <row r="1098" spans="1:31" x14ac:dyDescent="0.2">
      <c r="A1098" t="s">
        <v>352</v>
      </c>
      <c r="B1098" t="s">
        <v>102</v>
      </c>
      <c r="C1098">
        <v>32</v>
      </c>
      <c r="D1098" t="s">
        <v>78</v>
      </c>
      <c r="E1098" t="s">
        <v>39</v>
      </c>
      <c r="F1098" t="s">
        <v>54</v>
      </c>
      <c r="G1098">
        <v>27325</v>
      </c>
      <c r="H1098">
        <v>0</v>
      </c>
      <c r="I1098">
        <v>1</v>
      </c>
      <c r="J1098">
        <v>0</v>
      </c>
      <c r="K1098">
        <v>0</v>
      </c>
      <c r="L1098" t="s">
        <v>57</v>
      </c>
      <c r="M1098" t="s">
        <v>55</v>
      </c>
      <c r="N1098" t="s">
        <v>88</v>
      </c>
      <c r="O1098" t="s">
        <v>46</v>
      </c>
      <c r="P1098" t="s">
        <v>44</v>
      </c>
      <c r="Q1098" t="s">
        <v>51</v>
      </c>
      <c r="R1098">
        <v>0</v>
      </c>
      <c r="S1098">
        <v>1</v>
      </c>
      <c r="T1098">
        <v>1</v>
      </c>
      <c r="U1098">
        <v>0</v>
      </c>
      <c r="V1098">
        <v>0</v>
      </c>
      <c r="W1098">
        <v>0</v>
      </c>
      <c r="X1098">
        <v>1</v>
      </c>
      <c r="Y1098">
        <v>0</v>
      </c>
      <c r="Z1098">
        <v>1</v>
      </c>
      <c r="AA1098">
        <v>0</v>
      </c>
      <c r="AB1098">
        <v>0</v>
      </c>
      <c r="AC1098">
        <v>0</v>
      </c>
      <c r="AD1098">
        <v>0</v>
      </c>
      <c r="AE1098">
        <v>0</v>
      </c>
    </row>
    <row r="1099" spans="1:31" x14ac:dyDescent="0.2">
      <c r="A1099" t="s">
        <v>352</v>
      </c>
      <c r="B1099" t="s">
        <v>102</v>
      </c>
      <c r="C1099">
        <v>32</v>
      </c>
      <c r="D1099" t="s">
        <v>78</v>
      </c>
      <c r="E1099" t="s">
        <v>52</v>
      </c>
      <c r="F1099" t="s">
        <v>69</v>
      </c>
      <c r="G1099">
        <v>31164</v>
      </c>
      <c r="H1099">
        <v>0</v>
      </c>
      <c r="I1099">
        <v>0</v>
      </c>
      <c r="J1099">
        <v>1</v>
      </c>
      <c r="K1099">
        <v>0</v>
      </c>
      <c r="L1099" t="s">
        <v>35</v>
      </c>
      <c r="M1099" t="s">
        <v>35</v>
      </c>
      <c r="N1099" t="s">
        <v>35</v>
      </c>
      <c r="O1099" t="s">
        <v>35</v>
      </c>
      <c r="P1099" t="s">
        <v>35</v>
      </c>
      <c r="Q1099" t="s">
        <v>35</v>
      </c>
      <c r="R1099" t="s">
        <v>35</v>
      </c>
      <c r="S1099">
        <v>1</v>
      </c>
      <c r="T1099">
        <v>1</v>
      </c>
      <c r="U1099">
        <v>0</v>
      </c>
      <c r="V1099">
        <v>0</v>
      </c>
      <c r="W1099">
        <v>0</v>
      </c>
      <c r="X1099">
        <v>1</v>
      </c>
      <c r="Y1099">
        <v>0</v>
      </c>
      <c r="Z1099">
        <v>1</v>
      </c>
      <c r="AA1099">
        <v>0</v>
      </c>
      <c r="AB1099">
        <v>0</v>
      </c>
      <c r="AC1099">
        <v>0</v>
      </c>
      <c r="AD1099">
        <v>0</v>
      </c>
      <c r="AE1099">
        <v>0</v>
      </c>
    </row>
    <row r="1100" spans="1:31" x14ac:dyDescent="0.2">
      <c r="A1100" t="s">
        <v>352</v>
      </c>
      <c r="B1100" t="s">
        <v>102</v>
      </c>
      <c r="C1100">
        <v>32</v>
      </c>
      <c r="D1100" t="s">
        <v>78</v>
      </c>
      <c r="E1100" t="s">
        <v>39</v>
      </c>
      <c r="F1100" t="s">
        <v>47</v>
      </c>
      <c r="G1100">
        <v>25655</v>
      </c>
      <c r="H1100">
        <v>0</v>
      </c>
      <c r="I1100">
        <v>1</v>
      </c>
      <c r="J1100">
        <v>0</v>
      </c>
      <c r="K1100">
        <v>0</v>
      </c>
      <c r="L1100" t="s">
        <v>48</v>
      </c>
      <c r="M1100" t="s">
        <v>49</v>
      </c>
      <c r="N1100" t="s">
        <v>50</v>
      </c>
      <c r="O1100" t="s">
        <v>46</v>
      </c>
      <c r="P1100" t="s">
        <v>44</v>
      </c>
      <c r="Q1100" t="s">
        <v>51</v>
      </c>
      <c r="R1100">
        <v>0</v>
      </c>
      <c r="S1100">
        <v>1</v>
      </c>
      <c r="T1100">
        <v>1</v>
      </c>
      <c r="U1100">
        <v>0</v>
      </c>
      <c r="V1100">
        <v>0</v>
      </c>
      <c r="W1100">
        <v>0</v>
      </c>
      <c r="X1100">
        <v>1</v>
      </c>
      <c r="Y1100">
        <v>0</v>
      </c>
      <c r="Z1100">
        <v>1</v>
      </c>
      <c r="AA1100">
        <v>0</v>
      </c>
      <c r="AB1100">
        <v>0</v>
      </c>
      <c r="AC1100">
        <v>0</v>
      </c>
      <c r="AD1100">
        <v>0</v>
      </c>
      <c r="AE1100">
        <v>0</v>
      </c>
    </row>
    <row r="1101" spans="1:31" x14ac:dyDescent="0.2">
      <c r="A1101" t="s">
        <v>352</v>
      </c>
      <c r="B1101" t="s">
        <v>102</v>
      </c>
      <c r="C1101">
        <v>32</v>
      </c>
      <c r="D1101" t="s">
        <v>78</v>
      </c>
      <c r="E1101" t="s">
        <v>39</v>
      </c>
      <c r="F1101" t="s">
        <v>70</v>
      </c>
      <c r="G1101">
        <v>23382</v>
      </c>
      <c r="H1101">
        <v>0</v>
      </c>
      <c r="I1101">
        <v>1</v>
      </c>
      <c r="J1101">
        <v>1</v>
      </c>
      <c r="K1101">
        <v>0</v>
      </c>
      <c r="L1101" t="s">
        <v>86</v>
      </c>
      <c r="M1101" t="s">
        <v>73</v>
      </c>
      <c r="N1101" t="s">
        <v>93</v>
      </c>
      <c r="O1101" t="s">
        <v>46</v>
      </c>
      <c r="P1101" t="s">
        <v>44</v>
      </c>
      <c r="Q1101" t="s">
        <v>68</v>
      </c>
      <c r="R1101">
        <v>1</v>
      </c>
      <c r="S1101">
        <v>1</v>
      </c>
      <c r="T1101">
        <v>1</v>
      </c>
      <c r="U1101">
        <v>0</v>
      </c>
      <c r="V1101">
        <v>0</v>
      </c>
      <c r="W1101">
        <v>0</v>
      </c>
      <c r="X1101">
        <v>1</v>
      </c>
      <c r="Y1101">
        <v>1</v>
      </c>
      <c r="Z1101">
        <v>1</v>
      </c>
      <c r="AA1101">
        <v>0</v>
      </c>
      <c r="AB1101">
        <v>0</v>
      </c>
      <c r="AC1101">
        <v>0</v>
      </c>
      <c r="AD1101">
        <v>0</v>
      </c>
      <c r="AE1101">
        <v>0</v>
      </c>
    </row>
    <row r="1102" spans="1:31" x14ac:dyDescent="0.2">
      <c r="A1102" t="s">
        <v>352</v>
      </c>
      <c r="B1102" t="s">
        <v>102</v>
      </c>
      <c r="C1102">
        <v>32</v>
      </c>
      <c r="D1102" t="s">
        <v>78</v>
      </c>
      <c r="E1102" t="s">
        <v>52</v>
      </c>
      <c r="F1102" t="s">
        <v>58</v>
      </c>
      <c r="G1102">
        <v>32477</v>
      </c>
      <c r="H1102">
        <v>1</v>
      </c>
      <c r="I1102">
        <v>1</v>
      </c>
      <c r="J1102">
        <v>0</v>
      </c>
      <c r="K1102">
        <v>0</v>
      </c>
      <c r="L1102" t="s">
        <v>35</v>
      </c>
      <c r="M1102" t="s">
        <v>35</v>
      </c>
      <c r="N1102" t="s">
        <v>35</v>
      </c>
      <c r="O1102" t="s">
        <v>35</v>
      </c>
      <c r="P1102" t="s">
        <v>35</v>
      </c>
      <c r="Q1102" t="s">
        <v>35</v>
      </c>
      <c r="R1102" t="s">
        <v>35</v>
      </c>
      <c r="S1102">
        <v>1</v>
      </c>
      <c r="T1102">
        <v>1</v>
      </c>
      <c r="U1102">
        <v>0</v>
      </c>
      <c r="V1102">
        <v>0</v>
      </c>
      <c r="W1102">
        <v>0</v>
      </c>
      <c r="X1102">
        <v>1</v>
      </c>
      <c r="Y1102">
        <v>1</v>
      </c>
      <c r="Z1102">
        <v>1</v>
      </c>
      <c r="AA1102">
        <v>0</v>
      </c>
      <c r="AB1102">
        <v>0</v>
      </c>
      <c r="AC1102">
        <v>0</v>
      </c>
      <c r="AD1102">
        <v>0</v>
      </c>
      <c r="AE1102">
        <v>0</v>
      </c>
    </row>
    <row r="1103" spans="1:31" x14ac:dyDescent="0.2">
      <c r="A1103" t="s">
        <v>352</v>
      </c>
      <c r="B1103" t="s">
        <v>102</v>
      </c>
      <c r="C1103">
        <v>32</v>
      </c>
      <c r="D1103" t="s">
        <v>78</v>
      </c>
      <c r="E1103" t="s">
        <v>39</v>
      </c>
      <c r="F1103" t="s">
        <v>63</v>
      </c>
      <c r="G1103">
        <v>38483</v>
      </c>
      <c r="H1103">
        <v>0</v>
      </c>
      <c r="I1103">
        <v>1</v>
      </c>
      <c r="J1103">
        <v>0</v>
      </c>
      <c r="K1103">
        <v>0</v>
      </c>
      <c r="L1103" t="s">
        <v>66</v>
      </c>
      <c r="M1103" t="s">
        <v>90</v>
      </c>
      <c r="N1103" t="s">
        <v>85</v>
      </c>
      <c r="O1103" t="s">
        <v>45</v>
      </c>
      <c r="P1103" t="s">
        <v>44</v>
      </c>
      <c r="Q1103" t="s">
        <v>51</v>
      </c>
      <c r="R1103">
        <v>0</v>
      </c>
      <c r="S1103">
        <v>1</v>
      </c>
      <c r="T1103">
        <v>0</v>
      </c>
      <c r="U1103">
        <v>0</v>
      </c>
      <c r="V1103">
        <v>1</v>
      </c>
      <c r="W1103">
        <v>0</v>
      </c>
      <c r="X1103">
        <v>1</v>
      </c>
      <c r="Y1103">
        <v>0</v>
      </c>
      <c r="Z1103">
        <v>1</v>
      </c>
      <c r="AA1103">
        <v>0</v>
      </c>
      <c r="AB1103">
        <v>0</v>
      </c>
      <c r="AC1103">
        <v>0</v>
      </c>
      <c r="AD1103">
        <v>0</v>
      </c>
      <c r="AE1103">
        <v>0</v>
      </c>
    </row>
    <row r="1104" spans="1:31" x14ac:dyDescent="0.2">
      <c r="A1104" t="s">
        <v>352</v>
      </c>
      <c r="B1104" t="s">
        <v>102</v>
      </c>
      <c r="C1104">
        <v>32</v>
      </c>
      <c r="D1104" t="s">
        <v>78</v>
      </c>
      <c r="E1104" t="s">
        <v>52</v>
      </c>
      <c r="F1104" t="s">
        <v>74</v>
      </c>
      <c r="G1104">
        <v>20221</v>
      </c>
      <c r="H1104">
        <v>1</v>
      </c>
      <c r="I1104">
        <v>1</v>
      </c>
      <c r="J1104">
        <v>0</v>
      </c>
      <c r="K1104">
        <v>0</v>
      </c>
      <c r="L1104" t="s">
        <v>35</v>
      </c>
      <c r="M1104" t="s">
        <v>35</v>
      </c>
      <c r="N1104" t="s">
        <v>35</v>
      </c>
      <c r="O1104" t="s">
        <v>35</v>
      </c>
      <c r="P1104" t="s">
        <v>35</v>
      </c>
      <c r="Q1104" t="s">
        <v>35</v>
      </c>
      <c r="R1104" t="s">
        <v>35</v>
      </c>
      <c r="S1104">
        <v>1</v>
      </c>
      <c r="T1104">
        <v>0</v>
      </c>
      <c r="U1104">
        <v>0</v>
      </c>
      <c r="V1104">
        <v>1</v>
      </c>
      <c r="W1104">
        <v>0</v>
      </c>
      <c r="X1104">
        <v>1</v>
      </c>
      <c r="Y1104">
        <v>0</v>
      </c>
      <c r="Z1104">
        <v>1</v>
      </c>
      <c r="AA1104">
        <v>0</v>
      </c>
      <c r="AB1104">
        <v>0</v>
      </c>
      <c r="AC1104">
        <v>0</v>
      </c>
      <c r="AD1104">
        <v>0</v>
      </c>
      <c r="AE1104">
        <v>0</v>
      </c>
    </row>
    <row r="1105" spans="1:31" x14ac:dyDescent="0.2">
      <c r="A1105" t="s">
        <v>352</v>
      </c>
      <c r="B1105" t="s">
        <v>102</v>
      </c>
      <c r="C1105">
        <v>32</v>
      </c>
      <c r="D1105" t="s">
        <v>78</v>
      </c>
      <c r="E1105" t="s">
        <v>39</v>
      </c>
      <c r="F1105" t="s">
        <v>59</v>
      </c>
      <c r="G1105">
        <v>52007</v>
      </c>
      <c r="H1105">
        <v>0</v>
      </c>
      <c r="I1105">
        <v>0</v>
      </c>
      <c r="J1105">
        <v>1</v>
      </c>
      <c r="K1105">
        <v>0</v>
      </c>
      <c r="L1105" t="s">
        <v>99</v>
      </c>
      <c r="M1105" t="s">
        <v>94</v>
      </c>
      <c r="N1105" t="s">
        <v>60</v>
      </c>
      <c r="O1105" t="s">
        <v>67</v>
      </c>
      <c r="P1105" t="s">
        <v>68</v>
      </c>
      <c r="Q1105" t="s">
        <v>44</v>
      </c>
      <c r="R1105">
        <v>1</v>
      </c>
      <c r="S1105">
        <v>1</v>
      </c>
      <c r="T1105">
        <v>0</v>
      </c>
      <c r="U1105">
        <v>1</v>
      </c>
      <c r="V1105">
        <v>0</v>
      </c>
      <c r="W1105">
        <v>0</v>
      </c>
      <c r="X1105">
        <v>1</v>
      </c>
      <c r="Y1105">
        <v>0</v>
      </c>
      <c r="Z1105">
        <v>1</v>
      </c>
      <c r="AA1105">
        <v>0</v>
      </c>
      <c r="AB1105">
        <v>0</v>
      </c>
      <c r="AC1105">
        <v>0</v>
      </c>
      <c r="AD1105">
        <v>0</v>
      </c>
      <c r="AE1105">
        <v>0</v>
      </c>
    </row>
    <row r="1106" spans="1:31" x14ac:dyDescent="0.2">
      <c r="A1106" t="s">
        <v>352</v>
      </c>
      <c r="B1106" t="s">
        <v>102</v>
      </c>
      <c r="C1106">
        <v>32</v>
      </c>
      <c r="D1106" t="s">
        <v>78</v>
      </c>
      <c r="E1106" t="s">
        <v>52</v>
      </c>
      <c r="F1106" t="s">
        <v>53</v>
      </c>
      <c r="G1106">
        <v>40887</v>
      </c>
      <c r="H1106">
        <v>1</v>
      </c>
      <c r="I1106">
        <v>1</v>
      </c>
      <c r="J1106">
        <v>1</v>
      </c>
      <c r="K1106">
        <v>0</v>
      </c>
      <c r="L1106" t="s">
        <v>35</v>
      </c>
      <c r="M1106" t="s">
        <v>35</v>
      </c>
      <c r="N1106" t="s">
        <v>35</v>
      </c>
      <c r="O1106" t="s">
        <v>35</v>
      </c>
      <c r="P1106" t="s">
        <v>35</v>
      </c>
      <c r="Q1106" t="s">
        <v>35</v>
      </c>
      <c r="R1106" t="s">
        <v>35</v>
      </c>
      <c r="S1106">
        <v>1</v>
      </c>
      <c r="T1106">
        <v>0</v>
      </c>
      <c r="U1106">
        <v>1</v>
      </c>
      <c r="V1106">
        <v>0</v>
      </c>
      <c r="W1106">
        <v>0</v>
      </c>
      <c r="X1106">
        <v>1</v>
      </c>
      <c r="Y1106">
        <v>0</v>
      </c>
      <c r="Z1106">
        <v>1</v>
      </c>
      <c r="AA1106">
        <v>0</v>
      </c>
      <c r="AB1106">
        <v>0</v>
      </c>
      <c r="AC1106">
        <v>0</v>
      </c>
      <c r="AD1106">
        <v>0</v>
      </c>
      <c r="AE1106">
        <v>0</v>
      </c>
    </row>
    <row r="1107" spans="1:31" x14ac:dyDescent="0.2">
      <c r="A1107" t="s">
        <v>352</v>
      </c>
      <c r="B1107" t="s">
        <v>102</v>
      </c>
      <c r="C1107">
        <v>32</v>
      </c>
      <c r="D1107" t="s">
        <v>78</v>
      </c>
      <c r="E1107" t="s">
        <v>75</v>
      </c>
      <c r="F1107" t="s">
        <v>35</v>
      </c>
      <c r="G1107">
        <v>49559</v>
      </c>
      <c r="H1107" t="s">
        <v>353</v>
      </c>
      <c r="I1107" t="s">
        <v>354</v>
      </c>
      <c r="J1107" t="s">
        <v>105</v>
      </c>
      <c r="K1107" t="s">
        <v>35</v>
      </c>
      <c r="L1107" t="s">
        <v>35</v>
      </c>
      <c r="M1107" t="s">
        <v>35</v>
      </c>
      <c r="N1107" t="s">
        <v>35</v>
      </c>
      <c r="O1107" t="s">
        <v>35</v>
      </c>
      <c r="P1107" t="s">
        <v>35</v>
      </c>
      <c r="Q1107" t="s">
        <v>35</v>
      </c>
      <c r="R1107" t="s">
        <v>35</v>
      </c>
      <c r="S1107" t="s">
        <v>35</v>
      </c>
      <c r="T1107" t="s">
        <v>35</v>
      </c>
      <c r="U1107" t="s">
        <v>35</v>
      </c>
      <c r="V1107" t="s">
        <v>35</v>
      </c>
      <c r="W1107" t="s">
        <v>35</v>
      </c>
      <c r="X1107" t="s">
        <v>35</v>
      </c>
      <c r="Y1107" t="s">
        <v>35</v>
      </c>
      <c r="Z1107" t="s">
        <v>35</v>
      </c>
      <c r="AA1107" t="s">
        <v>35</v>
      </c>
      <c r="AB1107" t="s">
        <v>35</v>
      </c>
      <c r="AC1107" t="s">
        <v>35</v>
      </c>
      <c r="AD1107" t="s">
        <v>35</v>
      </c>
      <c r="AE1107" t="s">
        <v>35</v>
      </c>
    </row>
    <row r="1108" spans="1:31" x14ac:dyDescent="0.2">
      <c r="A1108" t="s">
        <v>355</v>
      </c>
      <c r="B1108" t="s">
        <v>107</v>
      </c>
      <c r="C1108">
        <v>76</v>
      </c>
      <c r="D1108" t="s">
        <v>78</v>
      </c>
      <c r="E1108" t="s">
        <v>34</v>
      </c>
      <c r="F1108" t="s">
        <v>35</v>
      </c>
      <c r="G1108">
        <v>144168</v>
      </c>
      <c r="H1108" t="s">
        <v>35</v>
      </c>
      <c r="I1108" t="s">
        <v>35</v>
      </c>
      <c r="J1108" t="s">
        <v>35</v>
      </c>
      <c r="K1108" t="s">
        <v>35</v>
      </c>
      <c r="L1108" t="s">
        <v>35</v>
      </c>
      <c r="M1108" t="s">
        <v>35</v>
      </c>
      <c r="N1108" t="s">
        <v>35</v>
      </c>
      <c r="O1108" t="s">
        <v>35</v>
      </c>
      <c r="P1108" t="s">
        <v>35</v>
      </c>
      <c r="Q1108" t="s">
        <v>35</v>
      </c>
      <c r="R1108" t="s">
        <v>35</v>
      </c>
      <c r="S1108" t="s">
        <v>35</v>
      </c>
      <c r="T1108" t="s">
        <v>35</v>
      </c>
      <c r="U1108" t="s">
        <v>35</v>
      </c>
      <c r="V1108" t="s">
        <v>35</v>
      </c>
      <c r="W1108" t="s">
        <v>35</v>
      </c>
      <c r="X1108" t="s">
        <v>35</v>
      </c>
      <c r="Y1108" t="s">
        <v>35</v>
      </c>
      <c r="Z1108" t="s">
        <v>35</v>
      </c>
      <c r="AA1108" t="s">
        <v>35</v>
      </c>
      <c r="AB1108" t="s">
        <v>35</v>
      </c>
      <c r="AC1108" t="s">
        <v>35</v>
      </c>
      <c r="AD1108" t="s">
        <v>35</v>
      </c>
      <c r="AE1108" t="s">
        <v>35</v>
      </c>
    </row>
    <row r="1109" spans="1:31" x14ac:dyDescent="0.2">
      <c r="A1109" t="s">
        <v>355</v>
      </c>
      <c r="B1109" t="s">
        <v>107</v>
      </c>
      <c r="C1109">
        <v>76</v>
      </c>
      <c r="D1109" t="s">
        <v>78</v>
      </c>
      <c r="E1109" t="s">
        <v>36</v>
      </c>
      <c r="F1109" t="s">
        <v>38</v>
      </c>
      <c r="G1109">
        <v>112435</v>
      </c>
      <c r="H1109">
        <v>0</v>
      </c>
      <c r="I1109">
        <v>1</v>
      </c>
      <c r="J1109">
        <v>1</v>
      </c>
      <c r="K1109">
        <v>0</v>
      </c>
      <c r="L1109" t="s">
        <v>35</v>
      </c>
      <c r="M1109" t="s">
        <v>35</v>
      </c>
      <c r="N1109" t="s">
        <v>35</v>
      </c>
      <c r="O1109" t="s">
        <v>35</v>
      </c>
      <c r="P1109" t="s">
        <v>35</v>
      </c>
      <c r="Q1109" t="s">
        <v>35</v>
      </c>
      <c r="R1109" t="s">
        <v>35</v>
      </c>
      <c r="S1109" t="s">
        <v>35</v>
      </c>
      <c r="T1109" t="s">
        <v>35</v>
      </c>
      <c r="U1109" t="s">
        <v>35</v>
      </c>
      <c r="V1109" t="s">
        <v>35</v>
      </c>
      <c r="W1109" t="s">
        <v>35</v>
      </c>
      <c r="X1109" t="s">
        <v>35</v>
      </c>
      <c r="Y1109" t="s">
        <v>35</v>
      </c>
      <c r="Z1109" t="s">
        <v>35</v>
      </c>
      <c r="AA1109" t="s">
        <v>35</v>
      </c>
      <c r="AB1109" t="s">
        <v>35</v>
      </c>
      <c r="AC1109" t="s">
        <v>35</v>
      </c>
      <c r="AD1109" t="s">
        <v>35</v>
      </c>
      <c r="AE1109" t="s">
        <v>35</v>
      </c>
    </row>
    <row r="1110" spans="1:31" x14ac:dyDescent="0.2">
      <c r="A1110" t="s">
        <v>355</v>
      </c>
      <c r="B1110" t="s">
        <v>107</v>
      </c>
      <c r="C1110">
        <v>76</v>
      </c>
      <c r="D1110" t="s">
        <v>78</v>
      </c>
      <c r="E1110" t="s">
        <v>36</v>
      </c>
      <c r="F1110" t="s">
        <v>37</v>
      </c>
      <c r="G1110">
        <v>94331</v>
      </c>
      <c r="H1110">
        <v>0</v>
      </c>
      <c r="I1110">
        <v>0</v>
      </c>
      <c r="J1110">
        <v>1</v>
      </c>
      <c r="K1110">
        <v>0</v>
      </c>
      <c r="L1110" t="s">
        <v>35</v>
      </c>
      <c r="M1110" t="s">
        <v>35</v>
      </c>
      <c r="N1110" t="s">
        <v>35</v>
      </c>
      <c r="O1110" t="s">
        <v>35</v>
      </c>
      <c r="P1110" t="s">
        <v>35</v>
      </c>
      <c r="Q1110" t="s">
        <v>35</v>
      </c>
      <c r="R1110" t="s">
        <v>35</v>
      </c>
      <c r="S1110" t="s">
        <v>35</v>
      </c>
      <c r="T1110" t="s">
        <v>35</v>
      </c>
      <c r="U1110" t="s">
        <v>35</v>
      </c>
      <c r="V1110" t="s">
        <v>35</v>
      </c>
      <c r="W1110" t="s">
        <v>35</v>
      </c>
      <c r="X1110" t="s">
        <v>35</v>
      </c>
      <c r="Y1110" t="s">
        <v>35</v>
      </c>
      <c r="Z1110" t="s">
        <v>35</v>
      </c>
      <c r="AA1110" t="s">
        <v>35</v>
      </c>
      <c r="AB1110" t="s">
        <v>35</v>
      </c>
      <c r="AC1110" t="s">
        <v>35</v>
      </c>
      <c r="AD1110" t="s">
        <v>35</v>
      </c>
      <c r="AE1110" t="s">
        <v>35</v>
      </c>
    </row>
    <row r="1111" spans="1:31" x14ac:dyDescent="0.2">
      <c r="A1111" t="s">
        <v>355</v>
      </c>
      <c r="B1111" t="s">
        <v>107</v>
      </c>
      <c r="C1111">
        <v>76</v>
      </c>
      <c r="D1111" t="s">
        <v>78</v>
      </c>
      <c r="E1111" t="s">
        <v>39</v>
      </c>
      <c r="F1111" t="s">
        <v>40</v>
      </c>
      <c r="G1111">
        <v>161769</v>
      </c>
      <c r="H1111">
        <v>0</v>
      </c>
      <c r="I1111">
        <v>0</v>
      </c>
      <c r="J1111">
        <v>0</v>
      </c>
      <c r="K1111">
        <v>1</v>
      </c>
      <c r="L1111" t="s">
        <v>82</v>
      </c>
      <c r="M1111" t="s">
        <v>43</v>
      </c>
      <c r="N1111" t="s">
        <v>42</v>
      </c>
      <c r="O1111" t="s">
        <v>68</v>
      </c>
      <c r="P1111" t="s">
        <v>46</v>
      </c>
      <c r="Q1111" t="s">
        <v>45</v>
      </c>
      <c r="R1111">
        <v>1</v>
      </c>
      <c r="S1111">
        <v>0</v>
      </c>
      <c r="T1111">
        <v>1</v>
      </c>
      <c r="U1111">
        <v>0</v>
      </c>
      <c r="V1111">
        <v>1</v>
      </c>
      <c r="W1111">
        <v>0</v>
      </c>
      <c r="X1111">
        <v>1</v>
      </c>
      <c r="Y1111">
        <v>0</v>
      </c>
      <c r="Z1111">
        <v>0</v>
      </c>
      <c r="AA1111">
        <v>0</v>
      </c>
      <c r="AB1111">
        <v>0</v>
      </c>
      <c r="AC1111">
        <v>0</v>
      </c>
      <c r="AD1111">
        <v>0</v>
      </c>
      <c r="AE1111">
        <v>1</v>
      </c>
    </row>
    <row r="1112" spans="1:31" x14ac:dyDescent="0.2">
      <c r="A1112" t="s">
        <v>355</v>
      </c>
      <c r="B1112" t="s">
        <v>107</v>
      </c>
      <c r="C1112">
        <v>76</v>
      </c>
      <c r="D1112" t="s">
        <v>78</v>
      </c>
      <c r="E1112" t="s">
        <v>39</v>
      </c>
      <c r="F1112" t="s">
        <v>59</v>
      </c>
      <c r="G1112">
        <v>140383</v>
      </c>
      <c r="H1112">
        <v>1</v>
      </c>
      <c r="I1112">
        <v>0</v>
      </c>
      <c r="J1112">
        <v>0</v>
      </c>
      <c r="K1112">
        <v>0</v>
      </c>
      <c r="L1112" t="s">
        <v>62</v>
      </c>
      <c r="M1112" t="s">
        <v>83</v>
      </c>
      <c r="N1112" t="s">
        <v>99</v>
      </c>
      <c r="O1112" t="s">
        <v>45</v>
      </c>
      <c r="P1112" t="s">
        <v>51</v>
      </c>
      <c r="Q1112" t="s">
        <v>67</v>
      </c>
      <c r="R1112">
        <v>0</v>
      </c>
      <c r="S1112">
        <v>0</v>
      </c>
      <c r="T1112">
        <v>0</v>
      </c>
      <c r="U1112">
        <v>1</v>
      </c>
      <c r="V1112">
        <v>1</v>
      </c>
      <c r="W1112">
        <v>0</v>
      </c>
      <c r="X1112">
        <v>1</v>
      </c>
      <c r="Y1112">
        <v>0</v>
      </c>
      <c r="Z1112">
        <v>0</v>
      </c>
      <c r="AA1112">
        <v>0</v>
      </c>
      <c r="AB1112">
        <v>0</v>
      </c>
      <c r="AC1112">
        <v>1</v>
      </c>
      <c r="AD1112">
        <v>0</v>
      </c>
      <c r="AE1112">
        <v>0</v>
      </c>
    </row>
    <row r="1113" spans="1:31" x14ac:dyDescent="0.2">
      <c r="A1113" t="s">
        <v>355</v>
      </c>
      <c r="B1113" t="s">
        <v>107</v>
      </c>
      <c r="C1113">
        <v>76</v>
      </c>
      <c r="D1113" t="s">
        <v>78</v>
      </c>
      <c r="E1113" t="s">
        <v>52</v>
      </c>
      <c r="F1113" t="s">
        <v>53</v>
      </c>
      <c r="G1113">
        <v>113751</v>
      </c>
      <c r="H1113">
        <v>1</v>
      </c>
      <c r="I1113">
        <v>0</v>
      </c>
      <c r="J1113">
        <v>0</v>
      </c>
      <c r="K1113">
        <v>0</v>
      </c>
      <c r="L1113" t="s">
        <v>35</v>
      </c>
      <c r="M1113" t="s">
        <v>35</v>
      </c>
      <c r="N1113" t="s">
        <v>35</v>
      </c>
      <c r="O1113" t="s">
        <v>35</v>
      </c>
      <c r="P1113" t="s">
        <v>35</v>
      </c>
      <c r="Q1113" t="s">
        <v>35</v>
      </c>
      <c r="R1113" t="s">
        <v>35</v>
      </c>
      <c r="S1113">
        <v>0</v>
      </c>
      <c r="T1113">
        <v>0</v>
      </c>
      <c r="U1113">
        <v>1</v>
      </c>
      <c r="V1113">
        <v>1</v>
      </c>
      <c r="W1113">
        <v>0</v>
      </c>
      <c r="X1113">
        <v>1</v>
      </c>
      <c r="Y1113">
        <v>0</v>
      </c>
      <c r="Z1113">
        <v>0</v>
      </c>
      <c r="AA1113">
        <v>0</v>
      </c>
      <c r="AB1113">
        <v>0</v>
      </c>
      <c r="AC1113">
        <v>1</v>
      </c>
      <c r="AD1113">
        <v>0</v>
      </c>
      <c r="AE1113">
        <v>0</v>
      </c>
    </row>
    <row r="1114" spans="1:31" x14ac:dyDescent="0.2">
      <c r="A1114" t="s">
        <v>355</v>
      </c>
      <c r="B1114" t="s">
        <v>107</v>
      </c>
      <c r="C1114">
        <v>76</v>
      </c>
      <c r="D1114" t="s">
        <v>78</v>
      </c>
      <c r="E1114" t="s">
        <v>39</v>
      </c>
      <c r="F1114" t="s">
        <v>63</v>
      </c>
      <c r="G1114">
        <v>15501</v>
      </c>
      <c r="H1114">
        <v>0</v>
      </c>
      <c r="I1114">
        <v>1</v>
      </c>
      <c r="J1114">
        <v>0</v>
      </c>
      <c r="K1114">
        <v>0</v>
      </c>
      <c r="L1114" t="s">
        <v>66</v>
      </c>
      <c r="M1114" t="s">
        <v>65</v>
      </c>
      <c r="N1114" t="s">
        <v>85</v>
      </c>
      <c r="O1114" t="s">
        <v>45</v>
      </c>
      <c r="P1114" t="s">
        <v>68</v>
      </c>
      <c r="Q1114" t="s">
        <v>51</v>
      </c>
      <c r="R1114">
        <v>1</v>
      </c>
      <c r="S1114">
        <v>0</v>
      </c>
      <c r="T1114">
        <v>0</v>
      </c>
      <c r="U1114">
        <v>0</v>
      </c>
      <c r="V1114">
        <v>1</v>
      </c>
      <c r="W1114">
        <v>0</v>
      </c>
      <c r="X1114">
        <v>1</v>
      </c>
      <c r="Y1114">
        <v>1</v>
      </c>
      <c r="Z1114">
        <v>0</v>
      </c>
      <c r="AA1114">
        <v>0</v>
      </c>
      <c r="AB1114">
        <v>0</v>
      </c>
      <c r="AC1114">
        <v>0</v>
      </c>
      <c r="AD1114">
        <v>0</v>
      </c>
      <c r="AE1114">
        <v>0</v>
      </c>
    </row>
    <row r="1115" spans="1:31" x14ac:dyDescent="0.2">
      <c r="A1115" t="s">
        <v>355</v>
      </c>
      <c r="B1115" t="s">
        <v>107</v>
      </c>
      <c r="C1115">
        <v>76</v>
      </c>
      <c r="D1115" t="s">
        <v>78</v>
      </c>
      <c r="E1115" t="s">
        <v>52</v>
      </c>
      <c r="F1115" t="s">
        <v>69</v>
      </c>
      <c r="G1115">
        <v>12907</v>
      </c>
      <c r="H1115">
        <v>0</v>
      </c>
      <c r="I1115">
        <v>0</v>
      </c>
      <c r="J1115">
        <v>1</v>
      </c>
      <c r="K1115">
        <v>0</v>
      </c>
      <c r="L1115" t="s">
        <v>35</v>
      </c>
      <c r="M1115" t="s">
        <v>35</v>
      </c>
      <c r="N1115" t="s">
        <v>35</v>
      </c>
      <c r="O1115" t="s">
        <v>35</v>
      </c>
      <c r="P1115" t="s">
        <v>35</v>
      </c>
      <c r="Q1115" t="s">
        <v>35</v>
      </c>
      <c r="R1115" t="s">
        <v>35</v>
      </c>
      <c r="S1115">
        <v>0</v>
      </c>
      <c r="T1115">
        <v>0</v>
      </c>
      <c r="U1115">
        <v>0</v>
      </c>
      <c r="V1115">
        <v>1</v>
      </c>
      <c r="W1115">
        <v>0</v>
      </c>
      <c r="X1115">
        <v>1</v>
      </c>
      <c r="Y1115">
        <v>1</v>
      </c>
      <c r="Z1115">
        <v>0</v>
      </c>
      <c r="AA1115">
        <v>0</v>
      </c>
      <c r="AB1115">
        <v>0</v>
      </c>
      <c r="AC1115">
        <v>0</v>
      </c>
      <c r="AD1115">
        <v>0</v>
      </c>
      <c r="AE1115">
        <v>0</v>
      </c>
    </row>
    <row r="1116" spans="1:31" x14ac:dyDescent="0.2">
      <c r="A1116" t="s">
        <v>355</v>
      </c>
      <c r="B1116" t="s">
        <v>107</v>
      </c>
      <c r="C1116">
        <v>76</v>
      </c>
      <c r="D1116" t="s">
        <v>78</v>
      </c>
      <c r="E1116" t="s">
        <v>39</v>
      </c>
      <c r="F1116" t="s">
        <v>54</v>
      </c>
      <c r="G1116">
        <v>11227</v>
      </c>
      <c r="H1116">
        <v>0</v>
      </c>
      <c r="I1116">
        <v>1</v>
      </c>
      <c r="J1116">
        <v>0</v>
      </c>
      <c r="K1116">
        <v>0</v>
      </c>
      <c r="L1116" t="s">
        <v>122</v>
      </c>
      <c r="M1116" t="s">
        <v>55</v>
      </c>
      <c r="N1116" t="s">
        <v>57</v>
      </c>
      <c r="O1116" t="s">
        <v>68</v>
      </c>
      <c r="P1116" t="s">
        <v>44</v>
      </c>
      <c r="Q1116" t="s">
        <v>46</v>
      </c>
      <c r="R1116">
        <v>1</v>
      </c>
      <c r="S1116">
        <v>1</v>
      </c>
      <c r="T1116">
        <v>1</v>
      </c>
      <c r="U1116">
        <v>0</v>
      </c>
      <c r="V1116">
        <v>0</v>
      </c>
      <c r="W1116">
        <v>0</v>
      </c>
      <c r="X1116">
        <v>1</v>
      </c>
      <c r="Y1116">
        <v>0</v>
      </c>
      <c r="Z1116">
        <v>1</v>
      </c>
      <c r="AA1116">
        <v>0</v>
      </c>
      <c r="AB1116">
        <v>0</v>
      </c>
      <c r="AC1116">
        <v>0</v>
      </c>
      <c r="AD1116">
        <v>0</v>
      </c>
      <c r="AE1116">
        <v>0</v>
      </c>
    </row>
    <row r="1117" spans="1:31" x14ac:dyDescent="0.2">
      <c r="A1117" t="s">
        <v>355</v>
      </c>
      <c r="B1117" t="s">
        <v>107</v>
      </c>
      <c r="C1117">
        <v>76</v>
      </c>
      <c r="D1117" t="s">
        <v>78</v>
      </c>
      <c r="E1117" t="s">
        <v>39</v>
      </c>
      <c r="F1117" t="s">
        <v>47</v>
      </c>
      <c r="G1117">
        <v>6453</v>
      </c>
      <c r="H1117">
        <v>0</v>
      </c>
      <c r="I1117">
        <v>1</v>
      </c>
      <c r="J1117">
        <v>0</v>
      </c>
      <c r="K1117">
        <v>0</v>
      </c>
      <c r="L1117" t="s">
        <v>80</v>
      </c>
      <c r="M1117" t="s">
        <v>49</v>
      </c>
      <c r="N1117" t="s">
        <v>79</v>
      </c>
      <c r="O1117" t="s">
        <v>67</v>
      </c>
      <c r="P1117" t="s">
        <v>44</v>
      </c>
      <c r="Q1117" t="s">
        <v>45</v>
      </c>
      <c r="R1117">
        <v>0</v>
      </c>
      <c r="S1117">
        <v>1</v>
      </c>
      <c r="T1117">
        <v>0</v>
      </c>
      <c r="U1117">
        <v>1</v>
      </c>
      <c r="V1117">
        <v>1</v>
      </c>
      <c r="W1117">
        <v>0</v>
      </c>
      <c r="X1117">
        <v>1</v>
      </c>
      <c r="Y1117">
        <v>0</v>
      </c>
      <c r="Z1117">
        <v>1</v>
      </c>
      <c r="AA1117">
        <v>0</v>
      </c>
      <c r="AB1117">
        <v>0</v>
      </c>
      <c r="AC1117">
        <v>0</v>
      </c>
      <c r="AD1117">
        <v>0</v>
      </c>
      <c r="AE1117">
        <v>0</v>
      </c>
    </row>
    <row r="1118" spans="1:31" x14ac:dyDescent="0.2">
      <c r="A1118" t="s">
        <v>355</v>
      </c>
      <c r="B1118" t="s">
        <v>107</v>
      </c>
      <c r="C1118">
        <v>76</v>
      </c>
      <c r="D1118" t="s">
        <v>78</v>
      </c>
      <c r="E1118" t="s">
        <v>52</v>
      </c>
      <c r="F1118" t="s">
        <v>58</v>
      </c>
      <c r="G1118">
        <v>3331</v>
      </c>
      <c r="H1118">
        <v>0</v>
      </c>
      <c r="I1118">
        <v>0</v>
      </c>
      <c r="J1118">
        <v>1</v>
      </c>
      <c r="K1118">
        <v>0</v>
      </c>
      <c r="L1118" t="s">
        <v>35</v>
      </c>
      <c r="M1118" t="s">
        <v>35</v>
      </c>
      <c r="N1118" t="s">
        <v>35</v>
      </c>
      <c r="O1118" t="s">
        <v>35</v>
      </c>
      <c r="P1118" t="s">
        <v>35</v>
      </c>
      <c r="Q1118" t="s">
        <v>35</v>
      </c>
      <c r="R1118" t="s">
        <v>35</v>
      </c>
      <c r="S1118">
        <v>1</v>
      </c>
      <c r="T1118">
        <v>0</v>
      </c>
      <c r="U1118">
        <v>1</v>
      </c>
      <c r="V1118">
        <v>1</v>
      </c>
      <c r="W1118">
        <v>0</v>
      </c>
      <c r="X1118">
        <v>1</v>
      </c>
      <c r="Y1118">
        <v>0</v>
      </c>
      <c r="Z1118">
        <v>1</v>
      </c>
      <c r="AA1118">
        <v>0</v>
      </c>
      <c r="AB1118">
        <v>0</v>
      </c>
      <c r="AC1118">
        <v>0</v>
      </c>
      <c r="AD1118">
        <v>0</v>
      </c>
      <c r="AE1118">
        <v>0</v>
      </c>
    </row>
    <row r="1119" spans="1:31" x14ac:dyDescent="0.2">
      <c r="A1119" t="s">
        <v>355</v>
      </c>
      <c r="B1119" t="s">
        <v>107</v>
      </c>
      <c r="C1119">
        <v>76</v>
      </c>
      <c r="D1119" t="s">
        <v>78</v>
      </c>
      <c r="E1119" t="s">
        <v>39</v>
      </c>
      <c r="F1119" t="s">
        <v>70</v>
      </c>
      <c r="G1119">
        <v>2778</v>
      </c>
      <c r="H1119">
        <v>0</v>
      </c>
      <c r="I1119">
        <v>1</v>
      </c>
      <c r="J1119">
        <v>0</v>
      </c>
      <c r="K1119">
        <v>0</v>
      </c>
      <c r="L1119" t="s">
        <v>86</v>
      </c>
      <c r="M1119" t="s">
        <v>73</v>
      </c>
      <c r="N1119" t="s">
        <v>93</v>
      </c>
      <c r="O1119" t="s">
        <v>46</v>
      </c>
      <c r="P1119" t="s">
        <v>44</v>
      </c>
      <c r="Q1119" t="s">
        <v>68</v>
      </c>
      <c r="R1119">
        <v>1</v>
      </c>
      <c r="S1119">
        <v>1</v>
      </c>
      <c r="T1119">
        <v>1</v>
      </c>
      <c r="U1119">
        <v>0</v>
      </c>
      <c r="V1119">
        <v>0</v>
      </c>
      <c r="W1119">
        <v>0</v>
      </c>
      <c r="X1119">
        <v>1</v>
      </c>
      <c r="Y1119">
        <v>0</v>
      </c>
      <c r="Z1119">
        <v>1</v>
      </c>
      <c r="AA1119">
        <v>0</v>
      </c>
      <c r="AB1119">
        <v>0</v>
      </c>
      <c r="AC1119">
        <v>0</v>
      </c>
      <c r="AD1119">
        <v>0</v>
      </c>
      <c r="AE1119">
        <v>0</v>
      </c>
    </row>
    <row r="1120" spans="1:31" x14ac:dyDescent="0.2">
      <c r="A1120" t="s">
        <v>355</v>
      </c>
      <c r="B1120" t="s">
        <v>107</v>
      </c>
      <c r="C1120">
        <v>76</v>
      </c>
      <c r="D1120" t="s">
        <v>78</v>
      </c>
      <c r="E1120" t="s">
        <v>52</v>
      </c>
      <c r="F1120" t="s">
        <v>74</v>
      </c>
      <c r="G1120">
        <v>3835</v>
      </c>
      <c r="H1120">
        <v>0</v>
      </c>
      <c r="I1120">
        <v>1</v>
      </c>
      <c r="J1120">
        <v>0</v>
      </c>
      <c r="K1120">
        <v>0</v>
      </c>
      <c r="L1120" t="s">
        <v>35</v>
      </c>
      <c r="M1120" t="s">
        <v>35</v>
      </c>
      <c r="N1120" t="s">
        <v>35</v>
      </c>
      <c r="O1120" t="s">
        <v>35</v>
      </c>
      <c r="P1120" t="s">
        <v>35</v>
      </c>
      <c r="Q1120" t="s">
        <v>35</v>
      </c>
      <c r="R1120" t="s">
        <v>35</v>
      </c>
      <c r="S1120">
        <v>1</v>
      </c>
      <c r="T1120">
        <v>1</v>
      </c>
      <c r="U1120">
        <v>0</v>
      </c>
      <c r="V1120">
        <v>0</v>
      </c>
      <c r="W1120">
        <v>0</v>
      </c>
      <c r="X1120">
        <v>1</v>
      </c>
      <c r="Y1120">
        <v>0</v>
      </c>
      <c r="Z1120">
        <v>1</v>
      </c>
      <c r="AA1120">
        <v>0</v>
      </c>
      <c r="AB1120">
        <v>0</v>
      </c>
      <c r="AC1120">
        <v>0</v>
      </c>
      <c r="AD1120">
        <v>0</v>
      </c>
      <c r="AE1120">
        <v>0</v>
      </c>
    </row>
    <row r="1121" spans="1:31" x14ac:dyDescent="0.2">
      <c r="A1121" t="s">
        <v>355</v>
      </c>
      <c r="B1121" t="s">
        <v>107</v>
      </c>
      <c r="C1121">
        <v>76</v>
      </c>
      <c r="D1121" t="s">
        <v>78</v>
      </c>
      <c r="E1121" t="s">
        <v>75</v>
      </c>
      <c r="F1121" t="s">
        <v>35</v>
      </c>
      <c r="G1121">
        <v>261219</v>
      </c>
      <c r="H1121" t="s">
        <v>356</v>
      </c>
      <c r="I1121" t="s">
        <v>357</v>
      </c>
      <c r="J1121" t="s">
        <v>184</v>
      </c>
      <c r="K1121" t="s">
        <v>35</v>
      </c>
      <c r="L1121" t="s">
        <v>35</v>
      </c>
      <c r="M1121" t="s">
        <v>35</v>
      </c>
      <c r="N1121" t="s">
        <v>35</v>
      </c>
      <c r="O1121" t="s">
        <v>35</v>
      </c>
      <c r="P1121" t="s">
        <v>35</v>
      </c>
      <c r="Q1121" t="s">
        <v>35</v>
      </c>
      <c r="R1121" t="s">
        <v>35</v>
      </c>
      <c r="S1121" t="s">
        <v>35</v>
      </c>
      <c r="T1121" t="s">
        <v>35</v>
      </c>
      <c r="U1121" t="s">
        <v>35</v>
      </c>
      <c r="V1121" t="s">
        <v>35</v>
      </c>
      <c r="W1121" t="s">
        <v>35</v>
      </c>
      <c r="X1121" t="s">
        <v>35</v>
      </c>
      <c r="Y1121" t="s">
        <v>35</v>
      </c>
      <c r="Z1121" t="s">
        <v>35</v>
      </c>
      <c r="AA1121" t="s">
        <v>35</v>
      </c>
      <c r="AB1121" t="s">
        <v>35</v>
      </c>
      <c r="AC1121" t="s">
        <v>35</v>
      </c>
      <c r="AD1121" t="s">
        <v>35</v>
      </c>
      <c r="AE1121" t="s">
        <v>35</v>
      </c>
    </row>
    <row r="1122" spans="1:31" x14ac:dyDescent="0.2">
      <c r="A1122" t="s">
        <v>358</v>
      </c>
      <c r="B1122" t="s">
        <v>102</v>
      </c>
      <c r="C1122">
        <v>60</v>
      </c>
      <c r="D1122" t="s">
        <v>33</v>
      </c>
      <c r="E1122" t="s">
        <v>34</v>
      </c>
      <c r="F1122" t="s">
        <v>35</v>
      </c>
      <c r="G1122">
        <v>19078</v>
      </c>
      <c r="H1122" t="s">
        <v>35</v>
      </c>
      <c r="I1122" t="s">
        <v>35</v>
      </c>
      <c r="J1122" t="s">
        <v>35</v>
      </c>
      <c r="K1122" t="s">
        <v>35</v>
      </c>
      <c r="L1122" t="s">
        <v>35</v>
      </c>
      <c r="M1122" t="s">
        <v>35</v>
      </c>
      <c r="N1122" t="s">
        <v>35</v>
      </c>
      <c r="O1122" t="s">
        <v>35</v>
      </c>
      <c r="P1122" t="s">
        <v>35</v>
      </c>
      <c r="Q1122" t="s">
        <v>35</v>
      </c>
      <c r="R1122" t="s">
        <v>35</v>
      </c>
      <c r="S1122" t="s">
        <v>35</v>
      </c>
      <c r="T1122" t="s">
        <v>35</v>
      </c>
      <c r="U1122" t="s">
        <v>35</v>
      </c>
      <c r="V1122" t="s">
        <v>35</v>
      </c>
      <c r="W1122" t="s">
        <v>35</v>
      </c>
      <c r="X1122" t="s">
        <v>35</v>
      </c>
      <c r="Y1122" t="s">
        <v>35</v>
      </c>
      <c r="Z1122" t="s">
        <v>35</v>
      </c>
      <c r="AA1122" t="s">
        <v>35</v>
      </c>
      <c r="AB1122" t="s">
        <v>35</v>
      </c>
      <c r="AC1122" t="s">
        <v>35</v>
      </c>
      <c r="AD1122" t="s">
        <v>35</v>
      </c>
      <c r="AE1122" t="s">
        <v>35</v>
      </c>
    </row>
    <row r="1123" spans="1:31" x14ac:dyDescent="0.2">
      <c r="A1123" t="s">
        <v>358</v>
      </c>
      <c r="B1123" t="s">
        <v>102</v>
      </c>
      <c r="C1123">
        <v>60</v>
      </c>
      <c r="D1123" t="s">
        <v>33</v>
      </c>
      <c r="E1123" t="s">
        <v>36</v>
      </c>
      <c r="F1123" t="s">
        <v>38</v>
      </c>
      <c r="G1123">
        <v>36576</v>
      </c>
      <c r="H1123">
        <v>0</v>
      </c>
      <c r="I1123">
        <v>0</v>
      </c>
      <c r="J1123">
        <v>0</v>
      </c>
      <c r="K1123">
        <v>1</v>
      </c>
      <c r="L1123" t="s">
        <v>35</v>
      </c>
      <c r="M1123" t="s">
        <v>35</v>
      </c>
      <c r="N1123" t="s">
        <v>35</v>
      </c>
      <c r="O1123" t="s">
        <v>35</v>
      </c>
      <c r="P1123" t="s">
        <v>35</v>
      </c>
      <c r="Q1123" t="s">
        <v>35</v>
      </c>
      <c r="R1123" t="s">
        <v>35</v>
      </c>
      <c r="S1123" t="s">
        <v>35</v>
      </c>
      <c r="T1123" t="s">
        <v>35</v>
      </c>
      <c r="U1123" t="s">
        <v>35</v>
      </c>
      <c r="V1123" t="s">
        <v>35</v>
      </c>
      <c r="W1123" t="s">
        <v>35</v>
      </c>
      <c r="X1123" t="s">
        <v>35</v>
      </c>
      <c r="Y1123" t="s">
        <v>35</v>
      </c>
      <c r="Z1123" t="s">
        <v>35</v>
      </c>
      <c r="AA1123" t="s">
        <v>35</v>
      </c>
      <c r="AB1123" t="s">
        <v>35</v>
      </c>
      <c r="AC1123" t="s">
        <v>35</v>
      </c>
      <c r="AD1123" t="s">
        <v>35</v>
      </c>
      <c r="AE1123" t="s">
        <v>35</v>
      </c>
    </row>
    <row r="1124" spans="1:31" x14ac:dyDescent="0.2">
      <c r="A1124" t="s">
        <v>358</v>
      </c>
      <c r="B1124" t="s">
        <v>102</v>
      </c>
      <c r="C1124">
        <v>60</v>
      </c>
      <c r="D1124" t="s">
        <v>33</v>
      </c>
      <c r="E1124" t="s">
        <v>36</v>
      </c>
      <c r="F1124" t="s">
        <v>37</v>
      </c>
      <c r="G1124">
        <v>24344</v>
      </c>
      <c r="H1124">
        <v>0</v>
      </c>
      <c r="I1124">
        <v>0</v>
      </c>
      <c r="J1124">
        <v>1</v>
      </c>
      <c r="K1124">
        <v>0</v>
      </c>
      <c r="L1124" t="s">
        <v>35</v>
      </c>
      <c r="M1124" t="s">
        <v>35</v>
      </c>
      <c r="N1124" t="s">
        <v>35</v>
      </c>
      <c r="O1124" t="s">
        <v>35</v>
      </c>
      <c r="P1124" t="s">
        <v>35</v>
      </c>
      <c r="Q1124" t="s">
        <v>35</v>
      </c>
      <c r="R1124" t="s">
        <v>35</v>
      </c>
      <c r="S1124" t="s">
        <v>35</v>
      </c>
      <c r="T1124" t="s">
        <v>35</v>
      </c>
      <c r="U1124" t="s">
        <v>35</v>
      </c>
      <c r="V1124" t="s">
        <v>35</v>
      </c>
      <c r="W1124" t="s">
        <v>35</v>
      </c>
      <c r="X1124" t="s">
        <v>35</v>
      </c>
      <c r="Y1124" t="s">
        <v>35</v>
      </c>
      <c r="Z1124" t="s">
        <v>35</v>
      </c>
      <c r="AA1124" t="s">
        <v>35</v>
      </c>
      <c r="AB1124" t="s">
        <v>35</v>
      </c>
      <c r="AC1124" t="s">
        <v>35</v>
      </c>
      <c r="AD1124" t="s">
        <v>35</v>
      </c>
      <c r="AE1124" t="s">
        <v>35</v>
      </c>
    </row>
    <row r="1125" spans="1:31" x14ac:dyDescent="0.2">
      <c r="A1125" t="s">
        <v>358</v>
      </c>
      <c r="B1125" t="s">
        <v>102</v>
      </c>
      <c r="C1125">
        <v>60</v>
      </c>
      <c r="D1125" t="s">
        <v>33</v>
      </c>
      <c r="E1125" t="s">
        <v>39</v>
      </c>
      <c r="F1125" t="s">
        <v>59</v>
      </c>
      <c r="G1125">
        <v>52190</v>
      </c>
      <c r="H1125">
        <v>0</v>
      </c>
      <c r="I1125">
        <v>0</v>
      </c>
      <c r="J1125">
        <v>0</v>
      </c>
      <c r="K1125">
        <v>1</v>
      </c>
      <c r="L1125" t="s">
        <v>62</v>
      </c>
      <c r="M1125" t="s">
        <v>94</v>
      </c>
      <c r="N1125" t="s">
        <v>99</v>
      </c>
      <c r="O1125" t="s">
        <v>45</v>
      </c>
      <c r="P1125" t="s">
        <v>68</v>
      </c>
      <c r="Q1125" t="s">
        <v>67</v>
      </c>
      <c r="R1125">
        <v>1</v>
      </c>
      <c r="S1125">
        <v>0</v>
      </c>
      <c r="T1125">
        <v>0</v>
      </c>
      <c r="U1125">
        <v>1</v>
      </c>
      <c r="V1125">
        <v>1</v>
      </c>
      <c r="W1125">
        <v>0</v>
      </c>
      <c r="X1125">
        <v>1</v>
      </c>
      <c r="Y1125">
        <v>0</v>
      </c>
      <c r="Z1125">
        <v>0</v>
      </c>
      <c r="AA1125">
        <v>0</v>
      </c>
      <c r="AB1125">
        <v>0</v>
      </c>
      <c r="AC1125">
        <v>0</v>
      </c>
      <c r="AD1125">
        <v>0</v>
      </c>
      <c r="AE1125">
        <v>1</v>
      </c>
    </row>
    <row r="1126" spans="1:31" x14ac:dyDescent="0.2">
      <c r="A1126" t="s">
        <v>358</v>
      </c>
      <c r="B1126" t="s">
        <v>102</v>
      </c>
      <c r="C1126">
        <v>60</v>
      </c>
      <c r="D1126" t="s">
        <v>33</v>
      </c>
      <c r="E1126" t="s">
        <v>39</v>
      </c>
      <c r="F1126" t="s">
        <v>54</v>
      </c>
      <c r="G1126">
        <v>50710</v>
      </c>
      <c r="H1126">
        <v>1</v>
      </c>
      <c r="I1126">
        <v>1</v>
      </c>
      <c r="J1126">
        <v>1</v>
      </c>
      <c r="K1126">
        <v>0</v>
      </c>
      <c r="L1126" t="s">
        <v>57</v>
      </c>
      <c r="M1126" t="s">
        <v>89</v>
      </c>
      <c r="N1126" t="s">
        <v>55</v>
      </c>
      <c r="O1126" t="s">
        <v>46</v>
      </c>
      <c r="P1126" t="s">
        <v>67</v>
      </c>
      <c r="Q1126" t="s">
        <v>44</v>
      </c>
      <c r="R1126">
        <v>0</v>
      </c>
      <c r="S1126">
        <v>1</v>
      </c>
      <c r="T1126">
        <v>1</v>
      </c>
      <c r="U1126">
        <v>1</v>
      </c>
      <c r="V1126">
        <v>0</v>
      </c>
      <c r="W1126">
        <v>0</v>
      </c>
      <c r="X1126">
        <v>1</v>
      </c>
      <c r="Y1126">
        <v>0</v>
      </c>
      <c r="Z1126">
        <v>1</v>
      </c>
      <c r="AA1126">
        <v>1</v>
      </c>
      <c r="AB1126">
        <v>1</v>
      </c>
      <c r="AC1126">
        <v>0</v>
      </c>
      <c r="AD1126">
        <v>0</v>
      </c>
      <c r="AE1126">
        <v>0</v>
      </c>
    </row>
    <row r="1127" spans="1:31" x14ac:dyDescent="0.2">
      <c r="A1127" t="s">
        <v>358</v>
      </c>
      <c r="B1127" t="s">
        <v>102</v>
      </c>
      <c r="C1127">
        <v>60</v>
      </c>
      <c r="D1127" t="s">
        <v>33</v>
      </c>
      <c r="E1127" t="s">
        <v>52</v>
      </c>
      <c r="F1127" t="s">
        <v>69</v>
      </c>
      <c r="G1127">
        <v>26632</v>
      </c>
      <c r="H1127">
        <v>1</v>
      </c>
      <c r="I1127">
        <v>1</v>
      </c>
      <c r="J1127">
        <v>1</v>
      </c>
      <c r="K1127">
        <v>0</v>
      </c>
      <c r="L1127" t="s">
        <v>35</v>
      </c>
      <c r="M1127" t="s">
        <v>35</v>
      </c>
      <c r="N1127" t="s">
        <v>35</v>
      </c>
      <c r="O1127" t="s">
        <v>35</v>
      </c>
      <c r="P1127" t="s">
        <v>35</v>
      </c>
      <c r="Q1127" t="s">
        <v>35</v>
      </c>
      <c r="R1127" t="s">
        <v>35</v>
      </c>
      <c r="S1127">
        <v>1</v>
      </c>
      <c r="T1127">
        <v>1</v>
      </c>
      <c r="U1127">
        <v>1</v>
      </c>
      <c r="V1127">
        <v>0</v>
      </c>
      <c r="W1127">
        <v>0</v>
      </c>
      <c r="X1127">
        <v>1</v>
      </c>
      <c r="Y1127">
        <v>0</v>
      </c>
      <c r="Z1127">
        <v>1</v>
      </c>
      <c r="AA1127">
        <v>1</v>
      </c>
      <c r="AB1127">
        <v>1</v>
      </c>
      <c r="AC1127">
        <v>0</v>
      </c>
      <c r="AD1127">
        <v>0</v>
      </c>
      <c r="AE1127">
        <v>0</v>
      </c>
    </row>
    <row r="1128" spans="1:31" x14ac:dyDescent="0.2">
      <c r="A1128" t="s">
        <v>358</v>
      </c>
      <c r="B1128" t="s">
        <v>102</v>
      </c>
      <c r="C1128">
        <v>60</v>
      </c>
      <c r="D1128" t="s">
        <v>33</v>
      </c>
      <c r="E1128" t="s">
        <v>39</v>
      </c>
      <c r="F1128" t="s">
        <v>47</v>
      </c>
      <c r="G1128">
        <v>23448</v>
      </c>
      <c r="H1128">
        <v>0</v>
      </c>
      <c r="I1128">
        <v>0</v>
      </c>
      <c r="J1128">
        <v>0</v>
      </c>
      <c r="K1128">
        <v>1</v>
      </c>
      <c r="L1128" t="s">
        <v>80</v>
      </c>
      <c r="M1128" t="s">
        <v>48</v>
      </c>
      <c r="N1128" t="s">
        <v>49</v>
      </c>
      <c r="O1128" t="s">
        <v>67</v>
      </c>
      <c r="P1128" t="s">
        <v>46</v>
      </c>
      <c r="Q1128" t="s">
        <v>44</v>
      </c>
      <c r="R1128">
        <v>0</v>
      </c>
      <c r="S1128">
        <v>1</v>
      </c>
      <c r="T1128">
        <v>1</v>
      </c>
      <c r="U1128">
        <v>1</v>
      </c>
      <c r="V1128">
        <v>0</v>
      </c>
      <c r="W1128">
        <v>0</v>
      </c>
      <c r="X1128">
        <v>1</v>
      </c>
      <c r="Y1128">
        <v>0</v>
      </c>
      <c r="Z1128">
        <v>0</v>
      </c>
      <c r="AA1128">
        <v>0</v>
      </c>
      <c r="AB1128">
        <v>0</v>
      </c>
      <c r="AC1128">
        <v>0</v>
      </c>
      <c r="AD1128">
        <v>0</v>
      </c>
      <c r="AE1128">
        <v>1</v>
      </c>
    </row>
    <row r="1129" spans="1:31" x14ac:dyDescent="0.2">
      <c r="A1129" t="s">
        <v>358</v>
      </c>
      <c r="B1129" t="s">
        <v>102</v>
      </c>
      <c r="C1129">
        <v>60</v>
      </c>
      <c r="D1129" t="s">
        <v>33</v>
      </c>
      <c r="E1129" t="s">
        <v>52</v>
      </c>
      <c r="F1129" t="s">
        <v>58</v>
      </c>
      <c r="G1129">
        <v>13192</v>
      </c>
      <c r="H1129">
        <v>1</v>
      </c>
      <c r="I1129">
        <v>1</v>
      </c>
      <c r="J1129">
        <v>0</v>
      </c>
      <c r="K1129">
        <v>0</v>
      </c>
      <c r="L1129" t="s">
        <v>35</v>
      </c>
      <c r="M1129" t="s">
        <v>35</v>
      </c>
      <c r="N1129" t="s">
        <v>35</v>
      </c>
      <c r="O1129" t="s">
        <v>35</v>
      </c>
      <c r="P1129" t="s">
        <v>35</v>
      </c>
      <c r="Q1129" t="s">
        <v>35</v>
      </c>
      <c r="R1129" t="s">
        <v>35</v>
      </c>
      <c r="S1129">
        <v>1</v>
      </c>
      <c r="T1129">
        <v>1</v>
      </c>
      <c r="U1129">
        <v>1</v>
      </c>
      <c r="V1129">
        <v>0</v>
      </c>
      <c r="W1129">
        <v>0</v>
      </c>
      <c r="X1129">
        <v>1</v>
      </c>
      <c r="Y1129">
        <v>0</v>
      </c>
      <c r="Z1129">
        <v>0</v>
      </c>
      <c r="AA1129">
        <v>0</v>
      </c>
      <c r="AB1129">
        <v>0</v>
      </c>
      <c r="AC1129">
        <v>0</v>
      </c>
      <c r="AD1129">
        <v>0</v>
      </c>
      <c r="AE1129">
        <v>1</v>
      </c>
    </row>
    <row r="1130" spans="1:31" x14ac:dyDescent="0.2">
      <c r="A1130" t="s">
        <v>358</v>
      </c>
      <c r="B1130" t="s">
        <v>102</v>
      </c>
      <c r="C1130">
        <v>60</v>
      </c>
      <c r="D1130" t="s">
        <v>33</v>
      </c>
      <c r="E1130" t="s">
        <v>39</v>
      </c>
      <c r="F1130" t="s">
        <v>63</v>
      </c>
      <c r="G1130">
        <v>24292</v>
      </c>
      <c r="H1130">
        <v>1</v>
      </c>
      <c r="I1130">
        <v>1</v>
      </c>
      <c r="J1130">
        <v>1</v>
      </c>
      <c r="K1130">
        <v>0</v>
      </c>
      <c r="L1130" t="s">
        <v>64</v>
      </c>
      <c r="M1130" t="s">
        <v>66</v>
      </c>
      <c r="N1130" t="s">
        <v>65</v>
      </c>
      <c r="O1130" t="s">
        <v>67</v>
      </c>
      <c r="P1130" t="s">
        <v>45</v>
      </c>
      <c r="Q1130" t="s">
        <v>68</v>
      </c>
      <c r="R1130">
        <v>1</v>
      </c>
      <c r="S1130">
        <v>0</v>
      </c>
      <c r="T1130">
        <v>0</v>
      </c>
      <c r="U1130">
        <v>1</v>
      </c>
      <c r="V1130">
        <v>1</v>
      </c>
      <c r="W1130">
        <v>0</v>
      </c>
      <c r="X1130">
        <v>1</v>
      </c>
      <c r="Y1130">
        <v>1</v>
      </c>
      <c r="Z1130">
        <v>0</v>
      </c>
      <c r="AA1130">
        <v>0</v>
      </c>
      <c r="AB1130">
        <v>1</v>
      </c>
      <c r="AC1130">
        <v>1</v>
      </c>
      <c r="AD1130">
        <v>0</v>
      </c>
      <c r="AE1130">
        <v>0</v>
      </c>
    </row>
    <row r="1131" spans="1:31" x14ac:dyDescent="0.2">
      <c r="A1131" t="s">
        <v>358</v>
      </c>
      <c r="B1131" t="s">
        <v>102</v>
      </c>
      <c r="C1131">
        <v>60</v>
      </c>
      <c r="D1131" t="s">
        <v>33</v>
      </c>
      <c r="E1131" t="s">
        <v>39</v>
      </c>
      <c r="F1131" t="s">
        <v>40</v>
      </c>
      <c r="G1131">
        <v>32230</v>
      </c>
      <c r="H1131">
        <v>1</v>
      </c>
      <c r="I1131">
        <v>1</v>
      </c>
      <c r="J1131">
        <v>1</v>
      </c>
      <c r="K1131">
        <v>0</v>
      </c>
      <c r="L1131" t="s">
        <v>41</v>
      </c>
      <c r="M1131" t="s">
        <v>82</v>
      </c>
      <c r="N1131" t="s">
        <v>43</v>
      </c>
      <c r="O1131" t="s">
        <v>44</v>
      </c>
      <c r="P1131" t="s">
        <v>68</v>
      </c>
      <c r="Q1131" t="s">
        <v>46</v>
      </c>
      <c r="R1131">
        <v>1</v>
      </c>
      <c r="S1131">
        <v>1</v>
      </c>
      <c r="T1131">
        <v>1</v>
      </c>
      <c r="U1131">
        <v>0</v>
      </c>
      <c r="V1131">
        <v>0</v>
      </c>
      <c r="W1131">
        <v>0</v>
      </c>
      <c r="X1131">
        <v>1</v>
      </c>
      <c r="Y1131">
        <v>1</v>
      </c>
      <c r="Z1131">
        <v>1</v>
      </c>
      <c r="AA1131">
        <v>1</v>
      </c>
      <c r="AB1131">
        <v>0</v>
      </c>
      <c r="AC1131">
        <v>0</v>
      </c>
      <c r="AD1131">
        <v>0</v>
      </c>
      <c r="AE1131">
        <v>0</v>
      </c>
    </row>
    <row r="1132" spans="1:31" x14ac:dyDescent="0.2">
      <c r="A1132" t="s">
        <v>358</v>
      </c>
      <c r="B1132" t="s">
        <v>102</v>
      </c>
      <c r="C1132">
        <v>60</v>
      </c>
      <c r="D1132" t="s">
        <v>33</v>
      </c>
      <c r="E1132" t="s">
        <v>52</v>
      </c>
      <c r="F1132" t="s">
        <v>74</v>
      </c>
      <c r="G1132">
        <v>18070</v>
      </c>
      <c r="H1132">
        <v>1</v>
      </c>
      <c r="I1132">
        <v>0</v>
      </c>
      <c r="J1132">
        <v>0</v>
      </c>
      <c r="K1132">
        <v>0</v>
      </c>
      <c r="L1132" t="s">
        <v>35</v>
      </c>
      <c r="M1132" t="s">
        <v>35</v>
      </c>
      <c r="N1132" t="s">
        <v>35</v>
      </c>
      <c r="O1132" t="s">
        <v>35</v>
      </c>
      <c r="P1132" t="s">
        <v>35</v>
      </c>
      <c r="Q1132" t="s">
        <v>35</v>
      </c>
      <c r="R1132" t="s">
        <v>35</v>
      </c>
      <c r="S1132">
        <v>1</v>
      </c>
      <c r="T1132">
        <v>1</v>
      </c>
      <c r="U1132">
        <v>0</v>
      </c>
      <c r="V1132">
        <v>0</v>
      </c>
      <c r="W1132">
        <v>0</v>
      </c>
      <c r="X1132">
        <v>1</v>
      </c>
      <c r="Y1132">
        <v>1</v>
      </c>
      <c r="Z1132">
        <v>1</v>
      </c>
      <c r="AA1132">
        <v>1</v>
      </c>
      <c r="AB1132">
        <v>0</v>
      </c>
      <c r="AC1132">
        <v>0</v>
      </c>
      <c r="AD1132">
        <v>0</v>
      </c>
      <c r="AE1132">
        <v>0</v>
      </c>
    </row>
    <row r="1133" spans="1:31" x14ac:dyDescent="0.2">
      <c r="A1133" t="s">
        <v>358</v>
      </c>
      <c r="B1133" t="s">
        <v>102</v>
      </c>
      <c r="C1133">
        <v>60</v>
      </c>
      <c r="D1133" t="s">
        <v>33</v>
      </c>
      <c r="E1133" t="s">
        <v>39</v>
      </c>
      <c r="F1133" t="s">
        <v>70</v>
      </c>
      <c r="G1133">
        <v>26118</v>
      </c>
      <c r="H1133">
        <v>1</v>
      </c>
      <c r="I1133">
        <v>1</v>
      </c>
      <c r="J1133">
        <v>1</v>
      </c>
      <c r="K1133">
        <v>0</v>
      </c>
      <c r="L1133" t="s">
        <v>71</v>
      </c>
      <c r="M1133" t="s">
        <v>86</v>
      </c>
      <c r="N1133" t="s">
        <v>72</v>
      </c>
      <c r="O1133" t="s">
        <v>45</v>
      </c>
      <c r="P1133" t="s">
        <v>46</v>
      </c>
      <c r="Q1133" t="s">
        <v>67</v>
      </c>
      <c r="R1133">
        <v>0</v>
      </c>
      <c r="S1133">
        <v>0</v>
      </c>
      <c r="T1133">
        <v>1</v>
      </c>
      <c r="U1133">
        <v>1</v>
      </c>
      <c r="V1133">
        <v>1</v>
      </c>
      <c r="W1133">
        <v>0</v>
      </c>
      <c r="X1133">
        <v>1</v>
      </c>
      <c r="Y1133">
        <v>0</v>
      </c>
      <c r="Z1133">
        <v>0</v>
      </c>
      <c r="AA1133">
        <v>1</v>
      </c>
      <c r="AB1133">
        <v>1</v>
      </c>
      <c r="AC1133">
        <v>1</v>
      </c>
      <c r="AD1133">
        <v>0</v>
      </c>
      <c r="AE1133">
        <v>0</v>
      </c>
    </row>
    <row r="1134" spans="1:31" x14ac:dyDescent="0.2">
      <c r="A1134" t="s">
        <v>358</v>
      </c>
      <c r="B1134" t="s">
        <v>102</v>
      </c>
      <c r="C1134">
        <v>60</v>
      </c>
      <c r="D1134" t="s">
        <v>33</v>
      </c>
      <c r="E1134" t="s">
        <v>52</v>
      </c>
      <c r="F1134" t="s">
        <v>53</v>
      </c>
      <c r="G1134">
        <v>29130</v>
      </c>
      <c r="H1134">
        <v>0</v>
      </c>
      <c r="I1134">
        <v>0</v>
      </c>
      <c r="J1134">
        <v>0</v>
      </c>
      <c r="K1134">
        <v>1</v>
      </c>
      <c r="L1134" t="s">
        <v>35</v>
      </c>
      <c r="M1134" t="s">
        <v>35</v>
      </c>
      <c r="N1134" t="s">
        <v>35</v>
      </c>
      <c r="O1134" t="s">
        <v>35</v>
      </c>
      <c r="P1134" t="s">
        <v>35</v>
      </c>
      <c r="Q1134" t="s">
        <v>35</v>
      </c>
      <c r="R1134" t="s">
        <v>35</v>
      </c>
      <c r="S1134">
        <v>0</v>
      </c>
      <c r="T1134">
        <v>1</v>
      </c>
      <c r="U1134">
        <v>1</v>
      </c>
      <c r="V1134">
        <v>1</v>
      </c>
      <c r="W1134">
        <v>0</v>
      </c>
      <c r="X1134">
        <v>1</v>
      </c>
      <c r="Y1134">
        <v>0</v>
      </c>
      <c r="Z1134">
        <v>0</v>
      </c>
      <c r="AA1134">
        <v>1</v>
      </c>
      <c r="AB1134">
        <v>1</v>
      </c>
      <c r="AC1134">
        <v>1</v>
      </c>
      <c r="AD1134">
        <v>0</v>
      </c>
      <c r="AE1134">
        <v>0</v>
      </c>
    </row>
    <row r="1135" spans="1:31" x14ac:dyDescent="0.2">
      <c r="A1135" t="s">
        <v>358</v>
      </c>
      <c r="B1135" t="s">
        <v>102</v>
      </c>
      <c r="C1135">
        <v>60</v>
      </c>
      <c r="D1135" t="s">
        <v>33</v>
      </c>
      <c r="E1135" t="s">
        <v>75</v>
      </c>
      <c r="F1135" t="s">
        <v>35</v>
      </c>
      <c r="G1135">
        <v>67502</v>
      </c>
      <c r="H1135" t="s">
        <v>359</v>
      </c>
      <c r="I1135" t="s">
        <v>360</v>
      </c>
      <c r="J1135" t="s">
        <v>100</v>
      </c>
      <c r="K1135" t="s">
        <v>35</v>
      </c>
      <c r="L1135" t="s">
        <v>35</v>
      </c>
      <c r="M1135" t="s">
        <v>35</v>
      </c>
      <c r="N1135" t="s">
        <v>35</v>
      </c>
      <c r="O1135" t="s">
        <v>35</v>
      </c>
      <c r="P1135" t="s">
        <v>35</v>
      </c>
      <c r="Q1135" t="s">
        <v>35</v>
      </c>
      <c r="R1135" t="s">
        <v>35</v>
      </c>
      <c r="S1135" t="s">
        <v>35</v>
      </c>
      <c r="T1135" t="s">
        <v>35</v>
      </c>
      <c r="U1135" t="s">
        <v>35</v>
      </c>
      <c r="V1135" t="s">
        <v>35</v>
      </c>
      <c r="W1135" t="s">
        <v>35</v>
      </c>
      <c r="X1135" t="s">
        <v>35</v>
      </c>
      <c r="Y1135" t="s">
        <v>35</v>
      </c>
      <c r="Z1135" t="s">
        <v>35</v>
      </c>
      <c r="AA1135" t="s">
        <v>35</v>
      </c>
      <c r="AB1135" t="s">
        <v>35</v>
      </c>
      <c r="AC1135" t="s">
        <v>35</v>
      </c>
      <c r="AD1135" t="s">
        <v>35</v>
      </c>
      <c r="AE1135" t="s">
        <v>35</v>
      </c>
    </row>
    <row r="1136" spans="1:31" x14ac:dyDescent="0.2">
      <c r="A1136" t="s">
        <v>361</v>
      </c>
      <c r="B1136" t="s">
        <v>107</v>
      </c>
      <c r="C1136">
        <v>28</v>
      </c>
      <c r="D1136" t="s">
        <v>33</v>
      </c>
      <c r="E1136" t="s">
        <v>34</v>
      </c>
      <c r="F1136" t="s">
        <v>35</v>
      </c>
      <c r="G1136">
        <v>23313</v>
      </c>
      <c r="H1136" t="s">
        <v>35</v>
      </c>
      <c r="I1136" t="s">
        <v>35</v>
      </c>
      <c r="J1136" t="s">
        <v>35</v>
      </c>
      <c r="K1136" t="s">
        <v>35</v>
      </c>
      <c r="L1136" t="s">
        <v>35</v>
      </c>
      <c r="M1136" t="s">
        <v>35</v>
      </c>
      <c r="N1136" t="s">
        <v>35</v>
      </c>
      <c r="O1136" t="s">
        <v>35</v>
      </c>
      <c r="P1136" t="s">
        <v>35</v>
      </c>
      <c r="Q1136" t="s">
        <v>35</v>
      </c>
      <c r="R1136" t="s">
        <v>35</v>
      </c>
      <c r="S1136" t="s">
        <v>35</v>
      </c>
      <c r="T1136" t="s">
        <v>35</v>
      </c>
      <c r="U1136" t="s">
        <v>35</v>
      </c>
      <c r="V1136" t="s">
        <v>35</v>
      </c>
      <c r="W1136" t="s">
        <v>35</v>
      </c>
      <c r="X1136" t="s">
        <v>35</v>
      </c>
      <c r="Y1136" t="s">
        <v>35</v>
      </c>
      <c r="Z1136" t="s">
        <v>35</v>
      </c>
      <c r="AA1136" t="s">
        <v>35</v>
      </c>
      <c r="AB1136" t="s">
        <v>35</v>
      </c>
      <c r="AC1136" t="s">
        <v>35</v>
      </c>
      <c r="AD1136" t="s">
        <v>35</v>
      </c>
      <c r="AE1136" t="s">
        <v>35</v>
      </c>
    </row>
    <row r="1137" spans="1:31" x14ac:dyDescent="0.2">
      <c r="A1137" t="s">
        <v>361</v>
      </c>
      <c r="B1137" t="s">
        <v>107</v>
      </c>
      <c r="C1137">
        <v>28</v>
      </c>
      <c r="D1137" t="s">
        <v>33</v>
      </c>
      <c r="E1137" t="s">
        <v>36</v>
      </c>
      <c r="F1137" t="s">
        <v>37</v>
      </c>
      <c r="G1137">
        <v>14788</v>
      </c>
      <c r="H1137">
        <v>0</v>
      </c>
      <c r="I1137">
        <v>0</v>
      </c>
      <c r="J1137">
        <v>1</v>
      </c>
      <c r="K1137">
        <v>0</v>
      </c>
      <c r="L1137" t="s">
        <v>35</v>
      </c>
      <c r="M1137" t="s">
        <v>35</v>
      </c>
      <c r="N1137" t="s">
        <v>35</v>
      </c>
      <c r="O1137" t="s">
        <v>35</v>
      </c>
      <c r="P1137" t="s">
        <v>35</v>
      </c>
      <c r="Q1137" t="s">
        <v>35</v>
      </c>
      <c r="R1137" t="s">
        <v>35</v>
      </c>
      <c r="S1137" t="s">
        <v>35</v>
      </c>
      <c r="T1137" t="s">
        <v>35</v>
      </c>
      <c r="U1137" t="s">
        <v>35</v>
      </c>
      <c r="V1137" t="s">
        <v>35</v>
      </c>
      <c r="W1137" t="s">
        <v>35</v>
      </c>
      <c r="X1137" t="s">
        <v>35</v>
      </c>
      <c r="Y1137" t="s">
        <v>35</v>
      </c>
      <c r="Z1137" t="s">
        <v>35</v>
      </c>
      <c r="AA1137" t="s">
        <v>35</v>
      </c>
      <c r="AB1137" t="s">
        <v>35</v>
      </c>
      <c r="AC1137" t="s">
        <v>35</v>
      </c>
      <c r="AD1137" t="s">
        <v>35</v>
      </c>
      <c r="AE1137" t="s">
        <v>35</v>
      </c>
    </row>
    <row r="1138" spans="1:31" x14ac:dyDescent="0.2">
      <c r="A1138" t="s">
        <v>361</v>
      </c>
      <c r="B1138" t="s">
        <v>107</v>
      </c>
      <c r="C1138">
        <v>28</v>
      </c>
      <c r="D1138" t="s">
        <v>33</v>
      </c>
      <c r="E1138" t="s">
        <v>36</v>
      </c>
      <c r="F1138" t="s">
        <v>38</v>
      </c>
      <c r="G1138">
        <v>15600</v>
      </c>
      <c r="H1138">
        <v>0</v>
      </c>
      <c r="I1138">
        <v>1</v>
      </c>
      <c r="J1138">
        <v>0</v>
      </c>
      <c r="K1138">
        <v>0</v>
      </c>
      <c r="L1138" t="s">
        <v>35</v>
      </c>
      <c r="M1138" t="s">
        <v>35</v>
      </c>
      <c r="N1138" t="s">
        <v>35</v>
      </c>
      <c r="O1138" t="s">
        <v>35</v>
      </c>
      <c r="P1138" t="s">
        <v>35</v>
      </c>
      <c r="Q1138" t="s">
        <v>35</v>
      </c>
      <c r="R1138" t="s">
        <v>35</v>
      </c>
      <c r="S1138" t="s">
        <v>35</v>
      </c>
      <c r="T1138" t="s">
        <v>35</v>
      </c>
      <c r="U1138" t="s">
        <v>35</v>
      </c>
      <c r="V1138" t="s">
        <v>35</v>
      </c>
      <c r="W1138" t="s">
        <v>35</v>
      </c>
      <c r="X1138" t="s">
        <v>35</v>
      </c>
      <c r="Y1138" t="s">
        <v>35</v>
      </c>
      <c r="Z1138" t="s">
        <v>35</v>
      </c>
      <c r="AA1138" t="s">
        <v>35</v>
      </c>
      <c r="AB1138" t="s">
        <v>35</v>
      </c>
      <c r="AC1138" t="s">
        <v>35</v>
      </c>
      <c r="AD1138" t="s">
        <v>35</v>
      </c>
      <c r="AE1138" t="s">
        <v>35</v>
      </c>
    </row>
    <row r="1139" spans="1:31" x14ac:dyDescent="0.2">
      <c r="A1139" t="s">
        <v>361</v>
      </c>
      <c r="B1139" t="s">
        <v>107</v>
      </c>
      <c r="C1139">
        <v>28</v>
      </c>
      <c r="D1139" t="s">
        <v>33</v>
      </c>
      <c r="E1139" t="s">
        <v>39</v>
      </c>
      <c r="F1139" t="s">
        <v>59</v>
      </c>
      <c r="G1139">
        <v>30595</v>
      </c>
      <c r="H1139">
        <v>0</v>
      </c>
      <c r="I1139">
        <v>0</v>
      </c>
      <c r="J1139">
        <v>0</v>
      </c>
      <c r="K1139">
        <v>1</v>
      </c>
      <c r="L1139" t="s">
        <v>61</v>
      </c>
      <c r="M1139" t="s">
        <v>99</v>
      </c>
      <c r="N1139" t="s">
        <v>60</v>
      </c>
      <c r="O1139" t="s">
        <v>46</v>
      </c>
      <c r="P1139" t="s">
        <v>67</v>
      </c>
      <c r="Q1139" t="s">
        <v>44</v>
      </c>
      <c r="R1139">
        <v>0</v>
      </c>
      <c r="S1139">
        <v>1</v>
      </c>
      <c r="T1139">
        <v>1</v>
      </c>
      <c r="U1139">
        <v>1</v>
      </c>
      <c r="V1139">
        <v>0</v>
      </c>
      <c r="W1139">
        <v>0</v>
      </c>
      <c r="X1139">
        <v>1</v>
      </c>
      <c r="Y1139">
        <v>0</v>
      </c>
      <c r="Z1139">
        <v>0</v>
      </c>
      <c r="AA1139">
        <v>0</v>
      </c>
      <c r="AB1139">
        <v>0</v>
      </c>
      <c r="AC1139">
        <v>0</v>
      </c>
      <c r="AD1139">
        <v>0</v>
      </c>
      <c r="AE1139">
        <v>1</v>
      </c>
    </row>
    <row r="1140" spans="1:31" x14ac:dyDescent="0.2">
      <c r="A1140" t="s">
        <v>361</v>
      </c>
      <c r="B1140" t="s">
        <v>107</v>
      </c>
      <c r="C1140">
        <v>28</v>
      </c>
      <c r="D1140" t="s">
        <v>33</v>
      </c>
      <c r="E1140" t="s">
        <v>39</v>
      </c>
      <c r="F1140" t="s">
        <v>47</v>
      </c>
      <c r="G1140">
        <v>10910</v>
      </c>
      <c r="H1140">
        <v>0</v>
      </c>
      <c r="I1140">
        <v>0</v>
      </c>
      <c r="J1140">
        <v>0</v>
      </c>
      <c r="K1140">
        <v>1</v>
      </c>
      <c r="L1140" t="s">
        <v>80</v>
      </c>
      <c r="M1140" t="s">
        <v>48</v>
      </c>
      <c r="N1140" t="s">
        <v>49</v>
      </c>
      <c r="O1140" t="s">
        <v>67</v>
      </c>
      <c r="P1140" t="s">
        <v>46</v>
      </c>
      <c r="Q1140" t="s">
        <v>44</v>
      </c>
      <c r="R1140">
        <v>0</v>
      </c>
      <c r="S1140">
        <v>1</v>
      </c>
      <c r="T1140">
        <v>1</v>
      </c>
      <c r="U1140">
        <v>1</v>
      </c>
      <c r="V1140">
        <v>0</v>
      </c>
      <c r="W1140">
        <v>0</v>
      </c>
      <c r="X1140">
        <v>1</v>
      </c>
      <c r="Y1140">
        <v>0</v>
      </c>
      <c r="Z1140">
        <v>0</v>
      </c>
      <c r="AA1140">
        <v>0</v>
      </c>
      <c r="AB1140">
        <v>0</v>
      </c>
      <c r="AC1140">
        <v>0</v>
      </c>
      <c r="AD1140">
        <v>0</v>
      </c>
      <c r="AE1140">
        <v>1</v>
      </c>
    </row>
    <row r="1141" spans="1:31" x14ac:dyDescent="0.2">
      <c r="A1141" t="s">
        <v>361</v>
      </c>
      <c r="B1141" t="s">
        <v>107</v>
      </c>
      <c r="C1141">
        <v>28</v>
      </c>
      <c r="D1141" t="s">
        <v>33</v>
      </c>
      <c r="E1141" t="s">
        <v>52</v>
      </c>
      <c r="F1141" t="s">
        <v>53</v>
      </c>
      <c r="G1141">
        <v>10835</v>
      </c>
      <c r="H1141">
        <v>0</v>
      </c>
      <c r="I1141">
        <v>0</v>
      </c>
      <c r="J1141">
        <v>1</v>
      </c>
      <c r="K1141">
        <v>0</v>
      </c>
      <c r="L1141" t="s">
        <v>35</v>
      </c>
      <c r="M1141" t="s">
        <v>35</v>
      </c>
      <c r="N1141" t="s">
        <v>35</v>
      </c>
      <c r="O1141" t="s">
        <v>35</v>
      </c>
      <c r="P1141" t="s">
        <v>35</v>
      </c>
      <c r="Q1141" t="s">
        <v>35</v>
      </c>
      <c r="R1141" t="s">
        <v>35</v>
      </c>
      <c r="S1141">
        <v>1</v>
      </c>
      <c r="T1141">
        <v>1</v>
      </c>
      <c r="U1141">
        <v>1</v>
      </c>
      <c r="V1141">
        <v>0</v>
      </c>
      <c r="W1141">
        <v>0</v>
      </c>
      <c r="X1141">
        <v>1</v>
      </c>
      <c r="Y1141">
        <v>0</v>
      </c>
      <c r="Z1141">
        <v>0</v>
      </c>
      <c r="AA1141">
        <v>0</v>
      </c>
      <c r="AB1141">
        <v>0</v>
      </c>
      <c r="AC1141">
        <v>0</v>
      </c>
      <c r="AD1141">
        <v>0</v>
      </c>
      <c r="AE1141">
        <v>1</v>
      </c>
    </row>
    <row r="1142" spans="1:31" x14ac:dyDescent="0.2">
      <c r="A1142" t="s">
        <v>361</v>
      </c>
      <c r="B1142" t="s">
        <v>107</v>
      </c>
      <c r="C1142">
        <v>28</v>
      </c>
      <c r="D1142" t="s">
        <v>33</v>
      </c>
      <c r="E1142" t="s">
        <v>39</v>
      </c>
      <c r="F1142" t="s">
        <v>70</v>
      </c>
      <c r="G1142">
        <v>4197</v>
      </c>
      <c r="H1142">
        <v>0</v>
      </c>
      <c r="I1142">
        <v>0</v>
      </c>
      <c r="J1142">
        <v>1</v>
      </c>
      <c r="K1142">
        <v>0</v>
      </c>
      <c r="L1142" t="s">
        <v>72</v>
      </c>
      <c r="M1142" t="s">
        <v>71</v>
      </c>
      <c r="N1142" t="s">
        <v>86</v>
      </c>
      <c r="O1142" t="s">
        <v>67</v>
      </c>
      <c r="P1142" t="s">
        <v>45</v>
      </c>
      <c r="Q1142" t="s">
        <v>46</v>
      </c>
      <c r="R1142">
        <v>0</v>
      </c>
      <c r="S1142">
        <v>0</v>
      </c>
      <c r="T1142">
        <v>1</v>
      </c>
      <c r="U1142">
        <v>1</v>
      </c>
      <c r="V1142">
        <v>1</v>
      </c>
      <c r="W1142">
        <v>0</v>
      </c>
      <c r="X1142">
        <v>1</v>
      </c>
      <c r="Y1142">
        <v>0</v>
      </c>
      <c r="Z1142">
        <v>0</v>
      </c>
      <c r="AA1142">
        <v>1</v>
      </c>
      <c r="AB1142">
        <v>0</v>
      </c>
      <c r="AC1142">
        <v>0</v>
      </c>
      <c r="AD1142">
        <v>0</v>
      </c>
      <c r="AE1142">
        <v>0</v>
      </c>
    </row>
    <row r="1143" spans="1:31" x14ac:dyDescent="0.2">
      <c r="A1143" t="s">
        <v>361</v>
      </c>
      <c r="B1143" t="s">
        <v>107</v>
      </c>
      <c r="C1143">
        <v>28</v>
      </c>
      <c r="D1143" t="s">
        <v>33</v>
      </c>
      <c r="E1143" t="s">
        <v>52</v>
      </c>
      <c r="F1143" t="s">
        <v>74</v>
      </c>
      <c r="G1143">
        <v>4574</v>
      </c>
      <c r="H1143">
        <v>0</v>
      </c>
      <c r="I1143">
        <v>0</v>
      </c>
      <c r="J1143">
        <v>1</v>
      </c>
      <c r="K1143">
        <v>0</v>
      </c>
      <c r="L1143" t="s">
        <v>35</v>
      </c>
      <c r="M1143" t="s">
        <v>35</v>
      </c>
      <c r="N1143" t="s">
        <v>35</v>
      </c>
      <c r="O1143" t="s">
        <v>35</v>
      </c>
      <c r="P1143" t="s">
        <v>35</v>
      </c>
      <c r="Q1143" t="s">
        <v>35</v>
      </c>
      <c r="R1143" t="s">
        <v>35</v>
      </c>
      <c r="S1143">
        <v>0</v>
      </c>
      <c r="T1143">
        <v>1</v>
      </c>
      <c r="U1143">
        <v>1</v>
      </c>
      <c r="V1143">
        <v>1</v>
      </c>
      <c r="W1143">
        <v>0</v>
      </c>
      <c r="X1143">
        <v>1</v>
      </c>
      <c r="Y1143">
        <v>0</v>
      </c>
      <c r="Z1143">
        <v>0</v>
      </c>
      <c r="AA1143">
        <v>1</v>
      </c>
      <c r="AB1143">
        <v>0</v>
      </c>
      <c r="AC1143">
        <v>0</v>
      </c>
      <c r="AD1143">
        <v>0</v>
      </c>
      <c r="AE1143">
        <v>0</v>
      </c>
    </row>
    <row r="1144" spans="1:31" x14ac:dyDescent="0.2">
      <c r="A1144" t="s">
        <v>361</v>
      </c>
      <c r="B1144" t="s">
        <v>107</v>
      </c>
      <c r="C1144">
        <v>28</v>
      </c>
      <c r="D1144" t="s">
        <v>33</v>
      </c>
      <c r="E1144" t="s">
        <v>39</v>
      </c>
      <c r="F1144" t="s">
        <v>63</v>
      </c>
      <c r="G1144">
        <v>5252</v>
      </c>
      <c r="H1144">
        <v>0</v>
      </c>
      <c r="I1144">
        <v>1</v>
      </c>
      <c r="J1144">
        <v>0</v>
      </c>
      <c r="K1144">
        <v>0</v>
      </c>
      <c r="L1144" t="s">
        <v>65</v>
      </c>
      <c r="M1144" t="s">
        <v>90</v>
      </c>
      <c r="N1144" t="s">
        <v>84</v>
      </c>
      <c r="O1144" t="s">
        <v>68</v>
      </c>
      <c r="P1144" t="s">
        <v>44</v>
      </c>
      <c r="Q1144" t="s">
        <v>46</v>
      </c>
      <c r="R1144">
        <v>1</v>
      </c>
      <c r="S1144">
        <v>1</v>
      </c>
      <c r="T1144">
        <v>1</v>
      </c>
      <c r="U1144">
        <v>0</v>
      </c>
      <c r="V1144">
        <v>0</v>
      </c>
      <c r="W1144">
        <v>0</v>
      </c>
      <c r="X1144">
        <v>1</v>
      </c>
      <c r="Y1144">
        <v>0</v>
      </c>
      <c r="Z1144">
        <v>1</v>
      </c>
      <c r="AA1144">
        <v>0</v>
      </c>
      <c r="AB1144">
        <v>0</v>
      </c>
      <c r="AC1144">
        <v>0</v>
      </c>
      <c r="AD1144">
        <v>0</v>
      </c>
      <c r="AE1144">
        <v>0</v>
      </c>
    </row>
    <row r="1145" spans="1:31" x14ac:dyDescent="0.2">
      <c r="A1145" t="s">
        <v>361</v>
      </c>
      <c r="B1145" t="s">
        <v>107</v>
      </c>
      <c r="C1145">
        <v>28</v>
      </c>
      <c r="D1145" t="s">
        <v>33</v>
      </c>
      <c r="E1145" t="s">
        <v>39</v>
      </c>
      <c r="F1145" t="s">
        <v>40</v>
      </c>
      <c r="G1145">
        <v>3094</v>
      </c>
      <c r="H1145">
        <v>0</v>
      </c>
      <c r="I1145">
        <v>1</v>
      </c>
      <c r="J1145">
        <v>0</v>
      </c>
      <c r="K1145">
        <v>0</v>
      </c>
      <c r="L1145" t="s">
        <v>41</v>
      </c>
      <c r="M1145" t="s">
        <v>81</v>
      </c>
      <c r="N1145" t="s">
        <v>42</v>
      </c>
      <c r="O1145" t="s">
        <v>44</v>
      </c>
      <c r="P1145" t="s">
        <v>67</v>
      </c>
      <c r="Q1145" t="s">
        <v>45</v>
      </c>
      <c r="R1145">
        <v>0</v>
      </c>
      <c r="S1145">
        <v>1</v>
      </c>
      <c r="T1145">
        <v>0</v>
      </c>
      <c r="U1145">
        <v>1</v>
      </c>
      <c r="V1145">
        <v>1</v>
      </c>
      <c r="W1145">
        <v>0</v>
      </c>
      <c r="X1145">
        <v>1</v>
      </c>
      <c r="Y1145">
        <v>0</v>
      </c>
      <c r="Z1145">
        <v>0</v>
      </c>
      <c r="AA1145">
        <v>0</v>
      </c>
      <c r="AB1145">
        <v>1</v>
      </c>
      <c r="AC1145">
        <v>0</v>
      </c>
      <c r="AD1145">
        <v>0</v>
      </c>
      <c r="AE1145">
        <v>0</v>
      </c>
    </row>
    <row r="1146" spans="1:31" x14ac:dyDescent="0.2">
      <c r="A1146" t="s">
        <v>361</v>
      </c>
      <c r="B1146" t="s">
        <v>107</v>
      </c>
      <c r="C1146">
        <v>28</v>
      </c>
      <c r="D1146" t="s">
        <v>33</v>
      </c>
      <c r="E1146" t="s">
        <v>52</v>
      </c>
      <c r="F1146" t="s">
        <v>69</v>
      </c>
      <c r="G1146">
        <v>2655</v>
      </c>
      <c r="H1146">
        <v>0</v>
      </c>
      <c r="I1146">
        <v>0</v>
      </c>
      <c r="J1146">
        <v>1</v>
      </c>
      <c r="K1146">
        <v>0</v>
      </c>
      <c r="L1146" t="s">
        <v>35</v>
      </c>
      <c r="M1146" t="s">
        <v>35</v>
      </c>
      <c r="N1146" t="s">
        <v>35</v>
      </c>
      <c r="O1146" t="s">
        <v>35</v>
      </c>
      <c r="P1146" t="s">
        <v>35</v>
      </c>
      <c r="Q1146" t="s">
        <v>35</v>
      </c>
      <c r="R1146" t="s">
        <v>35</v>
      </c>
      <c r="S1146">
        <v>1</v>
      </c>
      <c r="T1146">
        <v>0</v>
      </c>
      <c r="U1146">
        <v>1</v>
      </c>
      <c r="V1146">
        <v>1</v>
      </c>
      <c r="W1146">
        <v>0</v>
      </c>
      <c r="X1146">
        <v>1</v>
      </c>
      <c r="Y1146">
        <v>0</v>
      </c>
      <c r="Z1146">
        <v>0</v>
      </c>
      <c r="AA1146">
        <v>0</v>
      </c>
      <c r="AB1146">
        <v>1</v>
      </c>
      <c r="AC1146">
        <v>0</v>
      </c>
      <c r="AD1146">
        <v>0</v>
      </c>
      <c r="AE1146">
        <v>0</v>
      </c>
    </row>
    <row r="1147" spans="1:31" x14ac:dyDescent="0.2">
      <c r="A1147" t="s">
        <v>361</v>
      </c>
      <c r="B1147" t="s">
        <v>107</v>
      </c>
      <c r="C1147">
        <v>28</v>
      </c>
      <c r="D1147" t="s">
        <v>33</v>
      </c>
      <c r="E1147" t="s">
        <v>39</v>
      </c>
      <c r="F1147" t="s">
        <v>54</v>
      </c>
      <c r="G1147">
        <v>5226</v>
      </c>
      <c r="H1147">
        <v>0</v>
      </c>
      <c r="I1147">
        <v>0</v>
      </c>
      <c r="J1147">
        <v>1</v>
      </c>
      <c r="K1147">
        <v>0</v>
      </c>
      <c r="L1147" t="s">
        <v>56</v>
      </c>
      <c r="M1147" t="s">
        <v>57</v>
      </c>
      <c r="N1147" t="s">
        <v>55</v>
      </c>
      <c r="O1147" t="s">
        <v>45</v>
      </c>
      <c r="P1147" t="s">
        <v>46</v>
      </c>
      <c r="Q1147" t="s">
        <v>44</v>
      </c>
      <c r="R1147">
        <v>0</v>
      </c>
      <c r="S1147">
        <v>1</v>
      </c>
      <c r="T1147">
        <v>1</v>
      </c>
      <c r="U1147">
        <v>0</v>
      </c>
      <c r="V1147">
        <v>1</v>
      </c>
      <c r="W1147">
        <v>0</v>
      </c>
      <c r="X1147">
        <v>1</v>
      </c>
      <c r="Y1147">
        <v>0</v>
      </c>
      <c r="Z1147">
        <v>1</v>
      </c>
      <c r="AA1147">
        <v>0</v>
      </c>
      <c r="AB1147">
        <v>0</v>
      </c>
      <c r="AC1147">
        <v>0</v>
      </c>
      <c r="AD1147">
        <v>0</v>
      </c>
      <c r="AE1147">
        <v>0</v>
      </c>
    </row>
    <row r="1148" spans="1:31" x14ac:dyDescent="0.2">
      <c r="A1148" t="s">
        <v>361</v>
      </c>
      <c r="B1148" t="s">
        <v>107</v>
      </c>
      <c r="C1148">
        <v>28</v>
      </c>
      <c r="D1148" t="s">
        <v>33</v>
      </c>
      <c r="E1148" t="s">
        <v>52</v>
      </c>
      <c r="F1148" t="s">
        <v>58</v>
      </c>
      <c r="G1148">
        <v>2203</v>
      </c>
      <c r="H1148">
        <v>0</v>
      </c>
      <c r="I1148">
        <v>1</v>
      </c>
      <c r="J1148">
        <v>0</v>
      </c>
      <c r="K1148">
        <v>0</v>
      </c>
      <c r="L1148" t="s">
        <v>35</v>
      </c>
      <c r="M1148" t="s">
        <v>35</v>
      </c>
      <c r="N1148" t="s">
        <v>35</v>
      </c>
      <c r="O1148" t="s">
        <v>35</v>
      </c>
      <c r="P1148" t="s">
        <v>35</v>
      </c>
      <c r="Q1148" t="s">
        <v>35</v>
      </c>
      <c r="R1148" t="s">
        <v>35</v>
      </c>
      <c r="S1148">
        <v>1</v>
      </c>
      <c r="T1148">
        <v>1</v>
      </c>
      <c r="U1148">
        <v>0</v>
      </c>
      <c r="V1148">
        <v>1</v>
      </c>
      <c r="W1148">
        <v>0</v>
      </c>
      <c r="X1148">
        <v>1</v>
      </c>
      <c r="Y1148">
        <v>0</v>
      </c>
      <c r="Z1148">
        <v>1</v>
      </c>
      <c r="AA1148">
        <v>0</v>
      </c>
      <c r="AB1148">
        <v>0</v>
      </c>
      <c r="AC1148">
        <v>0</v>
      </c>
      <c r="AD1148">
        <v>0</v>
      </c>
      <c r="AE1148">
        <v>0</v>
      </c>
    </row>
    <row r="1149" spans="1:31" x14ac:dyDescent="0.2">
      <c r="A1149" t="s">
        <v>361</v>
      </c>
      <c r="B1149" t="s">
        <v>107</v>
      </c>
      <c r="C1149">
        <v>28</v>
      </c>
      <c r="D1149" t="s">
        <v>33</v>
      </c>
      <c r="E1149" t="s">
        <v>75</v>
      </c>
      <c r="F1149" t="s">
        <v>35</v>
      </c>
      <c r="G1149">
        <v>5965</v>
      </c>
      <c r="K1149" t="s">
        <v>35</v>
      </c>
      <c r="L1149" t="s">
        <v>35</v>
      </c>
      <c r="M1149" t="s">
        <v>35</v>
      </c>
      <c r="N1149" t="s">
        <v>35</v>
      </c>
      <c r="O1149" t="s">
        <v>35</v>
      </c>
      <c r="P1149" t="s">
        <v>35</v>
      </c>
      <c r="Q1149" t="s">
        <v>35</v>
      </c>
      <c r="R1149" t="s">
        <v>35</v>
      </c>
      <c r="S1149" t="s">
        <v>35</v>
      </c>
      <c r="T1149" t="s">
        <v>35</v>
      </c>
      <c r="U1149" t="s">
        <v>35</v>
      </c>
      <c r="V1149" t="s">
        <v>35</v>
      </c>
      <c r="W1149" t="s">
        <v>35</v>
      </c>
      <c r="X1149" t="s">
        <v>35</v>
      </c>
      <c r="Y1149" t="s">
        <v>35</v>
      </c>
      <c r="Z1149" t="s">
        <v>35</v>
      </c>
      <c r="AA1149" t="s">
        <v>35</v>
      </c>
      <c r="AB1149" t="s">
        <v>35</v>
      </c>
      <c r="AC1149" t="s">
        <v>35</v>
      </c>
      <c r="AD1149" t="s">
        <v>35</v>
      </c>
      <c r="AE1149" t="s">
        <v>35</v>
      </c>
    </row>
    <row r="1150" spans="1:31" x14ac:dyDescent="0.2">
      <c r="A1150" t="s">
        <v>362</v>
      </c>
      <c r="B1150" t="s">
        <v>107</v>
      </c>
      <c r="C1150">
        <v>44</v>
      </c>
      <c r="D1150" t="s">
        <v>78</v>
      </c>
      <c r="E1150" t="s">
        <v>34</v>
      </c>
      <c r="F1150" t="s">
        <v>35</v>
      </c>
      <c r="G1150">
        <v>44657</v>
      </c>
      <c r="H1150" t="s">
        <v>35</v>
      </c>
      <c r="I1150" t="s">
        <v>35</v>
      </c>
      <c r="J1150" t="s">
        <v>35</v>
      </c>
      <c r="K1150" t="s">
        <v>35</v>
      </c>
      <c r="L1150" t="s">
        <v>35</v>
      </c>
      <c r="M1150" t="s">
        <v>35</v>
      </c>
      <c r="N1150" t="s">
        <v>35</v>
      </c>
      <c r="O1150" t="s">
        <v>35</v>
      </c>
      <c r="P1150" t="s">
        <v>35</v>
      </c>
      <c r="Q1150" t="s">
        <v>35</v>
      </c>
      <c r="R1150" t="s">
        <v>35</v>
      </c>
      <c r="S1150" t="s">
        <v>35</v>
      </c>
      <c r="T1150" t="s">
        <v>35</v>
      </c>
      <c r="U1150" t="s">
        <v>35</v>
      </c>
      <c r="V1150" t="s">
        <v>35</v>
      </c>
      <c r="W1150" t="s">
        <v>35</v>
      </c>
      <c r="X1150" t="s">
        <v>35</v>
      </c>
      <c r="Y1150" t="s">
        <v>35</v>
      </c>
      <c r="Z1150" t="s">
        <v>35</v>
      </c>
      <c r="AA1150" t="s">
        <v>35</v>
      </c>
      <c r="AB1150" t="s">
        <v>35</v>
      </c>
      <c r="AC1150" t="s">
        <v>35</v>
      </c>
      <c r="AD1150" t="s">
        <v>35</v>
      </c>
      <c r="AE1150" t="s">
        <v>35</v>
      </c>
    </row>
    <row r="1151" spans="1:31" x14ac:dyDescent="0.2">
      <c r="A1151" t="s">
        <v>362</v>
      </c>
      <c r="B1151" t="s">
        <v>107</v>
      </c>
      <c r="C1151">
        <v>44</v>
      </c>
      <c r="D1151" t="s">
        <v>78</v>
      </c>
      <c r="E1151" t="s">
        <v>36</v>
      </c>
      <c r="F1151" t="s">
        <v>38</v>
      </c>
      <c r="G1151">
        <v>63943</v>
      </c>
      <c r="H1151">
        <v>0</v>
      </c>
      <c r="I1151">
        <v>0</v>
      </c>
      <c r="J1151">
        <v>0</v>
      </c>
      <c r="K1151">
        <v>1</v>
      </c>
      <c r="L1151" t="s">
        <v>35</v>
      </c>
      <c r="M1151" t="s">
        <v>35</v>
      </c>
      <c r="N1151" t="s">
        <v>35</v>
      </c>
      <c r="O1151" t="s">
        <v>35</v>
      </c>
      <c r="P1151" t="s">
        <v>35</v>
      </c>
      <c r="Q1151" t="s">
        <v>35</v>
      </c>
      <c r="R1151" t="s">
        <v>35</v>
      </c>
      <c r="S1151" t="s">
        <v>35</v>
      </c>
      <c r="T1151" t="s">
        <v>35</v>
      </c>
      <c r="U1151" t="s">
        <v>35</v>
      </c>
      <c r="V1151" t="s">
        <v>35</v>
      </c>
      <c r="W1151" t="s">
        <v>35</v>
      </c>
      <c r="X1151" t="s">
        <v>35</v>
      </c>
      <c r="Y1151" t="s">
        <v>35</v>
      </c>
      <c r="Z1151" t="s">
        <v>35</v>
      </c>
      <c r="AA1151" t="s">
        <v>35</v>
      </c>
      <c r="AB1151" t="s">
        <v>35</v>
      </c>
      <c r="AC1151" t="s">
        <v>35</v>
      </c>
      <c r="AD1151" t="s">
        <v>35</v>
      </c>
      <c r="AE1151" t="s">
        <v>35</v>
      </c>
    </row>
    <row r="1152" spans="1:31" x14ac:dyDescent="0.2">
      <c r="A1152" t="s">
        <v>362</v>
      </c>
      <c r="B1152" t="s">
        <v>107</v>
      </c>
      <c r="C1152">
        <v>44</v>
      </c>
      <c r="D1152" t="s">
        <v>78</v>
      </c>
      <c r="E1152" t="s">
        <v>36</v>
      </c>
      <c r="F1152" t="s">
        <v>37</v>
      </c>
      <c r="G1152">
        <v>102078</v>
      </c>
      <c r="H1152">
        <v>0</v>
      </c>
      <c r="I1152">
        <v>0</v>
      </c>
      <c r="J1152">
        <v>0</v>
      </c>
      <c r="K1152">
        <v>1</v>
      </c>
      <c r="L1152" t="s">
        <v>35</v>
      </c>
      <c r="M1152" t="s">
        <v>35</v>
      </c>
      <c r="N1152" t="s">
        <v>35</v>
      </c>
      <c r="O1152" t="s">
        <v>35</v>
      </c>
      <c r="P1152" t="s">
        <v>35</v>
      </c>
      <c r="Q1152" t="s">
        <v>35</v>
      </c>
      <c r="R1152" t="s">
        <v>35</v>
      </c>
      <c r="S1152" t="s">
        <v>35</v>
      </c>
      <c r="T1152" t="s">
        <v>35</v>
      </c>
      <c r="U1152" t="s">
        <v>35</v>
      </c>
      <c r="V1152" t="s">
        <v>35</v>
      </c>
      <c r="W1152" t="s">
        <v>35</v>
      </c>
      <c r="X1152" t="s">
        <v>35</v>
      </c>
      <c r="Y1152" t="s">
        <v>35</v>
      </c>
      <c r="Z1152" t="s">
        <v>35</v>
      </c>
      <c r="AA1152" t="s">
        <v>35</v>
      </c>
      <c r="AB1152" t="s">
        <v>35</v>
      </c>
      <c r="AC1152" t="s">
        <v>35</v>
      </c>
      <c r="AD1152" t="s">
        <v>35</v>
      </c>
      <c r="AE1152" t="s">
        <v>35</v>
      </c>
    </row>
    <row r="1153" spans="1:31" x14ac:dyDescent="0.2">
      <c r="A1153" t="s">
        <v>362</v>
      </c>
      <c r="B1153" t="s">
        <v>107</v>
      </c>
      <c r="C1153">
        <v>44</v>
      </c>
      <c r="D1153" t="s">
        <v>78</v>
      </c>
      <c r="E1153" t="s">
        <v>39</v>
      </c>
      <c r="F1153" t="s">
        <v>63</v>
      </c>
      <c r="G1153">
        <v>93175</v>
      </c>
      <c r="H1153">
        <v>0</v>
      </c>
      <c r="I1153">
        <v>0</v>
      </c>
      <c r="J1153">
        <v>0</v>
      </c>
      <c r="K1153">
        <v>1</v>
      </c>
      <c r="L1153" t="s">
        <v>90</v>
      </c>
      <c r="M1153" t="s">
        <v>84</v>
      </c>
      <c r="N1153" t="s">
        <v>66</v>
      </c>
      <c r="O1153" t="s">
        <v>44</v>
      </c>
      <c r="P1153" t="s">
        <v>46</v>
      </c>
      <c r="Q1153" t="s">
        <v>45</v>
      </c>
      <c r="R1153">
        <v>0</v>
      </c>
      <c r="S1153">
        <v>1</v>
      </c>
      <c r="T1153">
        <v>1</v>
      </c>
      <c r="U1153">
        <v>0</v>
      </c>
      <c r="V1153">
        <v>1</v>
      </c>
      <c r="W1153">
        <v>0</v>
      </c>
      <c r="X1153">
        <v>1</v>
      </c>
      <c r="Y1153">
        <v>0</v>
      </c>
      <c r="Z1153">
        <v>0</v>
      </c>
      <c r="AA1153">
        <v>0</v>
      </c>
      <c r="AB1153">
        <v>0</v>
      </c>
      <c r="AC1153">
        <v>0</v>
      </c>
      <c r="AD1153">
        <v>0</v>
      </c>
      <c r="AE1153">
        <v>1</v>
      </c>
    </row>
    <row r="1154" spans="1:31" x14ac:dyDescent="0.2">
      <c r="A1154" t="s">
        <v>362</v>
      </c>
      <c r="B1154" t="s">
        <v>107</v>
      </c>
      <c r="C1154">
        <v>44</v>
      </c>
      <c r="D1154" t="s">
        <v>78</v>
      </c>
      <c r="E1154" t="s">
        <v>39</v>
      </c>
      <c r="F1154" t="s">
        <v>54</v>
      </c>
      <c r="G1154">
        <v>67021</v>
      </c>
      <c r="H1154">
        <v>0</v>
      </c>
      <c r="I1154">
        <v>0</v>
      </c>
      <c r="J1154">
        <v>0</v>
      </c>
      <c r="K1154">
        <v>1</v>
      </c>
      <c r="L1154" t="s">
        <v>56</v>
      </c>
      <c r="M1154" t="s">
        <v>55</v>
      </c>
      <c r="N1154" t="s">
        <v>57</v>
      </c>
      <c r="O1154" t="s">
        <v>45</v>
      </c>
      <c r="P1154" t="s">
        <v>44</v>
      </c>
      <c r="Q1154" t="s">
        <v>46</v>
      </c>
      <c r="R1154">
        <v>0</v>
      </c>
      <c r="S1154">
        <v>1</v>
      </c>
      <c r="T1154">
        <v>1</v>
      </c>
      <c r="U1154">
        <v>0</v>
      </c>
      <c r="V1154">
        <v>1</v>
      </c>
      <c r="W1154">
        <v>0</v>
      </c>
      <c r="X1154">
        <v>1</v>
      </c>
      <c r="Y1154">
        <v>0</v>
      </c>
      <c r="Z1154">
        <v>0</v>
      </c>
      <c r="AA1154">
        <v>0</v>
      </c>
      <c r="AB1154">
        <v>0</v>
      </c>
      <c r="AC1154">
        <v>0</v>
      </c>
      <c r="AD1154">
        <v>0</v>
      </c>
      <c r="AE1154">
        <v>1</v>
      </c>
    </row>
    <row r="1155" spans="1:31" x14ac:dyDescent="0.2">
      <c r="A1155" t="s">
        <v>362</v>
      </c>
      <c r="B1155" t="s">
        <v>107</v>
      </c>
      <c r="C1155">
        <v>44</v>
      </c>
      <c r="D1155" t="s">
        <v>78</v>
      </c>
      <c r="E1155" t="s">
        <v>52</v>
      </c>
      <c r="F1155" t="s">
        <v>74</v>
      </c>
      <c r="G1155">
        <v>41136</v>
      </c>
      <c r="H1155">
        <v>1</v>
      </c>
      <c r="I1155">
        <v>0</v>
      </c>
      <c r="J1155">
        <v>0</v>
      </c>
      <c r="K1155">
        <v>0</v>
      </c>
      <c r="L1155" t="s">
        <v>35</v>
      </c>
      <c r="M1155" t="s">
        <v>35</v>
      </c>
      <c r="N1155" t="s">
        <v>35</v>
      </c>
      <c r="O1155" t="s">
        <v>35</v>
      </c>
      <c r="P1155" t="s">
        <v>35</v>
      </c>
      <c r="Q1155" t="s">
        <v>35</v>
      </c>
      <c r="R1155" t="s">
        <v>35</v>
      </c>
      <c r="S1155">
        <v>1</v>
      </c>
      <c r="T1155">
        <v>1</v>
      </c>
      <c r="U1155">
        <v>0</v>
      </c>
      <c r="V1155">
        <v>1</v>
      </c>
      <c r="W1155">
        <v>0</v>
      </c>
      <c r="X1155">
        <v>1</v>
      </c>
      <c r="Y1155">
        <v>0</v>
      </c>
      <c r="Z1155">
        <v>0</v>
      </c>
      <c r="AA1155">
        <v>0</v>
      </c>
      <c r="AB1155">
        <v>0</v>
      </c>
      <c r="AC1155">
        <v>0</v>
      </c>
      <c r="AD1155">
        <v>0</v>
      </c>
      <c r="AE1155">
        <v>1</v>
      </c>
    </row>
    <row r="1156" spans="1:31" x14ac:dyDescent="0.2">
      <c r="A1156" t="s">
        <v>362</v>
      </c>
      <c r="B1156" t="s">
        <v>107</v>
      </c>
      <c r="C1156">
        <v>44</v>
      </c>
      <c r="D1156" t="s">
        <v>78</v>
      </c>
      <c r="E1156" t="s">
        <v>39</v>
      </c>
      <c r="F1156" t="s">
        <v>70</v>
      </c>
      <c r="G1156">
        <v>98068</v>
      </c>
      <c r="H1156">
        <v>0</v>
      </c>
      <c r="I1156">
        <v>0</v>
      </c>
      <c r="J1156">
        <v>0</v>
      </c>
      <c r="K1156">
        <v>1</v>
      </c>
      <c r="L1156" t="s">
        <v>73</v>
      </c>
      <c r="M1156" t="s">
        <v>92</v>
      </c>
      <c r="N1156" t="s">
        <v>72</v>
      </c>
      <c r="O1156" t="s">
        <v>44</v>
      </c>
      <c r="P1156" t="s">
        <v>51</v>
      </c>
      <c r="Q1156" t="s">
        <v>67</v>
      </c>
      <c r="R1156">
        <v>0</v>
      </c>
      <c r="S1156">
        <v>1</v>
      </c>
      <c r="T1156">
        <v>0</v>
      </c>
      <c r="U1156">
        <v>1</v>
      </c>
      <c r="V1156">
        <v>0</v>
      </c>
      <c r="W1156">
        <v>0</v>
      </c>
      <c r="X1156">
        <v>1</v>
      </c>
      <c r="Y1156">
        <v>0</v>
      </c>
      <c r="Z1156">
        <v>0</v>
      </c>
      <c r="AA1156">
        <v>0</v>
      </c>
      <c r="AB1156">
        <v>0</v>
      </c>
      <c r="AC1156">
        <v>0</v>
      </c>
      <c r="AD1156">
        <v>0</v>
      </c>
      <c r="AE1156">
        <v>1</v>
      </c>
    </row>
    <row r="1157" spans="1:31" x14ac:dyDescent="0.2">
      <c r="A1157" t="s">
        <v>362</v>
      </c>
      <c r="B1157" t="s">
        <v>107</v>
      </c>
      <c r="C1157">
        <v>44</v>
      </c>
      <c r="D1157" t="s">
        <v>78</v>
      </c>
      <c r="E1157" t="s">
        <v>52</v>
      </c>
      <c r="F1157" t="s">
        <v>69</v>
      </c>
      <c r="G1157">
        <v>67003</v>
      </c>
      <c r="H1157">
        <v>0</v>
      </c>
      <c r="I1157">
        <v>0</v>
      </c>
      <c r="J1157">
        <v>1</v>
      </c>
      <c r="K1157">
        <v>0</v>
      </c>
      <c r="L1157" t="s">
        <v>35</v>
      </c>
      <c r="M1157" t="s">
        <v>35</v>
      </c>
      <c r="N1157" t="s">
        <v>35</v>
      </c>
      <c r="O1157" t="s">
        <v>35</v>
      </c>
      <c r="P1157" t="s">
        <v>35</v>
      </c>
      <c r="Q1157" t="s">
        <v>35</v>
      </c>
      <c r="R1157" t="s">
        <v>35</v>
      </c>
      <c r="S1157">
        <v>1</v>
      </c>
      <c r="T1157">
        <v>0</v>
      </c>
      <c r="U1157">
        <v>1</v>
      </c>
      <c r="V1157">
        <v>0</v>
      </c>
      <c r="W1157">
        <v>0</v>
      </c>
      <c r="X1157">
        <v>1</v>
      </c>
      <c r="Y1157">
        <v>0</v>
      </c>
      <c r="Z1157">
        <v>0</v>
      </c>
      <c r="AA1157">
        <v>0</v>
      </c>
      <c r="AB1157">
        <v>0</v>
      </c>
      <c r="AC1157">
        <v>0</v>
      </c>
      <c r="AD1157">
        <v>0</v>
      </c>
      <c r="AE1157">
        <v>1</v>
      </c>
    </row>
    <row r="1158" spans="1:31" x14ac:dyDescent="0.2">
      <c r="A1158" t="s">
        <v>362</v>
      </c>
      <c r="B1158" t="s">
        <v>107</v>
      </c>
      <c r="C1158">
        <v>44</v>
      </c>
      <c r="D1158" t="s">
        <v>78</v>
      </c>
      <c r="E1158" t="s">
        <v>39</v>
      </c>
      <c r="F1158" t="s">
        <v>47</v>
      </c>
      <c r="G1158">
        <v>21467</v>
      </c>
      <c r="H1158">
        <v>0</v>
      </c>
      <c r="I1158">
        <v>0</v>
      </c>
      <c r="J1158">
        <v>0</v>
      </c>
      <c r="K1158">
        <v>1</v>
      </c>
      <c r="L1158" t="s">
        <v>79</v>
      </c>
      <c r="M1158" t="s">
        <v>80</v>
      </c>
      <c r="N1158" t="s">
        <v>95</v>
      </c>
      <c r="O1158" t="s">
        <v>45</v>
      </c>
      <c r="P1158" t="s">
        <v>67</v>
      </c>
      <c r="Q1158" t="s">
        <v>68</v>
      </c>
      <c r="R1158">
        <v>1</v>
      </c>
      <c r="S1158">
        <v>0</v>
      </c>
      <c r="T1158">
        <v>0</v>
      </c>
      <c r="U1158">
        <v>1</v>
      </c>
      <c r="V1158">
        <v>1</v>
      </c>
      <c r="W1158">
        <v>0</v>
      </c>
      <c r="X1158">
        <v>1</v>
      </c>
      <c r="Y1158">
        <v>0</v>
      </c>
      <c r="Z1158">
        <v>0</v>
      </c>
      <c r="AA1158">
        <v>0</v>
      </c>
      <c r="AB1158">
        <v>0</v>
      </c>
      <c r="AC1158">
        <v>0</v>
      </c>
      <c r="AD1158">
        <v>0</v>
      </c>
      <c r="AE1158">
        <v>1</v>
      </c>
    </row>
    <row r="1159" spans="1:31" x14ac:dyDescent="0.2">
      <c r="A1159" t="s">
        <v>362</v>
      </c>
      <c r="B1159" t="s">
        <v>107</v>
      </c>
      <c r="C1159">
        <v>44</v>
      </c>
      <c r="D1159" t="s">
        <v>78</v>
      </c>
      <c r="E1159" t="s">
        <v>39</v>
      </c>
      <c r="F1159" t="s">
        <v>40</v>
      </c>
      <c r="G1159">
        <v>23856</v>
      </c>
      <c r="H1159">
        <v>0</v>
      </c>
      <c r="I1159">
        <v>0</v>
      </c>
      <c r="J1159">
        <v>0</v>
      </c>
      <c r="K1159">
        <v>1</v>
      </c>
      <c r="L1159" t="s">
        <v>91</v>
      </c>
      <c r="M1159" t="s">
        <v>42</v>
      </c>
      <c r="N1159" t="s">
        <v>81</v>
      </c>
      <c r="O1159" t="s">
        <v>51</v>
      </c>
      <c r="P1159" t="s">
        <v>45</v>
      </c>
      <c r="Q1159" t="s">
        <v>67</v>
      </c>
      <c r="R1159">
        <v>0</v>
      </c>
      <c r="S1159">
        <v>0</v>
      </c>
      <c r="T1159">
        <v>0</v>
      </c>
      <c r="U1159">
        <v>1</v>
      </c>
      <c r="V1159">
        <v>1</v>
      </c>
      <c r="W1159">
        <v>0</v>
      </c>
      <c r="X1159">
        <v>1</v>
      </c>
      <c r="Y1159">
        <v>0</v>
      </c>
      <c r="Z1159">
        <v>0</v>
      </c>
      <c r="AA1159">
        <v>0</v>
      </c>
      <c r="AB1159">
        <v>0</v>
      </c>
      <c r="AC1159">
        <v>0</v>
      </c>
      <c r="AD1159">
        <v>0</v>
      </c>
      <c r="AE1159">
        <v>1</v>
      </c>
    </row>
    <row r="1160" spans="1:31" x14ac:dyDescent="0.2">
      <c r="A1160" t="s">
        <v>362</v>
      </c>
      <c r="B1160" t="s">
        <v>107</v>
      </c>
      <c r="C1160">
        <v>44</v>
      </c>
      <c r="D1160" t="s">
        <v>78</v>
      </c>
      <c r="E1160" t="s">
        <v>52</v>
      </c>
      <c r="F1160" t="s">
        <v>58</v>
      </c>
      <c r="G1160">
        <v>30954</v>
      </c>
      <c r="H1160">
        <v>1</v>
      </c>
      <c r="I1160">
        <v>0</v>
      </c>
      <c r="J1160">
        <v>0</v>
      </c>
      <c r="K1160">
        <v>0</v>
      </c>
      <c r="L1160" t="s">
        <v>35</v>
      </c>
      <c r="M1160" t="s">
        <v>35</v>
      </c>
      <c r="N1160" t="s">
        <v>35</v>
      </c>
      <c r="O1160" t="s">
        <v>35</v>
      </c>
      <c r="P1160" t="s">
        <v>35</v>
      </c>
      <c r="Q1160" t="s">
        <v>35</v>
      </c>
      <c r="R1160" t="s">
        <v>35</v>
      </c>
      <c r="S1160">
        <v>0</v>
      </c>
      <c r="T1160">
        <v>0</v>
      </c>
      <c r="U1160">
        <v>1</v>
      </c>
      <c r="V1160">
        <v>1</v>
      </c>
      <c r="W1160">
        <v>0</v>
      </c>
      <c r="X1160">
        <v>1</v>
      </c>
      <c r="Y1160">
        <v>0</v>
      </c>
      <c r="Z1160">
        <v>0</v>
      </c>
      <c r="AA1160">
        <v>0</v>
      </c>
      <c r="AB1160">
        <v>0</v>
      </c>
      <c r="AC1160">
        <v>0</v>
      </c>
      <c r="AD1160">
        <v>0</v>
      </c>
      <c r="AE1160">
        <v>1</v>
      </c>
    </row>
    <row r="1161" spans="1:31" x14ac:dyDescent="0.2">
      <c r="A1161" t="s">
        <v>362</v>
      </c>
      <c r="B1161" t="s">
        <v>107</v>
      </c>
      <c r="C1161">
        <v>44</v>
      </c>
      <c r="D1161" t="s">
        <v>78</v>
      </c>
      <c r="E1161" t="s">
        <v>39</v>
      </c>
      <c r="F1161" t="s">
        <v>59</v>
      </c>
      <c r="G1161">
        <v>20441</v>
      </c>
      <c r="H1161">
        <v>0</v>
      </c>
      <c r="I1161">
        <v>0</v>
      </c>
      <c r="J1161">
        <v>0</v>
      </c>
      <c r="K1161">
        <v>1</v>
      </c>
      <c r="L1161" t="s">
        <v>83</v>
      </c>
      <c r="M1161" t="s">
        <v>62</v>
      </c>
      <c r="N1161" t="s">
        <v>61</v>
      </c>
      <c r="O1161" t="s">
        <v>51</v>
      </c>
      <c r="P1161" t="s">
        <v>45</v>
      </c>
      <c r="Q1161" t="s">
        <v>46</v>
      </c>
      <c r="R1161">
        <v>0</v>
      </c>
      <c r="S1161">
        <v>0</v>
      </c>
      <c r="T1161">
        <v>1</v>
      </c>
      <c r="U1161">
        <v>0</v>
      </c>
      <c r="V1161">
        <v>1</v>
      </c>
      <c r="W1161">
        <v>0</v>
      </c>
      <c r="X1161">
        <v>1</v>
      </c>
      <c r="Y1161">
        <v>0</v>
      </c>
      <c r="Z1161">
        <v>0</v>
      </c>
      <c r="AA1161">
        <v>0</v>
      </c>
      <c r="AB1161">
        <v>0</v>
      </c>
      <c r="AC1161">
        <v>0</v>
      </c>
      <c r="AD1161">
        <v>0</v>
      </c>
      <c r="AE1161">
        <v>1</v>
      </c>
    </row>
    <row r="1162" spans="1:31" x14ac:dyDescent="0.2">
      <c r="A1162" t="s">
        <v>362</v>
      </c>
      <c r="B1162" t="s">
        <v>107</v>
      </c>
      <c r="C1162">
        <v>44</v>
      </c>
      <c r="D1162" t="s">
        <v>78</v>
      </c>
      <c r="E1162" t="s">
        <v>52</v>
      </c>
      <c r="F1162" t="s">
        <v>53</v>
      </c>
      <c r="G1162">
        <v>47466</v>
      </c>
      <c r="H1162">
        <v>0</v>
      </c>
      <c r="I1162">
        <v>0</v>
      </c>
      <c r="J1162">
        <v>0</v>
      </c>
      <c r="K1162">
        <v>1</v>
      </c>
      <c r="L1162" t="s">
        <v>35</v>
      </c>
      <c r="M1162" t="s">
        <v>35</v>
      </c>
      <c r="N1162" t="s">
        <v>35</v>
      </c>
      <c r="O1162" t="s">
        <v>35</v>
      </c>
      <c r="P1162" t="s">
        <v>35</v>
      </c>
      <c r="Q1162" t="s">
        <v>35</v>
      </c>
      <c r="R1162" t="s">
        <v>35</v>
      </c>
      <c r="S1162">
        <v>0</v>
      </c>
      <c r="T1162">
        <v>1</v>
      </c>
      <c r="U1162">
        <v>0</v>
      </c>
      <c r="V1162">
        <v>1</v>
      </c>
      <c r="W1162">
        <v>0</v>
      </c>
      <c r="X1162">
        <v>1</v>
      </c>
      <c r="Y1162">
        <v>0</v>
      </c>
      <c r="Z1162">
        <v>0</v>
      </c>
      <c r="AA1162">
        <v>0</v>
      </c>
      <c r="AB1162">
        <v>0</v>
      </c>
      <c r="AC1162">
        <v>0</v>
      </c>
      <c r="AD1162">
        <v>0</v>
      </c>
      <c r="AE1162">
        <v>1</v>
      </c>
    </row>
    <row r="1163" spans="1:31" x14ac:dyDescent="0.2">
      <c r="A1163" t="s">
        <v>362</v>
      </c>
      <c r="B1163" t="s">
        <v>107</v>
      </c>
      <c r="C1163">
        <v>44</v>
      </c>
      <c r="D1163" t="s">
        <v>78</v>
      </c>
      <c r="E1163" t="s">
        <v>75</v>
      </c>
      <c r="F1163" t="s">
        <v>35</v>
      </c>
      <c r="G1163">
        <v>583555</v>
      </c>
      <c r="H1163" t="s">
        <v>363</v>
      </c>
      <c r="I1163" t="s">
        <v>364</v>
      </c>
      <c r="J1163" t="s">
        <v>365</v>
      </c>
      <c r="K1163" t="s">
        <v>35</v>
      </c>
      <c r="L1163" t="s">
        <v>35</v>
      </c>
      <c r="M1163" t="s">
        <v>35</v>
      </c>
      <c r="N1163" t="s">
        <v>35</v>
      </c>
      <c r="O1163" t="s">
        <v>35</v>
      </c>
      <c r="P1163" t="s">
        <v>35</v>
      </c>
      <c r="Q1163" t="s">
        <v>35</v>
      </c>
      <c r="R1163" t="s">
        <v>35</v>
      </c>
      <c r="S1163" t="s">
        <v>35</v>
      </c>
      <c r="T1163" t="s">
        <v>35</v>
      </c>
      <c r="U1163" t="s">
        <v>35</v>
      </c>
      <c r="V1163" t="s">
        <v>35</v>
      </c>
      <c r="W1163" t="s">
        <v>35</v>
      </c>
      <c r="X1163" t="s">
        <v>35</v>
      </c>
      <c r="Y1163" t="s">
        <v>35</v>
      </c>
      <c r="Z1163" t="s">
        <v>35</v>
      </c>
      <c r="AA1163" t="s">
        <v>35</v>
      </c>
      <c r="AB1163" t="s">
        <v>35</v>
      </c>
      <c r="AC1163" t="s">
        <v>35</v>
      </c>
      <c r="AD1163" t="s">
        <v>35</v>
      </c>
      <c r="AE1163" t="s">
        <v>35</v>
      </c>
    </row>
    <row r="1164" spans="1:31" x14ac:dyDescent="0.2">
      <c r="A1164" t="s">
        <v>366</v>
      </c>
      <c r="B1164" t="s">
        <v>102</v>
      </c>
      <c r="C1164">
        <v>56</v>
      </c>
      <c r="D1164" t="s">
        <v>33</v>
      </c>
      <c r="E1164" t="s">
        <v>34</v>
      </c>
      <c r="F1164" t="s">
        <v>35</v>
      </c>
      <c r="G1164">
        <v>24100</v>
      </c>
      <c r="H1164" t="s">
        <v>35</v>
      </c>
      <c r="I1164" t="s">
        <v>35</v>
      </c>
      <c r="J1164" t="s">
        <v>35</v>
      </c>
      <c r="K1164" t="s">
        <v>35</v>
      </c>
      <c r="L1164" t="s">
        <v>35</v>
      </c>
      <c r="M1164" t="s">
        <v>35</v>
      </c>
      <c r="N1164" t="s">
        <v>35</v>
      </c>
      <c r="O1164" t="s">
        <v>35</v>
      </c>
      <c r="P1164" t="s">
        <v>35</v>
      </c>
      <c r="Q1164" t="s">
        <v>35</v>
      </c>
      <c r="R1164" t="s">
        <v>35</v>
      </c>
      <c r="S1164" t="s">
        <v>35</v>
      </c>
      <c r="T1164" t="s">
        <v>35</v>
      </c>
      <c r="U1164" t="s">
        <v>35</v>
      </c>
      <c r="V1164" t="s">
        <v>35</v>
      </c>
      <c r="W1164" t="s">
        <v>35</v>
      </c>
      <c r="X1164" t="s">
        <v>35</v>
      </c>
      <c r="Y1164" t="s">
        <v>35</v>
      </c>
      <c r="Z1164" t="s">
        <v>35</v>
      </c>
      <c r="AA1164" t="s">
        <v>35</v>
      </c>
      <c r="AB1164" t="s">
        <v>35</v>
      </c>
      <c r="AC1164" t="s">
        <v>35</v>
      </c>
      <c r="AD1164" t="s">
        <v>35</v>
      </c>
      <c r="AE1164" t="s">
        <v>35</v>
      </c>
    </row>
    <row r="1165" spans="1:31" x14ac:dyDescent="0.2">
      <c r="A1165" t="s">
        <v>366</v>
      </c>
      <c r="B1165" t="s">
        <v>102</v>
      </c>
      <c r="C1165">
        <v>56</v>
      </c>
      <c r="D1165" t="s">
        <v>33</v>
      </c>
      <c r="E1165" t="s">
        <v>36</v>
      </c>
      <c r="F1165" t="s">
        <v>38</v>
      </c>
      <c r="G1165">
        <v>23818</v>
      </c>
      <c r="H1165">
        <v>0</v>
      </c>
      <c r="I1165">
        <v>0</v>
      </c>
      <c r="J1165">
        <v>0</v>
      </c>
      <c r="K1165">
        <v>1</v>
      </c>
      <c r="L1165" t="s">
        <v>35</v>
      </c>
      <c r="M1165" t="s">
        <v>35</v>
      </c>
      <c r="N1165" t="s">
        <v>35</v>
      </c>
      <c r="O1165" t="s">
        <v>35</v>
      </c>
      <c r="P1165" t="s">
        <v>35</v>
      </c>
      <c r="Q1165" t="s">
        <v>35</v>
      </c>
      <c r="R1165" t="s">
        <v>35</v>
      </c>
      <c r="S1165" t="s">
        <v>35</v>
      </c>
      <c r="T1165" t="s">
        <v>35</v>
      </c>
      <c r="U1165" t="s">
        <v>35</v>
      </c>
      <c r="V1165" t="s">
        <v>35</v>
      </c>
      <c r="W1165" t="s">
        <v>35</v>
      </c>
      <c r="X1165" t="s">
        <v>35</v>
      </c>
      <c r="Y1165" t="s">
        <v>35</v>
      </c>
      <c r="Z1165" t="s">
        <v>35</v>
      </c>
      <c r="AA1165" t="s">
        <v>35</v>
      </c>
      <c r="AB1165" t="s">
        <v>35</v>
      </c>
      <c r="AC1165" t="s">
        <v>35</v>
      </c>
      <c r="AD1165" t="s">
        <v>35</v>
      </c>
      <c r="AE1165" t="s">
        <v>35</v>
      </c>
    </row>
    <row r="1166" spans="1:31" x14ac:dyDescent="0.2">
      <c r="A1166" t="s">
        <v>366</v>
      </c>
      <c r="B1166" t="s">
        <v>102</v>
      </c>
      <c r="C1166">
        <v>56</v>
      </c>
      <c r="D1166" t="s">
        <v>33</v>
      </c>
      <c r="E1166" t="s">
        <v>36</v>
      </c>
      <c r="F1166" t="s">
        <v>37</v>
      </c>
      <c r="G1166">
        <v>30059</v>
      </c>
      <c r="H1166">
        <v>0</v>
      </c>
      <c r="I1166">
        <v>0</v>
      </c>
      <c r="J1166">
        <v>1</v>
      </c>
      <c r="K1166">
        <v>0</v>
      </c>
      <c r="L1166" t="s">
        <v>35</v>
      </c>
      <c r="M1166" t="s">
        <v>35</v>
      </c>
      <c r="N1166" t="s">
        <v>35</v>
      </c>
      <c r="O1166" t="s">
        <v>35</v>
      </c>
      <c r="P1166" t="s">
        <v>35</v>
      </c>
      <c r="Q1166" t="s">
        <v>35</v>
      </c>
      <c r="R1166" t="s">
        <v>35</v>
      </c>
      <c r="S1166" t="s">
        <v>35</v>
      </c>
      <c r="T1166" t="s">
        <v>35</v>
      </c>
      <c r="U1166" t="s">
        <v>35</v>
      </c>
      <c r="V1166" t="s">
        <v>35</v>
      </c>
      <c r="W1166" t="s">
        <v>35</v>
      </c>
      <c r="X1166" t="s">
        <v>35</v>
      </c>
      <c r="Y1166" t="s">
        <v>35</v>
      </c>
      <c r="Z1166" t="s">
        <v>35</v>
      </c>
      <c r="AA1166" t="s">
        <v>35</v>
      </c>
      <c r="AB1166" t="s">
        <v>35</v>
      </c>
      <c r="AC1166" t="s">
        <v>35</v>
      </c>
      <c r="AD1166" t="s">
        <v>35</v>
      </c>
      <c r="AE1166" t="s">
        <v>35</v>
      </c>
    </row>
    <row r="1167" spans="1:31" x14ac:dyDescent="0.2">
      <c r="A1167" t="s">
        <v>366</v>
      </c>
      <c r="B1167" t="s">
        <v>102</v>
      </c>
      <c r="C1167">
        <v>56</v>
      </c>
      <c r="D1167" t="s">
        <v>33</v>
      </c>
      <c r="E1167" t="s">
        <v>39</v>
      </c>
      <c r="F1167" t="s">
        <v>47</v>
      </c>
      <c r="G1167">
        <v>66628</v>
      </c>
      <c r="H1167">
        <v>0</v>
      </c>
      <c r="I1167">
        <v>0</v>
      </c>
      <c r="J1167">
        <v>0</v>
      </c>
      <c r="K1167">
        <v>1</v>
      </c>
      <c r="L1167" t="s">
        <v>48</v>
      </c>
      <c r="M1167" t="s">
        <v>79</v>
      </c>
      <c r="N1167" t="s">
        <v>95</v>
      </c>
      <c r="O1167" t="s">
        <v>46</v>
      </c>
      <c r="P1167" t="s">
        <v>45</v>
      </c>
      <c r="Q1167" t="s">
        <v>68</v>
      </c>
      <c r="R1167">
        <v>1</v>
      </c>
      <c r="S1167">
        <v>0</v>
      </c>
      <c r="T1167">
        <v>1</v>
      </c>
      <c r="U1167">
        <v>0</v>
      </c>
      <c r="V1167">
        <v>1</v>
      </c>
      <c r="W1167">
        <v>0</v>
      </c>
      <c r="X1167">
        <v>1</v>
      </c>
      <c r="Y1167">
        <v>0</v>
      </c>
      <c r="Z1167">
        <v>0</v>
      </c>
      <c r="AA1167">
        <v>0</v>
      </c>
      <c r="AB1167">
        <v>0</v>
      </c>
      <c r="AC1167">
        <v>0</v>
      </c>
      <c r="AD1167">
        <v>0</v>
      </c>
      <c r="AE1167">
        <v>1</v>
      </c>
    </row>
    <row r="1168" spans="1:31" x14ac:dyDescent="0.2">
      <c r="A1168" t="s">
        <v>366</v>
      </c>
      <c r="B1168" t="s">
        <v>102</v>
      </c>
      <c r="C1168">
        <v>56</v>
      </c>
      <c r="D1168" t="s">
        <v>33</v>
      </c>
      <c r="E1168" t="s">
        <v>39</v>
      </c>
      <c r="F1168" t="s">
        <v>63</v>
      </c>
      <c r="G1168">
        <v>17871</v>
      </c>
      <c r="H1168">
        <v>0</v>
      </c>
      <c r="I1168">
        <v>0</v>
      </c>
      <c r="J1168">
        <v>0</v>
      </c>
      <c r="K1168">
        <v>1</v>
      </c>
      <c r="L1168" t="s">
        <v>84</v>
      </c>
      <c r="M1168" t="s">
        <v>64</v>
      </c>
      <c r="N1168" t="s">
        <v>66</v>
      </c>
      <c r="O1168" t="s">
        <v>46</v>
      </c>
      <c r="P1168" t="s">
        <v>67</v>
      </c>
      <c r="Q1168" t="s">
        <v>45</v>
      </c>
      <c r="R1168">
        <v>0</v>
      </c>
      <c r="S1168">
        <v>0</v>
      </c>
      <c r="T1168">
        <v>1</v>
      </c>
      <c r="U1168">
        <v>1</v>
      </c>
      <c r="V1168">
        <v>1</v>
      </c>
      <c r="W1168">
        <v>0</v>
      </c>
      <c r="X1168">
        <v>1</v>
      </c>
      <c r="Y1168">
        <v>0</v>
      </c>
      <c r="Z1168">
        <v>0</v>
      </c>
      <c r="AA1168">
        <v>0</v>
      </c>
      <c r="AB1168">
        <v>0</v>
      </c>
      <c r="AC1168">
        <v>0</v>
      </c>
      <c r="AD1168">
        <v>0</v>
      </c>
      <c r="AE1168">
        <v>1</v>
      </c>
    </row>
    <row r="1169" spans="1:31" x14ac:dyDescent="0.2">
      <c r="A1169" t="s">
        <v>366</v>
      </c>
      <c r="B1169" t="s">
        <v>102</v>
      </c>
      <c r="C1169">
        <v>56</v>
      </c>
      <c r="D1169" t="s">
        <v>33</v>
      </c>
      <c r="E1169" t="s">
        <v>52</v>
      </c>
      <c r="F1169" t="s">
        <v>69</v>
      </c>
      <c r="G1169">
        <v>21136</v>
      </c>
      <c r="H1169">
        <v>0</v>
      </c>
      <c r="I1169">
        <v>0</v>
      </c>
      <c r="J1169">
        <v>1</v>
      </c>
      <c r="K1169">
        <v>0</v>
      </c>
      <c r="L1169" t="s">
        <v>35</v>
      </c>
      <c r="M1169" t="s">
        <v>35</v>
      </c>
      <c r="N1169" t="s">
        <v>35</v>
      </c>
      <c r="O1169" t="s">
        <v>35</v>
      </c>
      <c r="P1169" t="s">
        <v>35</v>
      </c>
      <c r="Q1169" t="s">
        <v>35</v>
      </c>
      <c r="R1169" t="s">
        <v>35</v>
      </c>
      <c r="S1169">
        <v>0</v>
      </c>
      <c r="T1169">
        <v>1</v>
      </c>
      <c r="U1169">
        <v>1</v>
      </c>
      <c r="V1169">
        <v>1</v>
      </c>
      <c r="W1169">
        <v>0</v>
      </c>
      <c r="X1169">
        <v>1</v>
      </c>
      <c r="Y1169">
        <v>0</v>
      </c>
      <c r="Z1169">
        <v>0</v>
      </c>
      <c r="AA1169">
        <v>0</v>
      </c>
      <c r="AB1169">
        <v>0</v>
      </c>
      <c r="AC1169">
        <v>0</v>
      </c>
      <c r="AD1169">
        <v>0</v>
      </c>
      <c r="AE1169">
        <v>1</v>
      </c>
    </row>
    <row r="1170" spans="1:31" x14ac:dyDescent="0.2">
      <c r="A1170" t="s">
        <v>366</v>
      </c>
      <c r="B1170" t="s">
        <v>102</v>
      </c>
      <c r="C1170">
        <v>56</v>
      </c>
      <c r="D1170" t="s">
        <v>33</v>
      </c>
      <c r="E1170" t="s">
        <v>39</v>
      </c>
      <c r="F1170" t="s">
        <v>40</v>
      </c>
      <c r="G1170">
        <v>14226</v>
      </c>
      <c r="H1170">
        <v>0</v>
      </c>
      <c r="I1170">
        <v>0</v>
      </c>
      <c r="J1170">
        <v>1</v>
      </c>
      <c r="K1170">
        <v>0</v>
      </c>
      <c r="L1170" t="s">
        <v>41</v>
      </c>
      <c r="M1170" t="s">
        <v>43</v>
      </c>
      <c r="N1170" t="s">
        <v>81</v>
      </c>
      <c r="O1170" t="s">
        <v>44</v>
      </c>
      <c r="P1170" t="s">
        <v>46</v>
      </c>
      <c r="Q1170" t="s">
        <v>67</v>
      </c>
      <c r="R1170">
        <v>0</v>
      </c>
      <c r="S1170">
        <v>1</v>
      </c>
      <c r="T1170">
        <v>1</v>
      </c>
      <c r="U1170">
        <v>1</v>
      </c>
      <c r="V1170">
        <v>0</v>
      </c>
      <c r="W1170">
        <v>0</v>
      </c>
      <c r="X1170">
        <v>1</v>
      </c>
      <c r="Y1170">
        <v>0</v>
      </c>
      <c r="Z1170">
        <v>0</v>
      </c>
      <c r="AA1170">
        <v>0</v>
      </c>
      <c r="AB1170">
        <v>1</v>
      </c>
      <c r="AC1170">
        <v>0</v>
      </c>
      <c r="AD1170">
        <v>0</v>
      </c>
      <c r="AE1170">
        <v>0</v>
      </c>
    </row>
    <row r="1171" spans="1:31" x14ac:dyDescent="0.2">
      <c r="A1171" t="s">
        <v>366</v>
      </c>
      <c r="B1171" t="s">
        <v>102</v>
      </c>
      <c r="C1171">
        <v>56</v>
      </c>
      <c r="D1171" t="s">
        <v>33</v>
      </c>
      <c r="E1171" t="s">
        <v>39</v>
      </c>
      <c r="F1171" t="s">
        <v>70</v>
      </c>
      <c r="G1171">
        <v>14519</v>
      </c>
      <c r="H1171">
        <v>0</v>
      </c>
      <c r="I1171">
        <v>0</v>
      </c>
      <c r="J1171">
        <v>0</v>
      </c>
      <c r="K1171">
        <v>1</v>
      </c>
      <c r="L1171" t="s">
        <v>72</v>
      </c>
      <c r="M1171" t="s">
        <v>71</v>
      </c>
      <c r="N1171" t="s">
        <v>86</v>
      </c>
      <c r="O1171" t="s">
        <v>67</v>
      </c>
      <c r="P1171" t="s">
        <v>45</v>
      </c>
      <c r="Q1171" t="s">
        <v>46</v>
      </c>
      <c r="R1171">
        <v>0</v>
      </c>
      <c r="S1171">
        <v>0</v>
      </c>
      <c r="T1171">
        <v>1</v>
      </c>
      <c r="U1171">
        <v>1</v>
      </c>
      <c r="V1171">
        <v>1</v>
      </c>
      <c r="W1171">
        <v>0</v>
      </c>
      <c r="X1171">
        <v>1</v>
      </c>
      <c r="Y1171">
        <v>0</v>
      </c>
      <c r="Z1171">
        <v>0</v>
      </c>
      <c r="AA1171">
        <v>0</v>
      </c>
      <c r="AB1171">
        <v>0</v>
      </c>
      <c r="AC1171">
        <v>0</v>
      </c>
      <c r="AD1171">
        <v>0</v>
      </c>
      <c r="AE1171">
        <v>1</v>
      </c>
    </row>
    <row r="1172" spans="1:31" x14ac:dyDescent="0.2">
      <c r="A1172" t="s">
        <v>366</v>
      </c>
      <c r="B1172" t="s">
        <v>102</v>
      </c>
      <c r="C1172">
        <v>56</v>
      </c>
      <c r="D1172" t="s">
        <v>33</v>
      </c>
      <c r="E1172" t="s">
        <v>52</v>
      </c>
      <c r="F1172" t="s">
        <v>58</v>
      </c>
      <c r="G1172">
        <v>22173</v>
      </c>
      <c r="H1172">
        <v>1</v>
      </c>
      <c r="I1172">
        <v>0</v>
      </c>
      <c r="J1172">
        <v>0</v>
      </c>
      <c r="K1172">
        <v>0</v>
      </c>
      <c r="L1172" t="s">
        <v>35</v>
      </c>
      <c r="M1172" t="s">
        <v>35</v>
      </c>
      <c r="N1172" t="s">
        <v>35</v>
      </c>
      <c r="O1172" t="s">
        <v>35</v>
      </c>
      <c r="P1172" t="s">
        <v>35</v>
      </c>
      <c r="Q1172" t="s">
        <v>35</v>
      </c>
      <c r="R1172" t="s">
        <v>35</v>
      </c>
      <c r="S1172">
        <v>0</v>
      </c>
      <c r="T1172">
        <v>1</v>
      </c>
      <c r="U1172">
        <v>1</v>
      </c>
      <c r="V1172">
        <v>1</v>
      </c>
      <c r="W1172">
        <v>0</v>
      </c>
      <c r="X1172">
        <v>1</v>
      </c>
      <c r="Y1172">
        <v>0</v>
      </c>
      <c r="Z1172">
        <v>0</v>
      </c>
      <c r="AA1172">
        <v>0</v>
      </c>
      <c r="AB1172">
        <v>0</v>
      </c>
      <c r="AC1172">
        <v>0</v>
      </c>
      <c r="AD1172">
        <v>0</v>
      </c>
      <c r="AE1172">
        <v>1</v>
      </c>
    </row>
    <row r="1173" spans="1:31" x14ac:dyDescent="0.2">
      <c r="A1173" t="s">
        <v>366</v>
      </c>
      <c r="B1173" t="s">
        <v>102</v>
      </c>
      <c r="C1173">
        <v>56</v>
      </c>
      <c r="D1173" t="s">
        <v>33</v>
      </c>
      <c r="E1173" t="s">
        <v>39</v>
      </c>
      <c r="F1173" t="s">
        <v>59</v>
      </c>
      <c r="G1173">
        <v>10424</v>
      </c>
      <c r="H1173">
        <v>0</v>
      </c>
      <c r="I1173">
        <v>0</v>
      </c>
      <c r="J1173">
        <v>0</v>
      </c>
      <c r="K1173">
        <v>1</v>
      </c>
      <c r="L1173" t="s">
        <v>60</v>
      </c>
      <c r="M1173" t="s">
        <v>83</v>
      </c>
      <c r="N1173" t="s">
        <v>62</v>
      </c>
      <c r="O1173" t="s">
        <v>44</v>
      </c>
      <c r="P1173" t="s">
        <v>51</v>
      </c>
      <c r="Q1173" t="s">
        <v>45</v>
      </c>
      <c r="R1173">
        <v>0</v>
      </c>
      <c r="S1173">
        <v>1</v>
      </c>
      <c r="T1173">
        <v>0</v>
      </c>
      <c r="U1173">
        <v>0</v>
      </c>
      <c r="V1173">
        <v>1</v>
      </c>
      <c r="W1173">
        <v>0</v>
      </c>
      <c r="X1173">
        <v>1</v>
      </c>
      <c r="Y1173">
        <v>0</v>
      </c>
      <c r="Z1173">
        <v>0</v>
      </c>
      <c r="AA1173">
        <v>0</v>
      </c>
      <c r="AB1173">
        <v>0</v>
      </c>
      <c r="AC1173">
        <v>0</v>
      </c>
      <c r="AD1173">
        <v>0</v>
      </c>
      <c r="AE1173">
        <v>1</v>
      </c>
    </row>
    <row r="1174" spans="1:31" x14ac:dyDescent="0.2">
      <c r="A1174" t="s">
        <v>366</v>
      </c>
      <c r="B1174" t="s">
        <v>102</v>
      </c>
      <c r="C1174">
        <v>56</v>
      </c>
      <c r="D1174" t="s">
        <v>33</v>
      </c>
      <c r="E1174" t="s">
        <v>52</v>
      </c>
      <c r="F1174" t="s">
        <v>74</v>
      </c>
      <c r="G1174">
        <v>12067</v>
      </c>
      <c r="H1174">
        <v>1</v>
      </c>
      <c r="I1174">
        <v>0</v>
      </c>
      <c r="J1174">
        <v>0</v>
      </c>
      <c r="K1174">
        <v>0</v>
      </c>
      <c r="L1174" t="s">
        <v>35</v>
      </c>
      <c r="M1174" t="s">
        <v>35</v>
      </c>
      <c r="N1174" t="s">
        <v>35</v>
      </c>
      <c r="O1174" t="s">
        <v>35</v>
      </c>
      <c r="P1174" t="s">
        <v>35</v>
      </c>
      <c r="Q1174" t="s">
        <v>35</v>
      </c>
      <c r="R1174" t="s">
        <v>35</v>
      </c>
      <c r="S1174">
        <v>1</v>
      </c>
      <c r="T1174">
        <v>0</v>
      </c>
      <c r="U1174">
        <v>0</v>
      </c>
      <c r="V1174">
        <v>1</v>
      </c>
      <c r="W1174">
        <v>0</v>
      </c>
      <c r="X1174">
        <v>1</v>
      </c>
      <c r="Y1174">
        <v>0</v>
      </c>
      <c r="Z1174">
        <v>0</v>
      </c>
      <c r="AA1174">
        <v>0</v>
      </c>
      <c r="AB1174">
        <v>0</v>
      </c>
      <c r="AC1174">
        <v>0</v>
      </c>
      <c r="AD1174">
        <v>0</v>
      </c>
      <c r="AE1174">
        <v>1</v>
      </c>
    </row>
    <row r="1175" spans="1:31" x14ac:dyDescent="0.2">
      <c r="A1175" t="s">
        <v>366</v>
      </c>
      <c r="B1175" t="s">
        <v>102</v>
      </c>
      <c r="C1175">
        <v>56</v>
      </c>
      <c r="D1175" t="s">
        <v>33</v>
      </c>
      <c r="E1175" t="s">
        <v>39</v>
      </c>
      <c r="F1175" t="s">
        <v>54</v>
      </c>
      <c r="G1175">
        <v>13655</v>
      </c>
      <c r="H1175">
        <v>0</v>
      </c>
      <c r="I1175">
        <v>0</v>
      </c>
      <c r="J1175">
        <v>1</v>
      </c>
      <c r="K1175">
        <v>0</v>
      </c>
      <c r="L1175" t="s">
        <v>57</v>
      </c>
      <c r="M1175" t="s">
        <v>88</v>
      </c>
      <c r="N1175" t="s">
        <v>55</v>
      </c>
      <c r="O1175" t="s">
        <v>46</v>
      </c>
      <c r="P1175" t="s">
        <v>51</v>
      </c>
      <c r="Q1175" t="s">
        <v>44</v>
      </c>
      <c r="R1175">
        <v>0</v>
      </c>
      <c r="S1175">
        <v>1</v>
      </c>
      <c r="T1175">
        <v>1</v>
      </c>
      <c r="U1175">
        <v>0</v>
      </c>
      <c r="V1175">
        <v>0</v>
      </c>
      <c r="W1175">
        <v>0</v>
      </c>
      <c r="X1175">
        <v>1</v>
      </c>
      <c r="Y1175">
        <v>0</v>
      </c>
      <c r="Z1175">
        <v>1</v>
      </c>
      <c r="AA1175">
        <v>0</v>
      </c>
      <c r="AB1175">
        <v>0</v>
      </c>
      <c r="AC1175">
        <v>0</v>
      </c>
      <c r="AD1175">
        <v>0</v>
      </c>
      <c r="AE1175">
        <v>0</v>
      </c>
    </row>
    <row r="1176" spans="1:31" x14ac:dyDescent="0.2">
      <c r="A1176" t="s">
        <v>366</v>
      </c>
      <c r="B1176" t="s">
        <v>102</v>
      </c>
      <c r="C1176">
        <v>56</v>
      </c>
      <c r="D1176" t="s">
        <v>33</v>
      </c>
      <c r="E1176" t="s">
        <v>52</v>
      </c>
      <c r="F1176" t="s">
        <v>53</v>
      </c>
      <c r="G1176">
        <v>21824</v>
      </c>
      <c r="H1176">
        <v>0</v>
      </c>
      <c r="I1176">
        <v>1</v>
      </c>
      <c r="J1176">
        <v>1</v>
      </c>
      <c r="K1176">
        <v>0</v>
      </c>
      <c r="L1176" t="s">
        <v>35</v>
      </c>
      <c r="M1176" t="s">
        <v>35</v>
      </c>
      <c r="N1176" t="s">
        <v>35</v>
      </c>
      <c r="O1176" t="s">
        <v>35</v>
      </c>
      <c r="P1176" t="s">
        <v>35</v>
      </c>
      <c r="Q1176" t="s">
        <v>35</v>
      </c>
      <c r="R1176" t="s">
        <v>35</v>
      </c>
      <c r="S1176">
        <v>1</v>
      </c>
      <c r="T1176">
        <v>1</v>
      </c>
      <c r="U1176">
        <v>0</v>
      </c>
      <c r="V1176">
        <v>0</v>
      </c>
      <c r="W1176">
        <v>0</v>
      </c>
      <c r="X1176">
        <v>1</v>
      </c>
      <c r="Y1176">
        <v>0</v>
      </c>
      <c r="Z1176">
        <v>1</v>
      </c>
      <c r="AA1176">
        <v>0</v>
      </c>
      <c r="AB1176">
        <v>0</v>
      </c>
      <c r="AC1176">
        <v>0</v>
      </c>
      <c r="AD1176">
        <v>0</v>
      </c>
      <c r="AE1176">
        <v>0</v>
      </c>
    </row>
    <row r="1177" spans="1:31" x14ac:dyDescent="0.2">
      <c r="A1177" t="s">
        <v>366</v>
      </c>
      <c r="B1177" t="s">
        <v>102</v>
      </c>
      <c r="C1177">
        <v>56</v>
      </c>
      <c r="D1177" t="s">
        <v>33</v>
      </c>
      <c r="E1177" t="s">
        <v>75</v>
      </c>
      <c r="F1177" t="s">
        <v>35</v>
      </c>
      <c r="G1177">
        <v>21148</v>
      </c>
      <c r="H1177" t="s">
        <v>367</v>
      </c>
      <c r="I1177" t="s">
        <v>100</v>
      </c>
      <c r="J1177" t="s">
        <v>100</v>
      </c>
      <c r="K1177" t="s">
        <v>35</v>
      </c>
      <c r="L1177" t="s">
        <v>35</v>
      </c>
      <c r="M1177" t="s">
        <v>35</v>
      </c>
      <c r="N1177" t="s">
        <v>35</v>
      </c>
      <c r="O1177" t="s">
        <v>35</v>
      </c>
      <c r="P1177" t="s">
        <v>35</v>
      </c>
      <c r="Q1177" t="s">
        <v>35</v>
      </c>
      <c r="R1177" t="s">
        <v>35</v>
      </c>
      <c r="S1177" t="s">
        <v>35</v>
      </c>
      <c r="T1177" t="s">
        <v>35</v>
      </c>
      <c r="U1177" t="s">
        <v>35</v>
      </c>
      <c r="V1177" t="s">
        <v>35</v>
      </c>
      <c r="W1177" t="s">
        <v>35</v>
      </c>
      <c r="X1177" t="s">
        <v>35</v>
      </c>
      <c r="Y1177" t="s">
        <v>35</v>
      </c>
      <c r="Z1177" t="s">
        <v>35</v>
      </c>
      <c r="AA1177" t="s">
        <v>35</v>
      </c>
      <c r="AB1177" t="s">
        <v>35</v>
      </c>
      <c r="AC1177" t="s">
        <v>35</v>
      </c>
      <c r="AD1177" t="s">
        <v>35</v>
      </c>
      <c r="AE1177" t="s">
        <v>35</v>
      </c>
    </row>
    <row r="1178" spans="1:31" x14ac:dyDescent="0.2">
      <c r="A1178" t="s">
        <v>368</v>
      </c>
      <c r="B1178" t="s">
        <v>107</v>
      </c>
      <c r="C1178">
        <v>28</v>
      </c>
      <c r="D1178" t="s">
        <v>33</v>
      </c>
      <c r="E1178" t="s">
        <v>34</v>
      </c>
      <c r="F1178" t="s">
        <v>35</v>
      </c>
      <c r="G1178">
        <v>41692</v>
      </c>
      <c r="H1178" t="s">
        <v>35</v>
      </c>
      <c r="I1178" t="s">
        <v>35</v>
      </c>
      <c r="J1178" t="s">
        <v>35</v>
      </c>
      <c r="K1178" t="s">
        <v>35</v>
      </c>
      <c r="L1178" t="s">
        <v>35</v>
      </c>
      <c r="M1178" t="s">
        <v>35</v>
      </c>
      <c r="N1178" t="s">
        <v>35</v>
      </c>
      <c r="O1178" t="s">
        <v>35</v>
      </c>
      <c r="P1178" t="s">
        <v>35</v>
      </c>
      <c r="Q1178" t="s">
        <v>35</v>
      </c>
      <c r="R1178" t="s">
        <v>35</v>
      </c>
      <c r="S1178" t="s">
        <v>35</v>
      </c>
      <c r="T1178" t="s">
        <v>35</v>
      </c>
      <c r="U1178" t="s">
        <v>35</v>
      </c>
      <c r="V1178" t="s">
        <v>35</v>
      </c>
      <c r="W1178" t="s">
        <v>35</v>
      </c>
      <c r="X1178" t="s">
        <v>35</v>
      </c>
      <c r="Y1178" t="s">
        <v>35</v>
      </c>
      <c r="Z1178" t="s">
        <v>35</v>
      </c>
      <c r="AA1178" t="s">
        <v>35</v>
      </c>
      <c r="AB1178" t="s">
        <v>35</v>
      </c>
      <c r="AC1178" t="s">
        <v>35</v>
      </c>
      <c r="AD1178" t="s">
        <v>35</v>
      </c>
      <c r="AE1178" t="s">
        <v>35</v>
      </c>
    </row>
    <row r="1179" spans="1:31" x14ac:dyDescent="0.2">
      <c r="A1179" t="s">
        <v>368</v>
      </c>
      <c r="B1179" t="s">
        <v>107</v>
      </c>
      <c r="C1179">
        <v>28</v>
      </c>
      <c r="D1179" t="s">
        <v>33</v>
      </c>
      <c r="E1179" t="s">
        <v>36</v>
      </c>
      <c r="F1179" t="s">
        <v>37</v>
      </c>
      <c r="G1179">
        <v>5457758</v>
      </c>
      <c r="H1179">
        <v>1</v>
      </c>
      <c r="I1179">
        <v>0</v>
      </c>
      <c r="J1179">
        <v>0</v>
      </c>
      <c r="K1179">
        <v>0</v>
      </c>
      <c r="L1179" t="s">
        <v>35</v>
      </c>
      <c r="M1179" t="s">
        <v>35</v>
      </c>
      <c r="N1179" t="s">
        <v>35</v>
      </c>
      <c r="O1179" t="s">
        <v>35</v>
      </c>
      <c r="P1179" t="s">
        <v>35</v>
      </c>
      <c r="Q1179" t="s">
        <v>35</v>
      </c>
      <c r="R1179" t="s">
        <v>35</v>
      </c>
      <c r="S1179" t="s">
        <v>35</v>
      </c>
      <c r="T1179" t="s">
        <v>35</v>
      </c>
      <c r="U1179" t="s">
        <v>35</v>
      </c>
      <c r="V1179" t="s">
        <v>35</v>
      </c>
      <c r="W1179" t="s">
        <v>35</v>
      </c>
      <c r="X1179" t="s">
        <v>35</v>
      </c>
      <c r="Y1179" t="s">
        <v>35</v>
      </c>
      <c r="Z1179" t="s">
        <v>35</v>
      </c>
      <c r="AA1179" t="s">
        <v>35</v>
      </c>
      <c r="AB1179" t="s">
        <v>35</v>
      </c>
      <c r="AC1179" t="s">
        <v>35</v>
      </c>
      <c r="AD1179" t="s">
        <v>35</v>
      </c>
      <c r="AE1179" t="s">
        <v>35</v>
      </c>
    </row>
    <row r="1180" spans="1:31" x14ac:dyDescent="0.2">
      <c r="A1180" t="s">
        <v>368</v>
      </c>
      <c r="B1180" t="s">
        <v>107</v>
      </c>
      <c r="C1180">
        <v>28</v>
      </c>
      <c r="D1180" t="s">
        <v>33</v>
      </c>
      <c r="E1180" t="s">
        <v>36</v>
      </c>
      <c r="F1180" t="s">
        <v>38</v>
      </c>
      <c r="G1180">
        <v>13955</v>
      </c>
      <c r="H1180">
        <v>0</v>
      </c>
      <c r="I1180">
        <v>0</v>
      </c>
      <c r="J1180">
        <v>1</v>
      </c>
      <c r="K1180">
        <v>0</v>
      </c>
      <c r="L1180" t="s">
        <v>35</v>
      </c>
      <c r="M1180" t="s">
        <v>35</v>
      </c>
      <c r="N1180" t="s">
        <v>35</v>
      </c>
      <c r="O1180" t="s">
        <v>35</v>
      </c>
      <c r="P1180" t="s">
        <v>35</v>
      </c>
      <c r="Q1180" t="s">
        <v>35</v>
      </c>
      <c r="R1180" t="s">
        <v>35</v>
      </c>
      <c r="S1180" t="s">
        <v>35</v>
      </c>
      <c r="T1180" t="s">
        <v>35</v>
      </c>
      <c r="U1180" t="s">
        <v>35</v>
      </c>
      <c r="V1180" t="s">
        <v>35</v>
      </c>
      <c r="W1180" t="s">
        <v>35</v>
      </c>
      <c r="X1180" t="s">
        <v>35</v>
      </c>
      <c r="Y1180" t="s">
        <v>35</v>
      </c>
      <c r="Z1180" t="s">
        <v>35</v>
      </c>
      <c r="AA1180" t="s">
        <v>35</v>
      </c>
      <c r="AB1180" t="s">
        <v>35</v>
      </c>
      <c r="AC1180" t="s">
        <v>35</v>
      </c>
      <c r="AD1180" t="s">
        <v>35</v>
      </c>
      <c r="AE1180" t="s">
        <v>35</v>
      </c>
    </row>
    <row r="1181" spans="1:31" x14ac:dyDescent="0.2">
      <c r="A1181" t="s">
        <v>368</v>
      </c>
      <c r="B1181" t="s">
        <v>107</v>
      </c>
      <c r="C1181">
        <v>28</v>
      </c>
      <c r="D1181" t="s">
        <v>33</v>
      </c>
      <c r="E1181" t="s">
        <v>39</v>
      </c>
      <c r="F1181" t="s">
        <v>47</v>
      </c>
      <c r="G1181">
        <v>35245</v>
      </c>
      <c r="H1181">
        <v>0</v>
      </c>
      <c r="I1181">
        <v>1</v>
      </c>
      <c r="J1181">
        <v>0</v>
      </c>
      <c r="K1181">
        <v>0</v>
      </c>
      <c r="L1181" t="s">
        <v>80</v>
      </c>
      <c r="M1181" t="s">
        <v>49</v>
      </c>
      <c r="N1181" t="s">
        <v>95</v>
      </c>
      <c r="O1181" t="s">
        <v>67</v>
      </c>
      <c r="P1181" t="s">
        <v>44</v>
      </c>
      <c r="Q1181" t="s">
        <v>68</v>
      </c>
      <c r="R1181">
        <v>1</v>
      </c>
      <c r="S1181">
        <v>1</v>
      </c>
      <c r="T1181">
        <v>0</v>
      </c>
      <c r="U1181">
        <v>1</v>
      </c>
      <c r="V1181">
        <v>0</v>
      </c>
      <c r="W1181">
        <v>0</v>
      </c>
      <c r="X1181">
        <v>1</v>
      </c>
      <c r="Y1181">
        <v>0</v>
      </c>
      <c r="Z1181">
        <v>1</v>
      </c>
      <c r="AA1181">
        <v>0</v>
      </c>
      <c r="AB1181">
        <v>0</v>
      </c>
      <c r="AC1181">
        <v>0</v>
      </c>
      <c r="AD1181">
        <v>0</v>
      </c>
      <c r="AE1181">
        <v>0</v>
      </c>
    </row>
    <row r="1182" spans="1:31" x14ac:dyDescent="0.2">
      <c r="A1182" t="s">
        <v>368</v>
      </c>
      <c r="B1182" t="s">
        <v>107</v>
      </c>
      <c r="C1182">
        <v>28</v>
      </c>
      <c r="D1182" t="s">
        <v>33</v>
      </c>
      <c r="E1182" t="s">
        <v>39</v>
      </c>
      <c r="F1182" t="s">
        <v>70</v>
      </c>
      <c r="G1182">
        <v>5820</v>
      </c>
      <c r="H1182">
        <v>0</v>
      </c>
      <c r="I1182">
        <v>1</v>
      </c>
      <c r="J1182">
        <v>0</v>
      </c>
      <c r="K1182">
        <v>0</v>
      </c>
      <c r="L1182" t="s">
        <v>71</v>
      </c>
      <c r="M1182" t="s">
        <v>72</v>
      </c>
      <c r="N1182" t="s">
        <v>73</v>
      </c>
      <c r="O1182" t="s">
        <v>45</v>
      </c>
      <c r="P1182" t="s">
        <v>67</v>
      </c>
      <c r="Q1182" t="s">
        <v>44</v>
      </c>
      <c r="R1182">
        <v>0</v>
      </c>
      <c r="S1182">
        <v>1</v>
      </c>
      <c r="T1182">
        <v>0</v>
      </c>
      <c r="U1182">
        <v>1</v>
      </c>
      <c r="V1182">
        <v>1</v>
      </c>
      <c r="W1182">
        <v>0</v>
      </c>
      <c r="X1182">
        <v>1</v>
      </c>
      <c r="Y1182">
        <v>0</v>
      </c>
      <c r="Z1182">
        <v>0</v>
      </c>
      <c r="AA1182">
        <v>0</v>
      </c>
      <c r="AB1182">
        <v>1</v>
      </c>
      <c r="AC1182">
        <v>0</v>
      </c>
      <c r="AD1182">
        <v>0</v>
      </c>
      <c r="AE1182">
        <v>0</v>
      </c>
    </row>
    <row r="1183" spans="1:31" x14ac:dyDescent="0.2">
      <c r="A1183" t="s">
        <v>368</v>
      </c>
      <c r="B1183" t="s">
        <v>107</v>
      </c>
      <c r="C1183">
        <v>28</v>
      </c>
      <c r="D1183" t="s">
        <v>33</v>
      </c>
      <c r="E1183" t="s">
        <v>52</v>
      </c>
      <c r="F1183" t="s">
        <v>58</v>
      </c>
      <c r="G1183">
        <v>11886</v>
      </c>
      <c r="H1183">
        <v>1</v>
      </c>
      <c r="I1183">
        <v>0</v>
      </c>
      <c r="J1183">
        <v>0</v>
      </c>
      <c r="K1183">
        <v>0</v>
      </c>
      <c r="L1183" t="s">
        <v>35</v>
      </c>
      <c r="M1183" t="s">
        <v>35</v>
      </c>
      <c r="N1183" t="s">
        <v>35</v>
      </c>
      <c r="O1183" t="s">
        <v>35</v>
      </c>
      <c r="P1183" t="s">
        <v>35</v>
      </c>
      <c r="Q1183" t="s">
        <v>35</v>
      </c>
      <c r="R1183" t="s">
        <v>35</v>
      </c>
      <c r="S1183">
        <v>1</v>
      </c>
      <c r="T1183">
        <v>0</v>
      </c>
      <c r="U1183">
        <v>1</v>
      </c>
      <c r="V1183">
        <v>1</v>
      </c>
      <c r="W1183">
        <v>0</v>
      </c>
      <c r="X1183">
        <v>1</v>
      </c>
      <c r="Y1183">
        <v>0</v>
      </c>
      <c r="Z1183">
        <v>0</v>
      </c>
      <c r="AA1183">
        <v>0</v>
      </c>
      <c r="AB1183">
        <v>1</v>
      </c>
      <c r="AC1183">
        <v>0</v>
      </c>
      <c r="AD1183">
        <v>0</v>
      </c>
      <c r="AE1183">
        <v>0</v>
      </c>
    </row>
    <row r="1184" spans="1:31" x14ac:dyDescent="0.2">
      <c r="A1184" t="s">
        <v>368</v>
      </c>
      <c r="B1184" t="s">
        <v>107</v>
      </c>
      <c r="C1184">
        <v>28</v>
      </c>
      <c r="D1184" t="s">
        <v>33</v>
      </c>
      <c r="E1184" t="s">
        <v>39</v>
      </c>
      <c r="F1184" t="s">
        <v>63</v>
      </c>
      <c r="G1184">
        <v>3644</v>
      </c>
      <c r="H1184">
        <v>0</v>
      </c>
      <c r="I1184">
        <v>1</v>
      </c>
      <c r="J1184">
        <v>0</v>
      </c>
      <c r="K1184">
        <v>0</v>
      </c>
      <c r="L1184" t="s">
        <v>64</v>
      </c>
      <c r="M1184" t="s">
        <v>65</v>
      </c>
      <c r="N1184" t="s">
        <v>84</v>
      </c>
      <c r="O1184" t="s">
        <v>67</v>
      </c>
      <c r="P1184" t="s">
        <v>68</v>
      </c>
      <c r="Q1184" t="s">
        <v>46</v>
      </c>
      <c r="R1184">
        <v>1</v>
      </c>
      <c r="S1184">
        <v>0</v>
      </c>
      <c r="T1184">
        <v>1</v>
      </c>
      <c r="U1184">
        <v>1</v>
      </c>
      <c r="V1184">
        <v>0</v>
      </c>
      <c r="W1184">
        <v>0</v>
      </c>
      <c r="X1184">
        <v>1</v>
      </c>
      <c r="Y1184">
        <v>1</v>
      </c>
      <c r="Z1184">
        <v>0</v>
      </c>
      <c r="AA1184">
        <v>0</v>
      </c>
      <c r="AB1184">
        <v>0</v>
      </c>
      <c r="AC1184">
        <v>0</v>
      </c>
      <c r="AD1184">
        <v>0</v>
      </c>
      <c r="AE1184">
        <v>0</v>
      </c>
    </row>
    <row r="1185" spans="1:31" x14ac:dyDescent="0.2">
      <c r="A1185" t="s">
        <v>368</v>
      </c>
      <c r="B1185" t="s">
        <v>107</v>
      </c>
      <c r="C1185">
        <v>28</v>
      </c>
      <c r="D1185" t="s">
        <v>33</v>
      </c>
      <c r="E1185" t="s">
        <v>39</v>
      </c>
      <c r="F1185" t="s">
        <v>40</v>
      </c>
      <c r="G1185">
        <v>5918</v>
      </c>
      <c r="H1185">
        <v>0</v>
      </c>
      <c r="I1185">
        <v>1</v>
      </c>
      <c r="J1185">
        <v>0</v>
      </c>
      <c r="K1185">
        <v>0</v>
      </c>
      <c r="L1185" t="s">
        <v>82</v>
      </c>
      <c r="M1185" t="s">
        <v>43</v>
      </c>
      <c r="N1185" t="s">
        <v>42</v>
      </c>
      <c r="O1185" t="s">
        <v>68</v>
      </c>
      <c r="P1185" t="s">
        <v>46</v>
      </c>
      <c r="Q1185" t="s">
        <v>45</v>
      </c>
      <c r="R1185">
        <v>1</v>
      </c>
      <c r="S1185">
        <v>0</v>
      </c>
      <c r="T1185">
        <v>1</v>
      </c>
      <c r="U1185">
        <v>0</v>
      </c>
      <c r="V1185">
        <v>1</v>
      </c>
      <c r="W1185">
        <v>0</v>
      </c>
      <c r="X1185">
        <v>1</v>
      </c>
      <c r="Y1185">
        <v>0</v>
      </c>
      <c r="Z1185">
        <v>0</v>
      </c>
      <c r="AA1185">
        <v>1</v>
      </c>
      <c r="AB1185">
        <v>0</v>
      </c>
      <c r="AC1185">
        <v>0</v>
      </c>
      <c r="AD1185">
        <v>0</v>
      </c>
      <c r="AE1185">
        <v>0</v>
      </c>
    </row>
    <row r="1186" spans="1:31" x14ac:dyDescent="0.2">
      <c r="A1186" t="s">
        <v>368</v>
      </c>
      <c r="B1186" t="s">
        <v>107</v>
      </c>
      <c r="C1186">
        <v>28</v>
      </c>
      <c r="D1186" t="s">
        <v>33</v>
      </c>
      <c r="E1186" t="s">
        <v>52</v>
      </c>
      <c r="F1186" t="s">
        <v>69</v>
      </c>
      <c r="G1186">
        <v>1981</v>
      </c>
      <c r="H1186">
        <v>0</v>
      </c>
      <c r="I1186">
        <v>1</v>
      </c>
      <c r="J1186">
        <v>0</v>
      </c>
      <c r="K1186">
        <v>0</v>
      </c>
      <c r="L1186" t="s">
        <v>35</v>
      </c>
      <c r="M1186" t="s">
        <v>35</v>
      </c>
      <c r="N1186" t="s">
        <v>35</v>
      </c>
      <c r="O1186" t="s">
        <v>35</v>
      </c>
      <c r="P1186" t="s">
        <v>35</v>
      </c>
      <c r="Q1186" t="s">
        <v>35</v>
      </c>
      <c r="R1186" t="s">
        <v>35</v>
      </c>
      <c r="S1186">
        <v>0</v>
      </c>
      <c r="T1186">
        <v>1</v>
      </c>
      <c r="U1186">
        <v>0</v>
      </c>
      <c r="V1186">
        <v>1</v>
      </c>
      <c r="W1186">
        <v>0</v>
      </c>
      <c r="X1186">
        <v>1</v>
      </c>
      <c r="Y1186">
        <v>0</v>
      </c>
      <c r="Z1186">
        <v>0</v>
      </c>
      <c r="AA1186">
        <v>1</v>
      </c>
      <c r="AB1186">
        <v>0</v>
      </c>
      <c r="AC1186">
        <v>0</v>
      </c>
      <c r="AD1186">
        <v>0</v>
      </c>
      <c r="AE1186">
        <v>0</v>
      </c>
    </row>
    <row r="1187" spans="1:31" x14ac:dyDescent="0.2">
      <c r="A1187" t="s">
        <v>368</v>
      </c>
      <c r="B1187" t="s">
        <v>107</v>
      </c>
      <c r="C1187">
        <v>28</v>
      </c>
      <c r="D1187" t="s">
        <v>33</v>
      </c>
      <c r="E1187" t="s">
        <v>39</v>
      </c>
      <c r="F1187" t="s">
        <v>59</v>
      </c>
      <c r="G1187">
        <v>2445</v>
      </c>
      <c r="H1187">
        <v>0</v>
      </c>
      <c r="I1187">
        <v>1</v>
      </c>
      <c r="J1187">
        <v>0</v>
      </c>
      <c r="K1187">
        <v>0</v>
      </c>
      <c r="L1187" t="s">
        <v>83</v>
      </c>
      <c r="M1187" t="s">
        <v>60</v>
      </c>
      <c r="N1187" t="s">
        <v>94</v>
      </c>
      <c r="O1187" t="s">
        <v>51</v>
      </c>
      <c r="P1187" t="s">
        <v>44</v>
      </c>
      <c r="Q1187" t="s">
        <v>68</v>
      </c>
      <c r="R1187">
        <v>1</v>
      </c>
      <c r="S1187">
        <v>1</v>
      </c>
      <c r="T1187">
        <v>0</v>
      </c>
      <c r="U1187">
        <v>0</v>
      </c>
      <c r="V1187">
        <v>0</v>
      </c>
      <c r="W1187">
        <v>0</v>
      </c>
      <c r="X1187">
        <v>1</v>
      </c>
      <c r="Y1187">
        <v>0</v>
      </c>
      <c r="Z1187">
        <v>1</v>
      </c>
      <c r="AA1187">
        <v>0</v>
      </c>
      <c r="AB1187">
        <v>0</v>
      </c>
      <c r="AC1187">
        <v>0</v>
      </c>
      <c r="AD1187">
        <v>0</v>
      </c>
      <c r="AE1187">
        <v>0</v>
      </c>
    </row>
    <row r="1188" spans="1:31" x14ac:dyDescent="0.2">
      <c r="A1188" t="s">
        <v>368</v>
      </c>
      <c r="B1188" t="s">
        <v>107</v>
      </c>
      <c r="C1188">
        <v>28</v>
      </c>
      <c r="D1188" t="s">
        <v>33</v>
      </c>
      <c r="E1188" t="s">
        <v>52</v>
      </c>
      <c r="F1188" t="s">
        <v>74</v>
      </c>
      <c r="G1188">
        <v>1806</v>
      </c>
      <c r="H1188">
        <v>0</v>
      </c>
      <c r="I1188">
        <v>1</v>
      </c>
      <c r="J1188">
        <v>0</v>
      </c>
      <c r="K1188">
        <v>0</v>
      </c>
      <c r="L1188" t="s">
        <v>35</v>
      </c>
      <c r="M1188" t="s">
        <v>35</v>
      </c>
      <c r="N1188" t="s">
        <v>35</v>
      </c>
      <c r="O1188" t="s">
        <v>35</v>
      </c>
      <c r="P1188" t="s">
        <v>35</v>
      </c>
      <c r="Q1188" t="s">
        <v>35</v>
      </c>
      <c r="R1188" t="s">
        <v>35</v>
      </c>
      <c r="S1188">
        <v>1</v>
      </c>
      <c r="T1188">
        <v>0</v>
      </c>
      <c r="U1188">
        <v>0</v>
      </c>
      <c r="V1188">
        <v>0</v>
      </c>
      <c r="W1188">
        <v>0</v>
      </c>
      <c r="X1188">
        <v>1</v>
      </c>
      <c r="Y1188">
        <v>0</v>
      </c>
      <c r="Z1188">
        <v>1</v>
      </c>
      <c r="AA1188">
        <v>0</v>
      </c>
      <c r="AB1188">
        <v>0</v>
      </c>
      <c r="AC1188">
        <v>0</v>
      </c>
      <c r="AD1188">
        <v>0</v>
      </c>
      <c r="AE1188">
        <v>0</v>
      </c>
    </row>
    <row r="1189" spans="1:31" x14ac:dyDescent="0.2">
      <c r="A1189" t="s">
        <v>368</v>
      </c>
      <c r="B1189" t="s">
        <v>107</v>
      </c>
      <c r="C1189">
        <v>28</v>
      </c>
      <c r="D1189" t="s">
        <v>33</v>
      </c>
      <c r="E1189" t="s">
        <v>39</v>
      </c>
      <c r="F1189" t="s">
        <v>54</v>
      </c>
      <c r="G1189">
        <v>2710</v>
      </c>
      <c r="H1189">
        <v>0</v>
      </c>
      <c r="I1189">
        <v>0</v>
      </c>
      <c r="J1189">
        <v>1</v>
      </c>
      <c r="K1189">
        <v>0</v>
      </c>
      <c r="L1189" t="s">
        <v>56</v>
      </c>
      <c r="M1189" t="s">
        <v>57</v>
      </c>
      <c r="N1189" t="s">
        <v>55</v>
      </c>
      <c r="O1189" t="s">
        <v>45</v>
      </c>
      <c r="P1189" t="s">
        <v>46</v>
      </c>
      <c r="Q1189" t="s">
        <v>44</v>
      </c>
      <c r="R1189">
        <v>0</v>
      </c>
      <c r="S1189">
        <v>1</v>
      </c>
      <c r="T1189">
        <v>1</v>
      </c>
      <c r="U1189">
        <v>0</v>
      </c>
      <c r="V1189">
        <v>1</v>
      </c>
      <c r="W1189">
        <v>0</v>
      </c>
      <c r="X1189">
        <v>1</v>
      </c>
      <c r="Y1189">
        <v>0</v>
      </c>
      <c r="Z1189">
        <v>1</v>
      </c>
      <c r="AA1189">
        <v>0</v>
      </c>
      <c r="AB1189">
        <v>0</v>
      </c>
      <c r="AC1189">
        <v>0</v>
      </c>
      <c r="AD1189">
        <v>0</v>
      </c>
      <c r="AE1189">
        <v>0</v>
      </c>
    </row>
    <row r="1190" spans="1:31" x14ac:dyDescent="0.2">
      <c r="A1190" t="s">
        <v>368</v>
      </c>
      <c r="B1190" t="s">
        <v>107</v>
      </c>
      <c r="C1190">
        <v>28</v>
      </c>
      <c r="D1190" t="s">
        <v>33</v>
      </c>
      <c r="E1190" t="s">
        <v>52</v>
      </c>
      <c r="F1190" t="s">
        <v>53</v>
      </c>
      <c r="G1190">
        <v>1910</v>
      </c>
      <c r="H1190">
        <v>0</v>
      </c>
      <c r="I1190">
        <v>0</v>
      </c>
      <c r="J1190">
        <v>1</v>
      </c>
      <c r="K1190">
        <v>0</v>
      </c>
      <c r="L1190" t="s">
        <v>35</v>
      </c>
      <c r="M1190" t="s">
        <v>35</v>
      </c>
      <c r="N1190" t="s">
        <v>35</v>
      </c>
      <c r="O1190" t="s">
        <v>35</v>
      </c>
      <c r="P1190" t="s">
        <v>35</v>
      </c>
      <c r="Q1190" t="s">
        <v>35</v>
      </c>
      <c r="R1190" t="s">
        <v>35</v>
      </c>
      <c r="S1190">
        <v>1</v>
      </c>
      <c r="T1190">
        <v>1</v>
      </c>
      <c r="U1190">
        <v>0</v>
      </c>
      <c r="V1190">
        <v>1</v>
      </c>
      <c r="W1190">
        <v>0</v>
      </c>
      <c r="X1190">
        <v>1</v>
      </c>
      <c r="Y1190">
        <v>0</v>
      </c>
      <c r="Z1190">
        <v>1</v>
      </c>
      <c r="AA1190">
        <v>0</v>
      </c>
      <c r="AB1190">
        <v>0</v>
      </c>
      <c r="AC1190">
        <v>0</v>
      </c>
      <c r="AD1190">
        <v>0</v>
      </c>
      <c r="AE1190">
        <v>0</v>
      </c>
    </row>
    <row r="1191" spans="1:31" x14ac:dyDescent="0.2">
      <c r="A1191" t="s">
        <v>368</v>
      </c>
      <c r="B1191" t="s">
        <v>107</v>
      </c>
      <c r="C1191">
        <v>28</v>
      </c>
      <c r="D1191" t="s">
        <v>33</v>
      </c>
      <c r="E1191" t="s">
        <v>75</v>
      </c>
      <c r="F1191" t="s">
        <v>35</v>
      </c>
      <c r="G1191">
        <v>105142</v>
      </c>
      <c r="H1191" t="s">
        <v>369</v>
      </c>
      <c r="I1191" t="s">
        <v>116</v>
      </c>
      <c r="J1191" t="s">
        <v>255</v>
      </c>
      <c r="K1191" t="s">
        <v>35</v>
      </c>
      <c r="L1191" t="s">
        <v>35</v>
      </c>
      <c r="M1191" t="s">
        <v>35</v>
      </c>
      <c r="N1191" t="s">
        <v>35</v>
      </c>
      <c r="O1191" t="s">
        <v>35</v>
      </c>
      <c r="P1191" t="s">
        <v>35</v>
      </c>
      <c r="Q1191" t="s">
        <v>35</v>
      </c>
      <c r="R1191" t="s">
        <v>35</v>
      </c>
      <c r="S1191" t="s">
        <v>35</v>
      </c>
      <c r="T1191" t="s">
        <v>35</v>
      </c>
      <c r="U1191" t="s">
        <v>35</v>
      </c>
      <c r="V1191" t="s">
        <v>35</v>
      </c>
      <c r="W1191" t="s">
        <v>35</v>
      </c>
      <c r="X1191" t="s">
        <v>35</v>
      </c>
      <c r="Y1191" t="s">
        <v>35</v>
      </c>
      <c r="Z1191" t="s">
        <v>35</v>
      </c>
      <c r="AA1191" t="s">
        <v>35</v>
      </c>
      <c r="AB1191" t="s">
        <v>35</v>
      </c>
      <c r="AC1191" t="s">
        <v>35</v>
      </c>
      <c r="AD1191" t="s">
        <v>35</v>
      </c>
      <c r="AE1191" t="s">
        <v>35</v>
      </c>
    </row>
    <row r="1192" spans="1:31" x14ac:dyDescent="0.2">
      <c r="A1192" t="s">
        <v>370</v>
      </c>
      <c r="B1192" t="s">
        <v>102</v>
      </c>
      <c r="C1192">
        <v>39</v>
      </c>
      <c r="D1192" t="s">
        <v>78</v>
      </c>
      <c r="E1192" t="s">
        <v>34</v>
      </c>
      <c r="F1192" t="s">
        <v>35</v>
      </c>
      <c r="G1192">
        <v>29816</v>
      </c>
      <c r="H1192" t="s">
        <v>35</v>
      </c>
      <c r="I1192" t="s">
        <v>35</v>
      </c>
      <c r="J1192" t="s">
        <v>35</v>
      </c>
      <c r="K1192" t="s">
        <v>35</v>
      </c>
      <c r="L1192" t="s">
        <v>35</v>
      </c>
      <c r="M1192" t="s">
        <v>35</v>
      </c>
      <c r="N1192" t="s">
        <v>35</v>
      </c>
      <c r="O1192" t="s">
        <v>35</v>
      </c>
      <c r="P1192" t="s">
        <v>35</v>
      </c>
      <c r="Q1192" t="s">
        <v>35</v>
      </c>
      <c r="R1192" t="s">
        <v>35</v>
      </c>
      <c r="S1192" t="s">
        <v>35</v>
      </c>
      <c r="T1192" t="s">
        <v>35</v>
      </c>
      <c r="U1192" t="s">
        <v>35</v>
      </c>
      <c r="V1192" t="s">
        <v>35</v>
      </c>
      <c r="W1192" t="s">
        <v>35</v>
      </c>
      <c r="X1192" t="s">
        <v>35</v>
      </c>
      <c r="Y1192" t="s">
        <v>35</v>
      </c>
      <c r="Z1192" t="s">
        <v>35</v>
      </c>
      <c r="AA1192" t="s">
        <v>35</v>
      </c>
      <c r="AB1192" t="s">
        <v>35</v>
      </c>
      <c r="AC1192" t="s">
        <v>35</v>
      </c>
      <c r="AD1192" t="s">
        <v>35</v>
      </c>
      <c r="AE1192" t="s">
        <v>35</v>
      </c>
    </row>
    <row r="1193" spans="1:31" x14ac:dyDescent="0.2">
      <c r="A1193" t="s">
        <v>370</v>
      </c>
      <c r="B1193" t="s">
        <v>102</v>
      </c>
      <c r="C1193">
        <v>39</v>
      </c>
      <c r="D1193" t="s">
        <v>78</v>
      </c>
      <c r="E1193" t="s">
        <v>36</v>
      </c>
      <c r="F1193" t="s">
        <v>38</v>
      </c>
      <c r="G1193">
        <v>74578</v>
      </c>
      <c r="H1193">
        <v>0</v>
      </c>
      <c r="I1193">
        <v>0</v>
      </c>
      <c r="J1193">
        <v>0</v>
      </c>
      <c r="K1193">
        <v>1</v>
      </c>
      <c r="L1193" t="s">
        <v>35</v>
      </c>
      <c r="M1193" t="s">
        <v>35</v>
      </c>
      <c r="N1193" t="s">
        <v>35</v>
      </c>
      <c r="O1193" t="s">
        <v>35</v>
      </c>
      <c r="P1193" t="s">
        <v>35</v>
      </c>
      <c r="Q1193" t="s">
        <v>35</v>
      </c>
      <c r="R1193" t="s">
        <v>35</v>
      </c>
      <c r="S1193" t="s">
        <v>35</v>
      </c>
      <c r="T1193" t="s">
        <v>35</v>
      </c>
      <c r="U1193" t="s">
        <v>35</v>
      </c>
      <c r="V1193" t="s">
        <v>35</v>
      </c>
      <c r="W1193" t="s">
        <v>35</v>
      </c>
      <c r="X1193" t="s">
        <v>35</v>
      </c>
      <c r="Y1193" t="s">
        <v>35</v>
      </c>
      <c r="Z1193" t="s">
        <v>35</v>
      </c>
      <c r="AA1193" t="s">
        <v>35</v>
      </c>
      <c r="AB1193" t="s">
        <v>35</v>
      </c>
      <c r="AC1193" t="s">
        <v>35</v>
      </c>
      <c r="AD1193" t="s">
        <v>35</v>
      </c>
      <c r="AE1193" t="s">
        <v>35</v>
      </c>
    </row>
    <row r="1194" spans="1:31" x14ac:dyDescent="0.2">
      <c r="A1194" t="s">
        <v>370</v>
      </c>
      <c r="B1194" t="s">
        <v>102</v>
      </c>
      <c r="C1194">
        <v>39</v>
      </c>
      <c r="D1194" t="s">
        <v>78</v>
      </c>
      <c r="E1194" t="s">
        <v>36</v>
      </c>
      <c r="F1194" t="s">
        <v>37</v>
      </c>
      <c r="G1194">
        <v>53590</v>
      </c>
      <c r="H1194">
        <v>0</v>
      </c>
      <c r="I1194">
        <v>0</v>
      </c>
      <c r="J1194">
        <v>1</v>
      </c>
      <c r="K1194">
        <v>0</v>
      </c>
      <c r="L1194" t="s">
        <v>35</v>
      </c>
      <c r="M1194" t="s">
        <v>35</v>
      </c>
      <c r="N1194" t="s">
        <v>35</v>
      </c>
      <c r="O1194" t="s">
        <v>35</v>
      </c>
      <c r="P1194" t="s">
        <v>35</v>
      </c>
      <c r="Q1194" t="s">
        <v>35</v>
      </c>
      <c r="R1194" t="s">
        <v>35</v>
      </c>
      <c r="S1194" t="s">
        <v>35</v>
      </c>
      <c r="T1194" t="s">
        <v>35</v>
      </c>
      <c r="U1194" t="s">
        <v>35</v>
      </c>
      <c r="V1194" t="s">
        <v>35</v>
      </c>
      <c r="W1194" t="s">
        <v>35</v>
      </c>
      <c r="X1194" t="s">
        <v>35</v>
      </c>
      <c r="Y1194" t="s">
        <v>35</v>
      </c>
      <c r="Z1194" t="s">
        <v>35</v>
      </c>
      <c r="AA1194" t="s">
        <v>35</v>
      </c>
      <c r="AB1194" t="s">
        <v>35</v>
      </c>
      <c r="AC1194" t="s">
        <v>35</v>
      </c>
      <c r="AD1194" t="s">
        <v>35</v>
      </c>
      <c r="AE1194" t="s">
        <v>35</v>
      </c>
    </row>
    <row r="1195" spans="1:31" x14ac:dyDescent="0.2">
      <c r="A1195" t="s">
        <v>370</v>
      </c>
      <c r="B1195" t="s">
        <v>102</v>
      </c>
      <c r="C1195">
        <v>39</v>
      </c>
      <c r="D1195" t="s">
        <v>78</v>
      </c>
      <c r="E1195" t="s">
        <v>39</v>
      </c>
      <c r="F1195" t="s">
        <v>47</v>
      </c>
      <c r="G1195">
        <v>81511</v>
      </c>
      <c r="H1195">
        <v>1</v>
      </c>
      <c r="I1195">
        <v>0</v>
      </c>
      <c r="J1195">
        <v>0</v>
      </c>
      <c r="K1195">
        <v>0</v>
      </c>
      <c r="L1195" t="s">
        <v>80</v>
      </c>
      <c r="M1195" t="s">
        <v>49</v>
      </c>
      <c r="N1195" t="s">
        <v>48</v>
      </c>
      <c r="O1195" t="s">
        <v>67</v>
      </c>
      <c r="P1195" t="s">
        <v>44</v>
      </c>
      <c r="Q1195" t="s">
        <v>46</v>
      </c>
      <c r="R1195">
        <v>0</v>
      </c>
      <c r="S1195">
        <v>1</v>
      </c>
      <c r="T1195">
        <v>1</v>
      </c>
      <c r="U1195">
        <v>1</v>
      </c>
      <c r="V1195">
        <v>0</v>
      </c>
      <c r="W1195">
        <v>0</v>
      </c>
      <c r="X1195">
        <v>1</v>
      </c>
      <c r="Y1195">
        <v>0</v>
      </c>
      <c r="Z1195">
        <v>0</v>
      </c>
      <c r="AA1195">
        <v>0</v>
      </c>
      <c r="AB1195">
        <v>1</v>
      </c>
      <c r="AC1195">
        <v>0</v>
      </c>
      <c r="AD1195">
        <v>0</v>
      </c>
      <c r="AE1195">
        <v>0</v>
      </c>
    </row>
    <row r="1196" spans="1:31" x14ac:dyDescent="0.2">
      <c r="A1196" t="s">
        <v>370</v>
      </c>
      <c r="B1196" t="s">
        <v>102</v>
      </c>
      <c r="C1196">
        <v>39</v>
      </c>
      <c r="D1196" t="s">
        <v>78</v>
      </c>
      <c r="E1196" t="s">
        <v>39</v>
      </c>
      <c r="F1196" t="s">
        <v>63</v>
      </c>
      <c r="G1196">
        <v>37119</v>
      </c>
      <c r="H1196">
        <v>1</v>
      </c>
      <c r="I1196">
        <v>1</v>
      </c>
      <c r="J1196">
        <v>1</v>
      </c>
      <c r="K1196">
        <v>0</v>
      </c>
      <c r="L1196" t="s">
        <v>64</v>
      </c>
      <c r="M1196" t="s">
        <v>90</v>
      </c>
      <c r="N1196" t="s">
        <v>84</v>
      </c>
      <c r="O1196" t="s">
        <v>67</v>
      </c>
      <c r="P1196" t="s">
        <v>44</v>
      </c>
      <c r="Q1196" t="s">
        <v>46</v>
      </c>
      <c r="R1196">
        <v>0</v>
      </c>
      <c r="S1196">
        <v>1</v>
      </c>
      <c r="T1196">
        <v>1</v>
      </c>
      <c r="U1196">
        <v>1</v>
      </c>
      <c r="V1196">
        <v>0</v>
      </c>
      <c r="W1196">
        <v>0</v>
      </c>
      <c r="X1196">
        <v>1</v>
      </c>
      <c r="Y1196">
        <v>0</v>
      </c>
      <c r="Z1196">
        <v>1</v>
      </c>
      <c r="AA1196">
        <v>1</v>
      </c>
      <c r="AB1196">
        <v>1</v>
      </c>
      <c r="AC1196">
        <v>0</v>
      </c>
      <c r="AD1196">
        <v>0</v>
      </c>
      <c r="AE1196">
        <v>0</v>
      </c>
    </row>
    <row r="1197" spans="1:31" x14ac:dyDescent="0.2">
      <c r="A1197" t="s">
        <v>370</v>
      </c>
      <c r="B1197" t="s">
        <v>102</v>
      </c>
      <c r="C1197">
        <v>39</v>
      </c>
      <c r="D1197" t="s">
        <v>78</v>
      </c>
      <c r="E1197" t="s">
        <v>52</v>
      </c>
      <c r="F1197" t="s">
        <v>69</v>
      </c>
      <c r="G1197">
        <v>65792</v>
      </c>
      <c r="H1197">
        <v>0</v>
      </c>
      <c r="I1197">
        <v>0</v>
      </c>
      <c r="J1197">
        <v>1</v>
      </c>
      <c r="K1197">
        <v>0</v>
      </c>
      <c r="L1197" t="s">
        <v>35</v>
      </c>
      <c r="M1197" t="s">
        <v>35</v>
      </c>
      <c r="N1197" t="s">
        <v>35</v>
      </c>
      <c r="O1197" t="s">
        <v>35</v>
      </c>
      <c r="P1197" t="s">
        <v>35</v>
      </c>
      <c r="Q1197" t="s">
        <v>35</v>
      </c>
      <c r="R1197" t="s">
        <v>35</v>
      </c>
      <c r="S1197">
        <v>1</v>
      </c>
      <c r="T1197">
        <v>1</v>
      </c>
      <c r="U1197">
        <v>1</v>
      </c>
      <c r="V1197">
        <v>0</v>
      </c>
      <c r="W1197">
        <v>0</v>
      </c>
      <c r="X1197">
        <v>1</v>
      </c>
      <c r="Y1197">
        <v>0</v>
      </c>
      <c r="Z1197">
        <v>1</v>
      </c>
      <c r="AA1197">
        <v>1</v>
      </c>
      <c r="AB1197">
        <v>1</v>
      </c>
      <c r="AC1197">
        <v>0</v>
      </c>
      <c r="AD1197">
        <v>0</v>
      </c>
      <c r="AE1197">
        <v>0</v>
      </c>
    </row>
    <row r="1198" spans="1:31" x14ac:dyDescent="0.2">
      <c r="A1198" t="s">
        <v>370</v>
      </c>
      <c r="B1198" t="s">
        <v>102</v>
      </c>
      <c r="C1198">
        <v>39</v>
      </c>
      <c r="D1198" t="s">
        <v>78</v>
      </c>
      <c r="E1198" t="s">
        <v>39</v>
      </c>
      <c r="F1198" t="s">
        <v>40</v>
      </c>
      <c r="G1198">
        <v>65970</v>
      </c>
      <c r="H1198">
        <v>0</v>
      </c>
      <c r="I1198">
        <v>0</v>
      </c>
      <c r="J1198">
        <v>0</v>
      </c>
      <c r="K1198">
        <v>1</v>
      </c>
      <c r="L1198" t="s">
        <v>43</v>
      </c>
      <c r="M1198" t="s">
        <v>42</v>
      </c>
      <c r="N1198" t="s">
        <v>41</v>
      </c>
      <c r="O1198" t="s">
        <v>46</v>
      </c>
      <c r="P1198" t="s">
        <v>45</v>
      </c>
      <c r="Q1198" t="s">
        <v>44</v>
      </c>
      <c r="R1198">
        <v>0</v>
      </c>
      <c r="S1198">
        <v>1</v>
      </c>
      <c r="T1198">
        <v>1</v>
      </c>
      <c r="U1198">
        <v>0</v>
      </c>
      <c r="V1198">
        <v>1</v>
      </c>
      <c r="W1198">
        <v>0</v>
      </c>
      <c r="X1198">
        <v>1</v>
      </c>
      <c r="Y1198">
        <v>0</v>
      </c>
      <c r="Z1198">
        <v>0</v>
      </c>
      <c r="AA1198">
        <v>0</v>
      </c>
      <c r="AB1198">
        <v>0</v>
      </c>
      <c r="AC1198">
        <v>0</v>
      </c>
      <c r="AD1198">
        <v>0</v>
      </c>
      <c r="AE1198">
        <v>1</v>
      </c>
    </row>
    <row r="1199" spans="1:31" x14ac:dyDescent="0.2">
      <c r="A1199" t="s">
        <v>370</v>
      </c>
      <c r="B1199" t="s">
        <v>102</v>
      </c>
      <c r="C1199">
        <v>39</v>
      </c>
      <c r="D1199" t="s">
        <v>78</v>
      </c>
      <c r="E1199" t="s">
        <v>52</v>
      </c>
      <c r="F1199" t="s">
        <v>53</v>
      </c>
      <c r="G1199">
        <v>51514</v>
      </c>
      <c r="H1199">
        <v>0</v>
      </c>
      <c r="I1199">
        <v>0</v>
      </c>
      <c r="J1199">
        <v>0</v>
      </c>
      <c r="K1199">
        <v>1</v>
      </c>
      <c r="L1199" t="s">
        <v>35</v>
      </c>
      <c r="M1199" t="s">
        <v>35</v>
      </c>
      <c r="N1199" t="s">
        <v>35</v>
      </c>
      <c r="O1199" t="s">
        <v>35</v>
      </c>
      <c r="P1199" t="s">
        <v>35</v>
      </c>
      <c r="Q1199" t="s">
        <v>35</v>
      </c>
      <c r="R1199" t="s">
        <v>35</v>
      </c>
      <c r="S1199">
        <v>1</v>
      </c>
      <c r="T1199">
        <v>1</v>
      </c>
      <c r="U1199">
        <v>0</v>
      </c>
      <c r="V1199">
        <v>1</v>
      </c>
      <c r="W1199">
        <v>0</v>
      </c>
      <c r="X1199">
        <v>1</v>
      </c>
      <c r="Y1199">
        <v>0</v>
      </c>
      <c r="Z1199">
        <v>0</v>
      </c>
      <c r="AA1199">
        <v>0</v>
      </c>
      <c r="AB1199">
        <v>0</v>
      </c>
      <c r="AC1199">
        <v>0</v>
      </c>
      <c r="AD1199">
        <v>0</v>
      </c>
      <c r="AE1199">
        <v>1</v>
      </c>
    </row>
    <row r="1200" spans="1:31" x14ac:dyDescent="0.2">
      <c r="A1200" t="s">
        <v>370</v>
      </c>
      <c r="B1200" t="s">
        <v>102</v>
      </c>
      <c r="C1200">
        <v>39</v>
      </c>
      <c r="D1200" t="s">
        <v>78</v>
      </c>
      <c r="E1200" t="s">
        <v>39</v>
      </c>
      <c r="F1200" t="s">
        <v>70</v>
      </c>
      <c r="G1200">
        <v>31433</v>
      </c>
      <c r="H1200">
        <v>0</v>
      </c>
      <c r="I1200">
        <v>0</v>
      </c>
      <c r="J1200">
        <v>0</v>
      </c>
      <c r="K1200">
        <v>1</v>
      </c>
      <c r="L1200" t="s">
        <v>73</v>
      </c>
      <c r="M1200" t="s">
        <v>72</v>
      </c>
      <c r="N1200" t="s">
        <v>86</v>
      </c>
      <c r="O1200" t="s">
        <v>44</v>
      </c>
      <c r="P1200" t="s">
        <v>67</v>
      </c>
      <c r="Q1200" t="s">
        <v>46</v>
      </c>
      <c r="R1200">
        <v>0</v>
      </c>
      <c r="S1200">
        <v>1</v>
      </c>
      <c r="T1200">
        <v>1</v>
      </c>
      <c r="U1200">
        <v>1</v>
      </c>
      <c r="V1200">
        <v>0</v>
      </c>
      <c r="W1200">
        <v>0</v>
      </c>
      <c r="X1200">
        <v>1</v>
      </c>
      <c r="Y1200">
        <v>0</v>
      </c>
      <c r="Z1200">
        <v>0</v>
      </c>
      <c r="AA1200">
        <v>0</v>
      </c>
      <c r="AB1200">
        <v>0</v>
      </c>
      <c r="AC1200">
        <v>0</v>
      </c>
      <c r="AD1200">
        <v>0</v>
      </c>
      <c r="AE1200">
        <v>1</v>
      </c>
    </row>
    <row r="1201" spans="1:31" x14ac:dyDescent="0.2">
      <c r="A1201" t="s">
        <v>370</v>
      </c>
      <c r="B1201" t="s">
        <v>102</v>
      </c>
      <c r="C1201">
        <v>39</v>
      </c>
      <c r="D1201" t="s">
        <v>78</v>
      </c>
      <c r="E1201" t="s">
        <v>39</v>
      </c>
      <c r="F1201" t="s">
        <v>54</v>
      </c>
      <c r="G1201">
        <v>68729</v>
      </c>
      <c r="H1201">
        <v>1</v>
      </c>
      <c r="I1201">
        <v>1</v>
      </c>
      <c r="J1201">
        <v>1</v>
      </c>
      <c r="K1201">
        <v>0</v>
      </c>
      <c r="L1201" t="s">
        <v>88</v>
      </c>
      <c r="M1201" t="s">
        <v>89</v>
      </c>
      <c r="N1201" t="s">
        <v>57</v>
      </c>
      <c r="O1201" t="s">
        <v>51</v>
      </c>
      <c r="P1201" t="s">
        <v>67</v>
      </c>
      <c r="Q1201" t="s">
        <v>46</v>
      </c>
      <c r="R1201">
        <v>0</v>
      </c>
      <c r="S1201">
        <v>0</v>
      </c>
      <c r="T1201">
        <v>1</v>
      </c>
      <c r="U1201">
        <v>1</v>
      </c>
      <c r="V1201">
        <v>0</v>
      </c>
      <c r="W1201">
        <v>0</v>
      </c>
      <c r="X1201">
        <v>1</v>
      </c>
      <c r="Y1201">
        <v>0</v>
      </c>
      <c r="Z1201">
        <v>0</v>
      </c>
      <c r="AA1201">
        <v>1</v>
      </c>
      <c r="AB1201">
        <v>1</v>
      </c>
      <c r="AC1201">
        <v>0</v>
      </c>
      <c r="AD1201">
        <v>0</v>
      </c>
      <c r="AE1201">
        <v>0</v>
      </c>
    </row>
    <row r="1202" spans="1:31" x14ac:dyDescent="0.2">
      <c r="A1202" t="s">
        <v>370</v>
      </c>
      <c r="B1202" t="s">
        <v>102</v>
      </c>
      <c r="C1202">
        <v>39</v>
      </c>
      <c r="D1202" t="s">
        <v>78</v>
      </c>
      <c r="E1202" t="s">
        <v>52</v>
      </c>
      <c r="F1202" t="s">
        <v>58</v>
      </c>
      <c r="G1202">
        <v>38923</v>
      </c>
      <c r="H1202">
        <v>1</v>
      </c>
      <c r="I1202">
        <v>1</v>
      </c>
      <c r="J1202">
        <v>0</v>
      </c>
      <c r="K1202">
        <v>0</v>
      </c>
      <c r="L1202" t="s">
        <v>35</v>
      </c>
      <c r="M1202" t="s">
        <v>35</v>
      </c>
      <c r="N1202" t="s">
        <v>35</v>
      </c>
      <c r="O1202" t="s">
        <v>35</v>
      </c>
      <c r="P1202" t="s">
        <v>35</v>
      </c>
      <c r="Q1202" t="s">
        <v>35</v>
      </c>
      <c r="R1202" t="s">
        <v>35</v>
      </c>
      <c r="S1202">
        <v>0</v>
      </c>
      <c r="T1202">
        <v>1</v>
      </c>
      <c r="U1202">
        <v>1</v>
      </c>
      <c r="V1202">
        <v>0</v>
      </c>
      <c r="W1202">
        <v>0</v>
      </c>
      <c r="X1202">
        <v>1</v>
      </c>
      <c r="Y1202">
        <v>0</v>
      </c>
      <c r="Z1202">
        <v>0</v>
      </c>
      <c r="AA1202">
        <v>1</v>
      </c>
      <c r="AB1202">
        <v>1</v>
      </c>
      <c r="AC1202">
        <v>0</v>
      </c>
      <c r="AD1202">
        <v>0</v>
      </c>
      <c r="AE1202">
        <v>0</v>
      </c>
    </row>
    <row r="1203" spans="1:31" x14ac:dyDescent="0.2">
      <c r="A1203" t="s">
        <v>370</v>
      </c>
      <c r="B1203" t="s">
        <v>102</v>
      </c>
      <c r="C1203">
        <v>39</v>
      </c>
      <c r="D1203" t="s">
        <v>78</v>
      </c>
      <c r="E1203" t="s">
        <v>39</v>
      </c>
      <c r="F1203" t="s">
        <v>59</v>
      </c>
      <c r="G1203">
        <v>14764</v>
      </c>
      <c r="H1203">
        <v>0</v>
      </c>
      <c r="I1203">
        <v>0</v>
      </c>
      <c r="J1203">
        <v>1</v>
      </c>
      <c r="K1203">
        <v>0</v>
      </c>
      <c r="L1203" t="s">
        <v>61</v>
      </c>
      <c r="M1203" t="s">
        <v>60</v>
      </c>
      <c r="N1203" t="s">
        <v>94</v>
      </c>
      <c r="O1203" t="s">
        <v>46</v>
      </c>
      <c r="P1203" t="s">
        <v>44</v>
      </c>
      <c r="Q1203" t="s">
        <v>68</v>
      </c>
      <c r="R1203">
        <v>1</v>
      </c>
      <c r="S1203">
        <v>1</v>
      </c>
      <c r="T1203">
        <v>1</v>
      </c>
      <c r="U1203">
        <v>0</v>
      </c>
      <c r="V1203">
        <v>0</v>
      </c>
      <c r="W1203">
        <v>0</v>
      </c>
      <c r="X1203">
        <v>1</v>
      </c>
      <c r="Y1203">
        <v>1</v>
      </c>
      <c r="Z1203">
        <v>0</v>
      </c>
      <c r="AA1203">
        <v>0</v>
      </c>
      <c r="AB1203">
        <v>0</v>
      </c>
      <c r="AC1203">
        <v>0</v>
      </c>
      <c r="AD1203">
        <v>0</v>
      </c>
      <c r="AE1203">
        <v>0</v>
      </c>
    </row>
    <row r="1204" spans="1:31" x14ac:dyDescent="0.2">
      <c r="A1204" t="s">
        <v>370</v>
      </c>
      <c r="B1204" t="s">
        <v>102</v>
      </c>
      <c r="C1204">
        <v>39</v>
      </c>
      <c r="D1204" t="s">
        <v>78</v>
      </c>
      <c r="E1204" t="s">
        <v>52</v>
      </c>
      <c r="F1204" t="s">
        <v>74</v>
      </c>
      <c r="G1204">
        <v>35092</v>
      </c>
      <c r="H1204">
        <v>1</v>
      </c>
      <c r="I1204">
        <v>0</v>
      </c>
      <c r="J1204">
        <v>0</v>
      </c>
      <c r="K1204">
        <v>0</v>
      </c>
      <c r="L1204" t="s">
        <v>35</v>
      </c>
      <c r="M1204" t="s">
        <v>35</v>
      </c>
      <c r="N1204" t="s">
        <v>35</v>
      </c>
      <c r="O1204" t="s">
        <v>35</v>
      </c>
      <c r="P1204" t="s">
        <v>35</v>
      </c>
      <c r="Q1204" t="s">
        <v>35</v>
      </c>
      <c r="R1204" t="s">
        <v>35</v>
      </c>
      <c r="S1204">
        <v>1</v>
      </c>
      <c r="T1204">
        <v>1</v>
      </c>
      <c r="U1204">
        <v>0</v>
      </c>
      <c r="V1204">
        <v>0</v>
      </c>
      <c r="W1204">
        <v>0</v>
      </c>
      <c r="X1204">
        <v>1</v>
      </c>
      <c r="Y1204">
        <v>1</v>
      </c>
      <c r="Z1204">
        <v>0</v>
      </c>
      <c r="AA1204">
        <v>0</v>
      </c>
      <c r="AB1204">
        <v>0</v>
      </c>
      <c r="AC1204">
        <v>0</v>
      </c>
      <c r="AD1204">
        <v>0</v>
      </c>
      <c r="AE1204">
        <v>0</v>
      </c>
    </row>
    <row r="1205" spans="1:31" x14ac:dyDescent="0.2">
      <c r="A1205" t="s">
        <v>370</v>
      </c>
      <c r="B1205" t="s">
        <v>102</v>
      </c>
      <c r="C1205">
        <v>39</v>
      </c>
      <c r="D1205" t="s">
        <v>78</v>
      </c>
      <c r="E1205" t="s">
        <v>75</v>
      </c>
      <c r="F1205" t="s">
        <v>35</v>
      </c>
      <c r="G1205">
        <v>113420</v>
      </c>
      <c r="H1205" t="s">
        <v>371</v>
      </c>
      <c r="I1205" t="s">
        <v>372</v>
      </c>
      <c r="J1205" t="s">
        <v>188</v>
      </c>
      <c r="K1205" t="s">
        <v>35</v>
      </c>
      <c r="L1205" t="s">
        <v>35</v>
      </c>
      <c r="M1205" t="s">
        <v>35</v>
      </c>
      <c r="N1205" t="s">
        <v>35</v>
      </c>
      <c r="O1205" t="s">
        <v>35</v>
      </c>
      <c r="P1205" t="s">
        <v>35</v>
      </c>
      <c r="Q1205" t="s">
        <v>35</v>
      </c>
      <c r="R1205" t="s">
        <v>35</v>
      </c>
      <c r="S1205" t="s">
        <v>35</v>
      </c>
      <c r="T1205" t="s">
        <v>35</v>
      </c>
      <c r="U1205" t="s">
        <v>35</v>
      </c>
      <c r="V1205" t="s">
        <v>35</v>
      </c>
      <c r="W1205" t="s">
        <v>35</v>
      </c>
      <c r="X1205" t="s">
        <v>35</v>
      </c>
      <c r="Y1205" t="s">
        <v>35</v>
      </c>
      <c r="Z1205" t="s">
        <v>35</v>
      </c>
      <c r="AA1205" t="s">
        <v>35</v>
      </c>
      <c r="AB1205" t="s">
        <v>35</v>
      </c>
      <c r="AC1205" t="s">
        <v>35</v>
      </c>
      <c r="AD1205" t="s">
        <v>35</v>
      </c>
      <c r="AE1205" t="s">
        <v>35</v>
      </c>
    </row>
    <row r="1206" spans="1:31" x14ac:dyDescent="0.2">
      <c r="A1206" t="s">
        <v>373</v>
      </c>
      <c r="B1206" t="s">
        <v>102</v>
      </c>
      <c r="C1206">
        <v>34</v>
      </c>
      <c r="D1206" t="s">
        <v>33</v>
      </c>
      <c r="E1206" t="s">
        <v>34</v>
      </c>
      <c r="F1206" t="s">
        <v>35</v>
      </c>
      <c r="G1206">
        <v>30291</v>
      </c>
      <c r="H1206" t="s">
        <v>35</v>
      </c>
      <c r="I1206" t="s">
        <v>35</v>
      </c>
      <c r="J1206" t="s">
        <v>35</v>
      </c>
      <c r="K1206" t="s">
        <v>35</v>
      </c>
      <c r="L1206" t="s">
        <v>35</v>
      </c>
      <c r="M1206" t="s">
        <v>35</v>
      </c>
      <c r="N1206" t="s">
        <v>35</v>
      </c>
      <c r="O1206" t="s">
        <v>35</v>
      </c>
      <c r="P1206" t="s">
        <v>35</v>
      </c>
      <c r="Q1206" t="s">
        <v>35</v>
      </c>
      <c r="R1206" t="s">
        <v>35</v>
      </c>
      <c r="S1206" t="s">
        <v>35</v>
      </c>
      <c r="T1206" t="s">
        <v>35</v>
      </c>
      <c r="U1206" t="s">
        <v>35</v>
      </c>
      <c r="V1206" t="s">
        <v>35</v>
      </c>
      <c r="W1206" t="s">
        <v>35</v>
      </c>
      <c r="X1206" t="s">
        <v>35</v>
      </c>
      <c r="Y1206" t="s">
        <v>35</v>
      </c>
      <c r="Z1206" t="s">
        <v>35</v>
      </c>
      <c r="AA1206" t="s">
        <v>35</v>
      </c>
      <c r="AB1206" t="s">
        <v>35</v>
      </c>
      <c r="AC1206" t="s">
        <v>35</v>
      </c>
      <c r="AD1206" t="s">
        <v>35</v>
      </c>
      <c r="AE1206" t="s">
        <v>35</v>
      </c>
    </row>
    <row r="1207" spans="1:31" x14ac:dyDescent="0.2">
      <c r="A1207" t="s">
        <v>373</v>
      </c>
      <c r="B1207" t="s">
        <v>102</v>
      </c>
      <c r="C1207">
        <v>34</v>
      </c>
      <c r="D1207" t="s">
        <v>33</v>
      </c>
      <c r="E1207" t="s">
        <v>36</v>
      </c>
      <c r="F1207" t="s">
        <v>37</v>
      </c>
      <c r="G1207">
        <v>61218</v>
      </c>
      <c r="H1207">
        <v>0</v>
      </c>
      <c r="I1207">
        <v>0</v>
      </c>
      <c r="J1207">
        <v>1</v>
      </c>
      <c r="K1207">
        <v>0</v>
      </c>
      <c r="L1207" t="s">
        <v>35</v>
      </c>
      <c r="M1207" t="s">
        <v>35</v>
      </c>
      <c r="N1207" t="s">
        <v>35</v>
      </c>
      <c r="O1207" t="s">
        <v>35</v>
      </c>
      <c r="P1207" t="s">
        <v>35</v>
      </c>
      <c r="Q1207" t="s">
        <v>35</v>
      </c>
      <c r="R1207" t="s">
        <v>35</v>
      </c>
      <c r="S1207" t="s">
        <v>35</v>
      </c>
      <c r="T1207" t="s">
        <v>35</v>
      </c>
      <c r="U1207" t="s">
        <v>35</v>
      </c>
      <c r="V1207" t="s">
        <v>35</v>
      </c>
      <c r="W1207" t="s">
        <v>35</v>
      </c>
      <c r="X1207" t="s">
        <v>35</v>
      </c>
      <c r="Y1207" t="s">
        <v>35</v>
      </c>
      <c r="Z1207" t="s">
        <v>35</v>
      </c>
      <c r="AA1207" t="s">
        <v>35</v>
      </c>
      <c r="AB1207" t="s">
        <v>35</v>
      </c>
      <c r="AC1207" t="s">
        <v>35</v>
      </c>
      <c r="AD1207" t="s">
        <v>35</v>
      </c>
      <c r="AE1207" t="s">
        <v>35</v>
      </c>
    </row>
    <row r="1208" spans="1:31" x14ac:dyDescent="0.2">
      <c r="A1208" t="s">
        <v>373</v>
      </c>
      <c r="B1208" t="s">
        <v>102</v>
      </c>
      <c r="C1208">
        <v>34</v>
      </c>
      <c r="D1208" t="s">
        <v>33</v>
      </c>
      <c r="E1208" t="s">
        <v>36</v>
      </c>
      <c r="F1208" t="s">
        <v>38</v>
      </c>
      <c r="G1208">
        <v>68106</v>
      </c>
      <c r="H1208">
        <v>0</v>
      </c>
      <c r="I1208">
        <v>0</v>
      </c>
      <c r="J1208">
        <v>0</v>
      </c>
      <c r="K1208">
        <v>1</v>
      </c>
      <c r="L1208" t="s">
        <v>35</v>
      </c>
      <c r="M1208" t="s">
        <v>35</v>
      </c>
      <c r="N1208" t="s">
        <v>35</v>
      </c>
      <c r="O1208" t="s">
        <v>35</v>
      </c>
      <c r="P1208" t="s">
        <v>35</v>
      </c>
      <c r="Q1208" t="s">
        <v>35</v>
      </c>
      <c r="R1208" t="s">
        <v>35</v>
      </c>
      <c r="S1208" t="s">
        <v>35</v>
      </c>
      <c r="T1208" t="s">
        <v>35</v>
      </c>
      <c r="U1208" t="s">
        <v>35</v>
      </c>
      <c r="V1208" t="s">
        <v>35</v>
      </c>
      <c r="W1208" t="s">
        <v>35</v>
      </c>
      <c r="X1208" t="s">
        <v>35</v>
      </c>
      <c r="Y1208" t="s">
        <v>35</v>
      </c>
      <c r="Z1208" t="s">
        <v>35</v>
      </c>
      <c r="AA1208" t="s">
        <v>35</v>
      </c>
      <c r="AB1208" t="s">
        <v>35</v>
      </c>
      <c r="AC1208" t="s">
        <v>35</v>
      </c>
      <c r="AD1208" t="s">
        <v>35</v>
      </c>
      <c r="AE1208" t="s">
        <v>35</v>
      </c>
    </row>
    <row r="1209" spans="1:31" x14ac:dyDescent="0.2">
      <c r="A1209" t="s">
        <v>373</v>
      </c>
      <c r="B1209" t="s">
        <v>102</v>
      </c>
      <c r="C1209">
        <v>34</v>
      </c>
      <c r="D1209" t="s">
        <v>33</v>
      </c>
      <c r="E1209" t="s">
        <v>39</v>
      </c>
      <c r="F1209" t="s">
        <v>54</v>
      </c>
      <c r="G1209">
        <v>70141</v>
      </c>
      <c r="H1209">
        <v>1</v>
      </c>
      <c r="I1209">
        <v>1</v>
      </c>
      <c r="J1209">
        <v>1</v>
      </c>
      <c r="K1209">
        <v>0</v>
      </c>
      <c r="L1209" t="s">
        <v>55</v>
      </c>
      <c r="M1209" t="s">
        <v>122</v>
      </c>
      <c r="N1209" t="s">
        <v>88</v>
      </c>
      <c r="O1209" t="s">
        <v>44</v>
      </c>
      <c r="P1209" t="s">
        <v>68</v>
      </c>
      <c r="Q1209" t="s">
        <v>51</v>
      </c>
      <c r="R1209">
        <v>1</v>
      </c>
      <c r="S1209">
        <v>1</v>
      </c>
      <c r="T1209">
        <v>0</v>
      </c>
      <c r="U1209">
        <v>0</v>
      </c>
      <c r="V1209">
        <v>0</v>
      </c>
      <c r="W1209">
        <v>0</v>
      </c>
      <c r="X1209">
        <v>1</v>
      </c>
      <c r="Y1209">
        <v>1</v>
      </c>
      <c r="Z1209">
        <v>1</v>
      </c>
      <c r="AA1209">
        <v>0</v>
      </c>
      <c r="AB1209">
        <v>0</v>
      </c>
      <c r="AC1209">
        <v>0</v>
      </c>
      <c r="AD1209">
        <v>0</v>
      </c>
      <c r="AE1209">
        <v>0</v>
      </c>
    </row>
    <row r="1210" spans="1:31" x14ac:dyDescent="0.2">
      <c r="A1210" t="s">
        <v>373</v>
      </c>
      <c r="B1210" t="s">
        <v>102</v>
      </c>
      <c r="C1210">
        <v>34</v>
      </c>
      <c r="D1210" t="s">
        <v>33</v>
      </c>
      <c r="E1210" t="s">
        <v>39</v>
      </c>
      <c r="F1210" t="s">
        <v>63</v>
      </c>
      <c r="G1210">
        <v>34604</v>
      </c>
      <c r="H1210">
        <v>1</v>
      </c>
      <c r="I1210">
        <v>1</v>
      </c>
      <c r="J1210">
        <v>1</v>
      </c>
      <c r="K1210">
        <v>0</v>
      </c>
      <c r="L1210" t="s">
        <v>66</v>
      </c>
      <c r="M1210" t="s">
        <v>84</v>
      </c>
      <c r="N1210" t="s">
        <v>85</v>
      </c>
      <c r="O1210" t="s">
        <v>45</v>
      </c>
      <c r="P1210" t="s">
        <v>46</v>
      </c>
      <c r="Q1210" t="s">
        <v>51</v>
      </c>
      <c r="R1210">
        <v>0</v>
      </c>
      <c r="S1210">
        <v>0</v>
      </c>
      <c r="T1210">
        <v>1</v>
      </c>
      <c r="U1210">
        <v>0</v>
      </c>
      <c r="V1210">
        <v>1</v>
      </c>
      <c r="W1210">
        <v>0</v>
      </c>
      <c r="X1210">
        <v>1</v>
      </c>
      <c r="Y1210">
        <v>0</v>
      </c>
      <c r="Z1210">
        <v>0</v>
      </c>
      <c r="AA1210">
        <v>1</v>
      </c>
      <c r="AB1210">
        <v>0</v>
      </c>
      <c r="AC1210">
        <v>1</v>
      </c>
      <c r="AD1210">
        <v>0</v>
      </c>
      <c r="AE1210">
        <v>0</v>
      </c>
    </row>
    <row r="1211" spans="1:31" x14ac:dyDescent="0.2">
      <c r="A1211" t="s">
        <v>373</v>
      </c>
      <c r="B1211" t="s">
        <v>102</v>
      </c>
      <c r="C1211">
        <v>34</v>
      </c>
      <c r="D1211" t="s">
        <v>33</v>
      </c>
      <c r="E1211" t="s">
        <v>52</v>
      </c>
      <c r="F1211" t="s">
        <v>53</v>
      </c>
      <c r="G1211">
        <v>43593</v>
      </c>
      <c r="H1211">
        <v>1</v>
      </c>
      <c r="I1211">
        <v>0</v>
      </c>
      <c r="J1211">
        <v>1</v>
      </c>
      <c r="K1211">
        <v>0</v>
      </c>
      <c r="L1211" t="s">
        <v>35</v>
      </c>
      <c r="M1211" t="s">
        <v>35</v>
      </c>
      <c r="N1211" t="s">
        <v>35</v>
      </c>
      <c r="O1211" t="s">
        <v>35</v>
      </c>
      <c r="P1211" t="s">
        <v>35</v>
      </c>
      <c r="Q1211" t="s">
        <v>35</v>
      </c>
      <c r="R1211" t="s">
        <v>35</v>
      </c>
      <c r="S1211">
        <v>0</v>
      </c>
      <c r="T1211">
        <v>1</v>
      </c>
      <c r="U1211">
        <v>0</v>
      </c>
      <c r="V1211">
        <v>1</v>
      </c>
      <c r="W1211">
        <v>0</v>
      </c>
      <c r="X1211">
        <v>1</v>
      </c>
      <c r="Y1211">
        <v>0</v>
      </c>
      <c r="Z1211">
        <v>0</v>
      </c>
      <c r="AA1211">
        <v>1</v>
      </c>
      <c r="AB1211">
        <v>0</v>
      </c>
      <c r="AC1211">
        <v>1</v>
      </c>
      <c r="AD1211">
        <v>0</v>
      </c>
      <c r="AE1211">
        <v>0</v>
      </c>
    </row>
    <row r="1212" spans="1:31" x14ac:dyDescent="0.2">
      <c r="A1212" t="s">
        <v>373</v>
      </c>
      <c r="B1212" t="s">
        <v>102</v>
      </c>
      <c r="C1212">
        <v>34</v>
      </c>
      <c r="D1212" t="s">
        <v>33</v>
      </c>
      <c r="E1212" t="s">
        <v>39</v>
      </c>
      <c r="F1212" t="s">
        <v>59</v>
      </c>
      <c r="G1212">
        <v>22535</v>
      </c>
      <c r="H1212">
        <v>1</v>
      </c>
      <c r="I1212">
        <v>1</v>
      </c>
      <c r="J1212">
        <v>1</v>
      </c>
      <c r="K1212">
        <v>0</v>
      </c>
      <c r="L1212" t="s">
        <v>60</v>
      </c>
      <c r="M1212" t="s">
        <v>99</v>
      </c>
      <c r="N1212" t="s">
        <v>62</v>
      </c>
      <c r="O1212" t="s">
        <v>44</v>
      </c>
      <c r="P1212" t="s">
        <v>67</v>
      </c>
      <c r="Q1212" t="s">
        <v>45</v>
      </c>
      <c r="R1212">
        <v>0</v>
      </c>
      <c r="S1212">
        <v>1</v>
      </c>
      <c r="T1212">
        <v>0</v>
      </c>
      <c r="U1212">
        <v>1</v>
      </c>
      <c r="V1212">
        <v>1</v>
      </c>
      <c r="W1212">
        <v>0</v>
      </c>
      <c r="X1212">
        <v>1</v>
      </c>
      <c r="Y1212">
        <v>0</v>
      </c>
      <c r="Z1212">
        <v>1</v>
      </c>
      <c r="AA1212">
        <v>0</v>
      </c>
      <c r="AB1212">
        <v>1</v>
      </c>
      <c r="AC1212">
        <v>1</v>
      </c>
      <c r="AD1212">
        <v>0</v>
      </c>
      <c r="AE1212">
        <v>0</v>
      </c>
    </row>
    <row r="1213" spans="1:31" x14ac:dyDescent="0.2">
      <c r="A1213" t="s">
        <v>373</v>
      </c>
      <c r="B1213" t="s">
        <v>102</v>
      </c>
      <c r="C1213">
        <v>34</v>
      </c>
      <c r="D1213" t="s">
        <v>33</v>
      </c>
      <c r="E1213" t="s">
        <v>39</v>
      </c>
      <c r="F1213" t="s">
        <v>70</v>
      </c>
      <c r="G1213">
        <v>74997</v>
      </c>
      <c r="H1213">
        <v>1</v>
      </c>
      <c r="I1213">
        <v>1</v>
      </c>
      <c r="J1213">
        <v>1</v>
      </c>
      <c r="K1213">
        <v>0</v>
      </c>
      <c r="L1213" t="s">
        <v>86</v>
      </c>
      <c r="M1213" t="s">
        <v>72</v>
      </c>
      <c r="N1213" t="s">
        <v>71</v>
      </c>
      <c r="O1213" t="s">
        <v>46</v>
      </c>
      <c r="P1213" t="s">
        <v>67</v>
      </c>
      <c r="Q1213" t="s">
        <v>45</v>
      </c>
      <c r="R1213">
        <v>0</v>
      </c>
      <c r="S1213">
        <v>0</v>
      </c>
      <c r="T1213">
        <v>1</v>
      </c>
      <c r="U1213">
        <v>1</v>
      </c>
      <c r="V1213">
        <v>1</v>
      </c>
      <c r="W1213">
        <v>0</v>
      </c>
      <c r="X1213">
        <v>1</v>
      </c>
      <c r="Y1213">
        <v>0</v>
      </c>
      <c r="Z1213">
        <v>0</v>
      </c>
      <c r="AA1213">
        <v>1</v>
      </c>
      <c r="AB1213">
        <v>1</v>
      </c>
      <c r="AC1213">
        <v>1</v>
      </c>
      <c r="AD1213">
        <v>0</v>
      </c>
      <c r="AE1213">
        <v>0</v>
      </c>
    </row>
    <row r="1214" spans="1:31" x14ac:dyDescent="0.2">
      <c r="A1214" t="s">
        <v>373</v>
      </c>
      <c r="B1214" t="s">
        <v>102</v>
      </c>
      <c r="C1214">
        <v>34</v>
      </c>
      <c r="D1214" t="s">
        <v>33</v>
      </c>
      <c r="E1214" t="s">
        <v>52</v>
      </c>
      <c r="F1214" t="s">
        <v>58</v>
      </c>
      <c r="G1214">
        <v>29740</v>
      </c>
      <c r="H1214">
        <v>1</v>
      </c>
      <c r="I1214">
        <v>1</v>
      </c>
      <c r="J1214">
        <v>0</v>
      </c>
      <c r="K1214">
        <v>0</v>
      </c>
      <c r="L1214" t="s">
        <v>35</v>
      </c>
      <c r="M1214" t="s">
        <v>35</v>
      </c>
      <c r="N1214" t="s">
        <v>35</v>
      </c>
      <c r="O1214" t="s">
        <v>35</v>
      </c>
      <c r="P1214" t="s">
        <v>35</v>
      </c>
      <c r="Q1214" t="s">
        <v>35</v>
      </c>
      <c r="R1214" t="s">
        <v>35</v>
      </c>
      <c r="S1214">
        <v>0</v>
      </c>
      <c r="T1214">
        <v>1</v>
      </c>
      <c r="U1214">
        <v>1</v>
      </c>
      <c r="V1214">
        <v>1</v>
      </c>
      <c r="W1214">
        <v>0</v>
      </c>
      <c r="X1214">
        <v>1</v>
      </c>
      <c r="Y1214">
        <v>0</v>
      </c>
      <c r="Z1214">
        <v>0</v>
      </c>
      <c r="AA1214">
        <v>1</v>
      </c>
      <c r="AB1214">
        <v>1</v>
      </c>
      <c r="AC1214">
        <v>1</v>
      </c>
      <c r="AD1214">
        <v>0</v>
      </c>
      <c r="AE1214">
        <v>0</v>
      </c>
    </row>
    <row r="1215" spans="1:31" x14ac:dyDescent="0.2">
      <c r="A1215" t="s">
        <v>373</v>
      </c>
      <c r="B1215" t="s">
        <v>102</v>
      </c>
      <c r="C1215">
        <v>34</v>
      </c>
      <c r="D1215" t="s">
        <v>33</v>
      </c>
      <c r="E1215" t="s">
        <v>39</v>
      </c>
      <c r="F1215" t="s">
        <v>47</v>
      </c>
      <c r="G1215">
        <v>39383</v>
      </c>
      <c r="H1215">
        <v>1</v>
      </c>
      <c r="I1215">
        <v>1</v>
      </c>
      <c r="J1215">
        <v>1</v>
      </c>
      <c r="K1215">
        <v>0</v>
      </c>
      <c r="L1215" t="s">
        <v>80</v>
      </c>
      <c r="M1215" t="s">
        <v>49</v>
      </c>
      <c r="N1215" t="s">
        <v>50</v>
      </c>
      <c r="O1215" t="s">
        <v>67</v>
      </c>
      <c r="P1215" t="s">
        <v>44</v>
      </c>
      <c r="Q1215" t="s">
        <v>51</v>
      </c>
      <c r="R1215">
        <v>0</v>
      </c>
      <c r="S1215">
        <v>1</v>
      </c>
      <c r="T1215">
        <v>0</v>
      </c>
      <c r="U1215">
        <v>1</v>
      </c>
      <c r="V1215">
        <v>0</v>
      </c>
      <c r="W1215">
        <v>0</v>
      </c>
      <c r="X1215">
        <v>1</v>
      </c>
      <c r="Y1215">
        <v>0</v>
      </c>
      <c r="Z1215">
        <v>1</v>
      </c>
      <c r="AA1215">
        <v>0</v>
      </c>
      <c r="AB1215">
        <v>1</v>
      </c>
      <c r="AC1215">
        <v>0</v>
      </c>
      <c r="AD1215">
        <v>0</v>
      </c>
      <c r="AE1215">
        <v>0</v>
      </c>
    </row>
    <row r="1216" spans="1:31" x14ac:dyDescent="0.2">
      <c r="A1216" t="s">
        <v>373</v>
      </c>
      <c r="B1216" t="s">
        <v>102</v>
      </c>
      <c r="C1216">
        <v>34</v>
      </c>
      <c r="D1216" t="s">
        <v>33</v>
      </c>
      <c r="E1216" t="s">
        <v>52</v>
      </c>
      <c r="F1216" t="s">
        <v>69</v>
      </c>
      <c r="G1216">
        <v>44760</v>
      </c>
      <c r="H1216">
        <v>0</v>
      </c>
      <c r="I1216">
        <v>1</v>
      </c>
      <c r="J1216">
        <v>1</v>
      </c>
      <c r="K1216">
        <v>0</v>
      </c>
      <c r="L1216" t="s">
        <v>35</v>
      </c>
      <c r="M1216" t="s">
        <v>35</v>
      </c>
      <c r="N1216" t="s">
        <v>35</v>
      </c>
      <c r="O1216" t="s">
        <v>35</v>
      </c>
      <c r="P1216" t="s">
        <v>35</v>
      </c>
      <c r="Q1216" t="s">
        <v>35</v>
      </c>
      <c r="R1216" t="s">
        <v>35</v>
      </c>
      <c r="S1216">
        <v>1</v>
      </c>
      <c r="T1216">
        <v>0</v>
      </c>
      <c r="U1216">
        <v>1</v>
      </c>
      <c r="V1216">
        <v>0</v>
      </c>
      <c r="W1216">
        <v>0</v>
      </c>
      <c r="X1216">
        <v>1</v>
      </c>
      <c r="Y1216">
        <v>0</v>
      </c>
      <c r="Z1216">
        <v>1</v>
      </c>
      <c r="AA1216">
        <v>0</v>
      </c>
      <c r="AB1216">
        <v>1</v>
      </c>
      <c r="AC1216">
        <v>0</v>
      </c>
      <c r="AD1216">
        <v>0</v>
      </c>
      <c r="AE1216">
        <v>0</v>
      </c>
    </row>
    <row r="1217" spans="1:31" x14ac:dyDescent="0.2">
      <c r="A1217" t="s">
        <v>373</v>
      </c>
      <c r="B1217" t="s">
        <v>102</v>
      </c>
      <c r="C1217">
        <v>34</v>
      </c>
      <c r="D1217" t="s">
        <v>33</v>
      </c>
      <c r="E1217" t="s">
        <v>39</v>
      </c>
      <c r="F1217" t="s">
        <v>40</v>
      </c>
      <c r="G1217">
        <v>28581</v>
      </c>
      <c r="H1217">
        <v>1</v>
      </c>
      <c r="I1217">
        <v>1</v>
      </c>
      <c r="J1217">
        <v>1</v>
      </c>
      <c r="K1217">
        <v>0</v>
      </c>
      <c r="L1217" t="s">
        <v>81</v>
      </c>
      <c r="M1217" t="s">
        <v>41</v>
      </c>
      <c r="N1217" t="s">
        <v>43</v>
      </c>
      <c r="O1217" t="s">
        <v>67</v>
      </c>
      <c r="P1217" t="s">
        <v>44</v>
      </c>
      <c r="Q1217" t="s">
        <v>46</v>
      </c>
      <c r="R1217">
        <v>0</v>
      </c>
      <c r="S1217">
        <v>1</v>
      </c>
      <c r="T1217">
        <v>1</v>
      </c>
      <c r="U1217">
        <v>1</v>
      </c>
      <c r="V1217">
        <v>0</v>
      </c>
      <c r="W1217">
        <v>0</v>
      </c>
      <c r="X1217">
        <v>1</v>
      </c>
      <c r="Y1217">
        <v>0</v>
      </c>
      <c r="Z1217">
        <v>1</v>
      </c>
      <c r="AA1217">
        <v>1</v>
      </c>
      <c r="AB1217">
        <v>1</v>
      </c>
      <c r="AC1217">
        <v>0</v>
      </c>
      <c r="AD1217">
        <v>0</v>
      </c>
      <c r="AE1217">
        <v>0</v>
      </c>
    </row>
    <row r="1218" spans="1:31" x14ac:dyDescent="0.2">
      <c r="A1218" t="s">
        <v>373</v>
      </c>
      <c r="B1218" t="s">
        <v>102</v>
      </c>
      <c r="C1218">
        <v>34</v>
      </c>
      <c r="D1218" t="s">
        <v>33</v>
      </c>
      <c r="E1218" t="s">
        <v>52</v>
      </c>
      <c r="F1218" t="s">
        <v>74</v>
      </c>
      <c r="G1218">
        <v>23516</v>
      </c>
      <c r="H1218">
        <v>1</v>
      </c>
      <c r="I1218">
        <v>1</v>
      </c>
      <c r="J1218">
        <v>0</v>
      </c>
      <c r="K1218">
        <v>0</v>
      </c>
      <c r="L1218" t="s">
        <v>35</v>
      </c>
      <c r="M1218" t="s">
        <v>35</v>
      </c>
      <c r="N1218" t="s">
        <v>35</v>
      </c>
      <c r="O1218" t="s">
        <v>35</v>
      </c>
      <c r="P1218" t="s">
        <v>35</v>
      </c>
      <c r="Q1218" t="s">
        <v>35</v>
      </c>
      <c r="R1218" t="s">
        <v>35</v>
      </c>
      <c r="S1218">
        <v>1</v>
      </c>
      <c r="T1218">
        <v>1</v>
      </c>
      <c r="U1218">
        <v>1</v>
      </c>
      <c r="V1218">
        <v>0</v>
      </c>
      <c r="W1218">
        <v>0</v>
      </c>
      <c r="X1218">
        <v>1</v>
      </c>
      <c r="Y1218">
        <v>0</v>
      </c>
      <c r="Z1218">
        <v>1</v>
      </c>
      <c r="AA1218">
        <v>1</v>
      </c>
      <c r="AB1218">
        <v>1</v>
      </c>
      <c r="AC1218">
        <v>0</v>
      </c>
      <c r="AD1218">
        <v>0</v>
      </c>
      <c r="AE1218">
        <v>0</v>
      </c>
    </row>
    <row r="1219" spans="1:31" x14ac:dyDescent="0.2">
      <c r="A1219" t="s">
        <v>373</v>
      </c>
      <c r="B1219" t="s">
        <v>102</v>
      </c>
      <c r="C1219">
        <v>34</v>
      </c>
      <c r="D1219" t="s">
        <v>33</v>
      </c>
      <c r="E1219" t="s">
        <v>75</v>
      </c>
      <c r="F1219" t="s">
        <v>35</v>
      </c>
      <c r="G1219">
        <v>144983</v>
      </c>
      <c r="H1219" t="s">
        <v>374</v>
      </c>
      <c r="I1219" t="s">
        <v>375</v>
      </c>
      <c r="J1219" t="s">
        <v>376</v>
      </c>
      <c r="K1219" t="s">
        <v>35</v>
      </c>
      <c r="L1219" t="s">
        <v>35</v>
      </c>
      <c r="M1219" t="s">
        <v>35</v>
      </c>
      <c r="N1219" t="s">
        <v>35</v>
      </c>
      <c r="O1219" t="s">
        <v>35</v>
      </c>
      <c r="P1219" t="s">
        <v>35</v>
      </c>
      <c r="Q1219" t="s">
        <v>35</v>
      </c>
      <c r="R1219" t="s">
        <v>35</v>
      </c>
      <c r="S1219" t="s">
        <v>35</v>
      </c>
      <c r="T1219" t="s">
        <v>35</v>
      </c>
      <c r="U1219" t="s">
        <v>35</v>
      </c>
      <c r="V1219" t="s">
        <v>35</v>
      </c>
      <c r="W1219" t="s">
        <v>35</v>
      </c>
      <c r="X1219" t="s">
        <v>35</v>
      </c>
      <c r="Y1219" t="s">
        <v>35</v>
      </c>
      <c r="Z1219" t="s">
        <v>35</v>
      </c>
      <c r="AA1219" t="s">
        <v>35</v>
      </c>
      <c r="AB1219" t="s">
        <v>35</v>
      </c>
      <c r="AC1219" t="s">
        <v>35</v>
      </c>
      <c r="AD1219" t="s">
        <v>35</v>
      </c>
      <c r="AE1219" t="s">
        <v>35</v>
      </c>
    </row>
    <row r="1220" spans="1:31" x14ac:dyDescent="0.2">
      <c r="A1220" t="s">
        <v>377</v>
      </c>
      <c r="B1220" t="s">
        <v>102</v>
      </c>
      <c r="C1220">
        <v>59</v>
      </c>
      <c r="D1220" t="s">
        <v>33</v>
      </c>
      <c r="E1220" t="s">
        <v>34</v>
      </c>
      <c r="F1220" t="s">
        <v>35</v>
      </c>
      <c r="G1220">
        <v>30217</v>
      </c>
      <c r="H1220" t="s">
        <v>35</v>
      </c>
      <c r="I1220" t="s">
        <v>35</v>
      </c>
      <c r="J1220" t="s">
        <v>35</v>
      </c>
      <c r="K1220" t="s">
        <v>35</v>
      </c>
      <c r="L1220" t="s">
        <v>35</v>
      </c>
      <c r="M1220" t="s">
        <v>35</v>
      </c>
      <c r="N1220" t="s">
        <v>35</v>
      </c>
      <c r="O1220" t="s">
        <v>35</v>
      </c>
      <c r="P1220" t="s">
        <v>35</v>
      </c>
      <c r="Q1220" t="s">
        <v>35</v>
      </c>
      <c r="R1220" t="s">
        <v>35</v>
      </c>
      <c r="S1220" t="s">
        <v>35</v>
      </c>
      <c r="T1220" t="s">
        <v>35</v>
      </c>
      <c r="U1220" t="s">
        <v>35</v>
      </c>
      <c r="V1220" t="s">
        <v>35</v>
      </c>
      <c r="W1220" t="s">
        <v>35</v>
      </c>
      <c r="X1220" t="s">
        <v>35</v>
      </c>
      <c r="Y1220" t="s">
        <v>35</v>
      </c>
      <c r="Z1220" t="s">
        <v>35</v>
      </c>
      <c r="AA1220" t="s">
        <v>35</v>
      </c>
      <c r="AB1220" t="s">
        <v>35</v>
      </c>
      <c r="AC1220" t="s">
        <v>35</v>
      </c>
      <c r="AD1220" t="s">
        <v>35</v>
      </c>
      <c r="AE1220" t="s">
        <v>35</v>
      </c>
    </row>
    <row r="1221" spans="1:31" x14ac:dyDescent="0.2">
      <c r="A1221" t="s">
        <v>377</v>
      </c>
      <c r="B1221" t="s">
        <v>102</v>
      </c>
      <c r="C1221">
        <v>59</v>
      </c>
      <c r="D1221" t="s">
        <v>33</v>
      </c>
      <c r="E1221" t="s">
        <v>36</v>
      </c>
      <c r="F1221" t="s">
        <v>37</v>
      </c>
      <c r="G1221">
        <v>31974</v>
      </c>
      <c r="H1221">
        <v>0</v>
      </c>
      <c r="I1221">
        <v>0</v>
      </c>
      <c r="J1221">
        <v>1</v>
      </c>
      <c r="K1221">
        <v>0</v>
      </c>
      <c r="L1221" t="s">
        <v>35</v>
      </c>
      <c r="M1221" t="s">
        <v>35</v>
      </c>
      <c r="N1221" t="s">
        <v>35</v>
      </c>
      <c r="O1221" t="s">
        <v>35</v>
      </c>
      <c r="P1221" t="s">
        <v>35</v>
      </c>
      <c r="Q1221" t="s">
        <v>35</v>
      </c>
      <c r="R1221" t="s">
        <v>35</v>
      </c>
      <c r="S1221" t="s">
        <v>35</v>
      </c>
      <c r="T1221" t="s">
        <v>35</v>
      </c>
      <c r="U1221" t="s">
        <v>35</v>
      </c>
      <c r="V1221" t="s">
        <v>35</v>
      </c>
      <c r="W1221" t="s">
        <v>35</v>
      </c>
      <c r="X1221" t="s">
        <v>35</v>
      </c>
      <c r="Y1221" t="s">
        <v>35</v>
      </c>
      <c r="Z1221" t="s">
        <v>35</v>
      </c>
      <c r="AA1221" t="s">
        <v>35</v>
      </c>
      <c r="AB1221" t="s">
        <v>35</v>
      </c>
      <c r="AC1221" t="s">
        <v>35</v>
      </c>
      <c r="AD1221" t="s">
        <v>35</v>
      </c>
      <c r="AE1221" t="s">
        <v>35</v>
      </c>
    </row>
    <row r="1222" spans="1:31" x14ac:dyDescent="0.2">
      <c r="A1222" t="s">
        <v>377</v>
      </c>
      <c r="B1222" t="s">
        <v>102</v>
      </c>
      <c r="C1222">
        <v>59</v>
      </c>
      <c r="D1222" t="s">
        <v>33</v>
      </c>
      <c r="E1222" t="s">
        <v>36</v>
      </c>
      <c r="F1222" t="s">
        <v>38</v>
      </c>
      <c r="G1222">
        <v>38111</v>
      </c>
      <c r="H1222">
        <v>0</v>
      </c>
      <c r="I1222">
        <v>0</v>
      </c>
      <c r="J1222">
        <v>0</v>
      </c>
      <c r="K1222">
        <v>1</v>
      </c>
      <c r="L1222" t="s">
        <v>35</v>
      </c>
      <c r="M1222" t="s">
        <v>35</v>
      </c>
      <c r="N1222" t="s">
        <v>35</v>
      </c>
      <c r="O1222" t="s">
        <v>35</v>
      </c>
      <c r="P1222" t="s">
        <v>35</v>
      </c>
      <c r="Q1222" t="s">
        <v>35</v>
      </c>
      <c r="R1222" t="s">
        <v>35</v>
      </c>
      <c r="S1222" t="s">
        <v>35</v>
      </c>
      <c r="T1222" t="s">
        <v>35</v>
      </c>
      <c r="U1222" t="s">
        <v>35</v>
      </c>
      <c r="V1222" t="s">
        <v>35</v>
      </c>
      <c r="W1222" t="s">
        <v>35</v>
      </c>
      <c r="X1222" t="s">
        <v>35</v>
      </c>
      <c r="Y1222" t="s">
        <v>35</v>
      </c>
      <c r="Z1222" t="s">
        <v>35</v>
      </c>
      <c r="AA1222" t="s">
        <v>35</v>
      </c>
      <c r="AB1222" t="s">
        <v>35</v>
      </c>
      <c r="AC1222" t="s">
        <v>35</v>
      </c>
      <c r="AD1222" t="s">
        <v>35</v>
      </c>
      <c r="AE1222" t="s">
        <v>35</v>
      </c>
    </row>
    <row r="1223" spans="1:31" x14ac:dyDescent="0.2">
      <c r="A1223" t="s">
        <v>377</v>
      </c>
      <c r="B1223" t="s">
        <v>102</v>
      </c>
      <c r="C1223">
        <v>59</v>
      </c>
      <c r="D1223" t="s">
        <v>33</v>
      </c>
      <c r="E1223" t="s">
        <v>39</v>
      </c>
      <c r="F1223" t="s">
        <v>63</v>
      </c>
      <c r="G1223">
        <v>59358</v>
      </c>
      <c r="H1223">
        <v>1</v>
      </c>
      <c r="I1223">
        <v>0</v>
      </c>
      <c r="J1223">
        <v>0</v>
      </c>
      <c r="K1223">
        <v>0</v>
      </c>
      <c r="L1223" t="s">
        <v>90</v>
      </c>
      <c r="M1223" t="s">
        <v>66</v>
      </c>
      <c r="N1223" t="s">
        <v>85</v>
      </c>
      <c r="O1223" t="s">
        <v>44</v>
      </c>
      <c r="P1223" t="s">
        <v>45</v>
      </c>
      <c r="Q1223" t="s">
        <v>51</v>
      </c>
      <c r="R1223">
        <v>0</v>
      </c>
      <c r="S1223">
        <v>1</v>
      </c>
      <c r="T1223">
        <v>0</v>
      </c>
      <c r="U1223">
        <v>0</v>
      </c>
      <c r="V1223">
        <v>1</v>
      </c>
      <c r="W1223">
        <v>0</v>
      </c>
      <c r="X1223">
        <v>1</v>
      </c>
      <c r="Y1223">
        <v>0</v>
      </c>
      <c r="Z1223">
        <v>1</v>
      </c>
      <c r="AA1223">
        <v>0</v>
      </c>
      <c r="AB1223">
        <v>0</v>
      </c>
      <c r="AC1223">
        <v>0</v>
      </c>
      <c r="AD1223">
        <v>0</v>
      </c>
      <c r="AE1223">
        <v>0</v>
      </c>
    </row>
    <row r="1224" spans="1:31" x14ac:dyDescent="0.2">
      <c r="A1224" t="s">
        <v>377</v>
      </c>
      <c r="B1224" t="s">
        <v>102</v>
      </c>
      <c r="C1224">
        <v>59</v>
      </c>
      <c r="D1224" t="s">
        <v>33</v>
      </c>
      <c r="E1224" t="s">
        <v>39</v>
      </c>
      <c r="F1224" t="s">
        <v>54</v>
      </c>
      <c r="G1224">
        <v>22277</v>
      </c>
      <c r="H1224">
        <v>1</v>
      </c>
      <c r="I1224">
        <v>0</v>
      </c>
      <c r="J1224">
        <v>1</v>
      </c>
      <c r="K1224">
        <v>0</v>
      </c>
      <c r="L1224" t="s">
        <v>55</v>
      </c>
      <c r="M1224" t="s">
        <v>56</v>
      </c>
      <c r="N1224" t="s">
        <v>89</v>
      </c>
      <c r="O1224" t="s">
        <v>44</v>
      </c>
      <c r="P1224" t="s">
        <v>45</v>
      </c>
      <c r="Q1224" t="s">
        <v>67</v>
      </c>
      <c r="R1224">
        <v>0</v>
      </c>
      <c r="S1224">
        <v>1</v>
      </c>
      <c r="T1224">
        <v>0</v>
      </c>
      <c r="U1224">
        <v>1</v>
      </c>
      <c r="V1224">
        <v>1</v>
      </c>
      <c r="W1224">
        <v>0</v>
      </c>
      <c r="X1224">
        <v>1</v>
      </c>
      <c r="Y1224">
        <v>0</v>
      </c>
      <c r="Z1224">
        <v>1</v>
      </c>
      <c r="AA1224">
        <v>0</v>
      </c>
      <c r="AB1224">
        <v>1</v>
      </c>
      <c r="AC1224">
        <v>0</v>
      </c>
      <c r="AD1224">
        <v>0</v>
      </c>
      <c r="AE1224">
        <v>0</v>
      </c>
    </row>
    <row r="1225" spans="1:31" x14ac:dyDescent="0.2">
      <c r="A1225" t="s">
        <v>377</v>
      </c>
      <c r="B1225" t="s">
        <v>102</v>
      </c>
      <c r="C1225">
        <v>59</v>
      </c>
      <c r="D1225" t="s">
        <v>33</v>
      </c>
      <c r="E1225" t="s">
        <v>52</v>
      </c>
      <c r="F1225" t="s">
        <v>53</v>
      </c>
      <c r="G1225">
        <v>75895</v>
      </c>
      <c r="H1225">
        <v>0</v>
      </c>
      <c r="I1225">
        <v>0</v>
      </c>
      <c r="J1225">
        <v>0</v>
      </c>
      <c r="K1225">
        <v>1</v>
      </c>
      <c r="L1225" t="s">
        <v>35</v>
      </c>
      <c r="M1225" t="s">
        <v>35</v>
      </c>
      <c r="N1225" t="s">
        <v>35</v>
      </c>
      <c r="O1225" t="s">
        <v>35</v>
      </c>
      <c r="P1225" t="s">
        <v>35</v>
      </c>
      <c r="Q1225" t="s">
        <v>35</v>
      </c>
      <c r="R1225" t="s">
        <v>35</v>
      </c>
      <c r="S1225">
        <v>1</v>
      </c>
      <c r="T1225">
        <v>0</v>
      </c>
      <c r="U1225">
        <v>1</v>
      </c>
      <c r="V1225">
        <v>1</v>
      </c>
      <c r="W1225">
        <v>0</v>
      </c>
      <c r="X1225">
        <v>1</v>
      </c>
      <c r="Y1225">
        <v>0</v>
      </c>
      <c r="Z1225">
        <v>1</v>
      </c>
      <c r="AA1225">
        <v>0</v>
      </c>
      <c r="AB1225">
        <v>1</v>
      </c>
      <c r="AC1225">
        <v>0</v>
      </c>
      <c r="AD1225">
        <v>0</v>
      </c>
      <c r="AE1225">
        <v>0</v>
      </c>
    </row>
    <row r="1226" spans="1:31" x14ac:dyDescent="0.2">
      <c r="A1226" t="s">
        <v>377</v>
      </c>
      <c r="B1226" t="s">
        <v>102</v>
      </c>
      <c r="C1226">
        <v>59</v>
      </c>
      <c r="D1226" t="s">
        <v>33</v>
      </c>
      <c r="E1226" t="s">
        <v>39</v>
      </c>
      <c r="F1226" t="s">
        <v>70</v>
      </c>
      <c r="G1226">
        <v>32372</v>
      </c>
      <c r="H1226">
        <v>1</v>
      </c>
      <c r="I1226">
        <v>0</v>
      </c>
      <c r="J1226">
        <v>0</v>
      </c>
      <c r="K1226">
        <v>0</v>
      </c>
      <c r="L1226" t="s">
        <v>73</v>
      </c>
      <c r="M1226" t="s">
        <v>71</v>
      </c>
      <c r="N1226" t="s">
        <v>92</v>
      </c>
      <c r="O1226" t="s">
        <v>44</v>
      </c>
      <c r="P1226" t="s">
        <v>45</v>
      </c>
      <c r="Q1226" t="s">
        <v>51</v>
      </c>
      <c r="R1226">
        <v>0</v>
      </c>
      <c r="S1226">
        <v>1</v>
      </c>
      <c r="T1226">
        <v>0</v>
      </c>
      <c r="U1226">
        <v>0</v>
      </c>
      <c r="V1226">
        <v>1</v>
      </c>
      <c r="W1226">
        <v>0</v>
      </c>
      <c r="X1226">
        <v>1</v>
      </c>
      <c r="Y1226">
        <v>0</v>
      </c>
      <c r="Z1226">
        <v>1</v>
      </c>
      <c r="AA1226">
        <v>0</v>
      </c>
      <c r="AB1226">
        <v>0</v>
      </c>
      <c r="AC1226">
        <v>0</v>
      </c>
      <c r="AD1226">
        <v>0</v>
      </c>
      <c r="AE1226">
        <v>0</v>
      </c>
    </row>
    <row r="1227" spans="1:31" x14ac:dyDescent="0.2">
      <c r="A1227" t="s">
        <v>377</v>
      </c>
      <c r="B1227" t="s">
        <v>102</v>
      </c>
      <c r="C1227">
        <v>59</v>
      </c>
      <c r="D1227" t="s">
        <v>33</v>
      </c>
      <c r="E1227" t="s">
        <v>52</v>
      </c>
      <c r="F1227" t="s">
        <v>74</v>
      </c>
      <c r="G1227">
        <v>26574</v>
      </c>
      <c r="H1227">
        <v>1</v>
      </c>
      <c r="I1227">
        <v>0</v>
      </c>
      <c r="J1227">
        <v>0</v>
      </c>
      <c r="K1227">
        <v>0</v>
      </c>
      <c r="L1227" t="s">
        <v>35</v>
      </c>
      <c r="M1227" t="s">
        <v>35</v>
      </c>
      <c r="N1227" t="s">
        <v>35</v>
      </c>
      <c r="O1227" t="s">
        <v>35</v>
      </c>
      <c r="P1227" t="s">
        <v>35</v>
      </c>
      <c r="Q1227" t="s">
        <v>35</v>
      </c>
      <c r="R1227" t="s">
        <v>35</v>
      </c>
      <c r="S1227">
        <v>1</v>
      </c>
      <c r="T1227">
        <v>0</v>
      </c>
      <c r="U1227">
        <v>0</v>
      </c>
      <c r="V1227">
        <v>1</v>
      </c>
      <c r="W1227">
        <v>0</v>
      </c>
      <c r="X1227">
        <v>1</v>
      </c>
      <c r="Y1227">
        <v>0</v>
      </c>
      <c r="Z1227">
        <v>1</v>
      </c>
      <c r="AA1227">
        <v>0</v>
      </c>
      <c r="AB1227">
        <v>0</v>
      </c>
      <c r="AC1227">
        <v>0</v>
      </c>
      <c r="AD1227">
        <v>0</v>
      </c>
      <c r="AE1227">
        <v>0</v>
      </c>
    </row>
    <row r="1228" spans="1:31" x14ac:dyDescent="0.2">
      <c r="A1228" t="s">
        <v>377</v>
      </c>
      <c r="B1228" t="s">
        <v>102</v>
      </c>
      <c r="C1228">
        <v>59</v>
      </c>
      <c r="D1228" t="s">
        <v>33</v>
      </c>
      <c r="E1228" t="s">
        <v>39</v>
      </c>
      <c r="F1228" t="s">
        <v>40</v>
      </c>
      <c r="G1228">
        <v>18182</v>
      </c>
      <c r="H1228">
        <v>1</v>
      </c>
      <c r="I1228">
        <v>0</v>
      </c>
      <c r="J1228">
        <v>0</v>
      </c>
      <c r="K1228">
        <v>0</v>
      </c>
      <c r="L1228" t="s">
        <v>81</v>
      </c>
      <c r="M1228" t="s">
        <v>91</v>
      </c>
      <c r="N1228" t="s">
        <v>43</v>
      </c>
      <c r="O1228" t="s">
        <v>67</v>
      </c>
      <c r="P1228" t="s">
        <v>51</v>
      </c>
      <c r="Q1228" t="s">
        <v>46</v>
      </c>
      <c r="R1228">
        <v>0</v>
      </c>
      <c r="S1228">
        <v>0</v>
      </c>
      <c r="T1228">
        <v>1</v>
      </c>
      <c r="U1228">
        <v>1</v>
      </c>
      <c r="V1228">
        <v>0</v>
      </c>
      <c r="W1228">
        <v>0</v>
      </c>
      <c r="X1228">
        <v>1</v>
      </c>
      <c r="Y1228">
        <v>0</v>
      </c>
      <c r="Z1228">
        <v>0</v>
      </c>
      <c r="AA1228">
        <v>0</v>
      </c>
      <c r="AB1228">
        <v>1</v>
      </c>
      <c r="AC1228">
        <v>0</v>
      </c>
      <c r="AD1228">
        <v>0</v>
      </c>
      <c r="AE1228">
        <v>0</v>
      </c>
    </row>
    <row r="1229" spans="1:31" x14ac:dyDescent="0.2">
      <c r="A1229" t="s">
        <v>377</v>
      </c>
      <c r="B1229" t="s">
        <v>102</v>
      </c>
      <c r="C1229">
        <v>59</v>
      </c>
      <c r="D1229" t="s">
        <v>33</v>
      </c>
      <c r="E1229" t="s">
        <v>39</v>
      </c>
      <c r="F1229" t="s">
        <v>47</v>
      </c>
      <c r="G1229">
        <v>15062</v>
      </c>
      <c r="H1229">
        <v>0</v>
      </c>
      <c r="I1229">
        <v>0</v>
      </c>
      <c r="J1229">
        <v>0</v>
      </c>
      <c r="K1229">
        <v>1</v>
      </c>
      <c r="L1229" t="s">
        <v>50</v>
      </c>
      <c r="M1229" t="s">
        <v>79</v>
      </c>
      <c r="N1229" t="s">
        <v>48</v>
      </c>
      <c r="O1229" t="s">
        <v>51</v>
      </c>
      <c r="P1229" t="s">
        <v>45</v>
      </c>
      <c r="Q1229" t="s">
        <v>46</v>
      </c>
      <c r="R1229">
        <v>0</v>
      </c>
      <c r="S1229">
        <v>0</v>
      </c>
      <c r="T1229">
        <v>1</v>
      </c>
      <c r="U1229">
        <v>0</v>
      </c>
      <c r="V1229">
        <v>1</v>
      </c>
      <c r="W1229">
        <v>0</v>
      </c>
      <c r="X1229">
        <v>1</v>
      </c>
      <c r="Y1229">
        <v>0</v>
      </c>
      <c r="Z1229">
        <v>0</v>
      </c>
      <c r="AA1229">
        <v>0</v>
      </c>
      <c r="AB1229">
        <v>0</v>
      </c>
      <c r="AC1229">
        <v>0</v>
      </c>
      <c r="AD1229">
        <v>0</v>
      </c>
      <c r="AE1229">
        <v>1</v>
      </c>
    </row>
    <row r="1230" spans="1:31" x14ac:dyDescent="0.2">
      <c r="A1230" t="s">
        <v>377</v>
      </c>
      <c r="B1230" t="s">
        <v>102</v>
      </c>
      <c r="C1230">
        <v>59</v>
      </c>
      <c r="D1230" t="s">
        <v>33</v>
      </c>
      <c r="E1230" t="s">
        <v>52</v>
      </c>
      <c r="F1230" t="s">
        <v>69</v>
      </c>
      <c r="G1230">
        <v>47351</v>
      </c>
      <c r="H1230">
        <v>0</v>
      </c>
      <c r="I1230">
        <v>1</v>
      </c>
      <c r="J1230">
        <v>1</v>
      </c>
      <c r="K1230">
        <v>0</v>
      </c>
      <c r="L1230" t="s">
        <v>35</v>
      </c>
      <c r="M1230" t="s">
        <v>35</v>
      </c>
      <c r="N1230" t="s">
        <v>35</v>
      </c>
      <c r="O1230" t="s">
        <v>35</v>
      </c>
      <c r="P1230" t="s">
        <v>35</v>
      </c>
      <c r="Q1230" t="s">
        <v>35</v>
      </c>
      <c r="R1230" t="s">
        <v>35</v>
      </c>
      <c r="S1230">
        <v>0</v>
      </c>
      <c r="T1230">
        <v>1</v>
      </c>
      <c r="U1230">
        <v>0</v>
      </c>
      <c r="V1230">
        <v>1</v>
      </c>
      <c r="W1230">
        <v>0</v>
      </c>
      <c r="X1230">
        <v>1</v>
      </c>
      <c r="Y1230">
        <v>0</v>
      </c>
      <c r="Z1230">
        <v>0</v>
      </c>
      <c r="AA1230">
        <v>0</v>
      </c>
      <c r="AB1230">
        <v>0</v>
      </c>
      <c r="AC1230">
        <v>0</v>
      </c>
      <c r="AD1230">
        <v>0</v>
      </c>
      <c r="AE1230">
        <v>1</v>
      </c>
    </row>
    <row r="1231" spans="1:31" x14ac:dyDescent="0.2">
      <c r="A1231" t="s">
        <v>377</v>
      </c>
      <c r="B1231" t="s">
        <v>102</v>
      </c>
      <c r="C1231">
        <v>59</v>
      </c>
      <c r="D1231" t="s">
        <v>33</v>
      </c>
      <c r="E1231" t="s">
        <v>39</v>
      </c>
      <c r="F1231" t="s">
        <v>59</v>
      </c>
      <c r="G1231">
        <v>81854</v>
      </c>
      <c r="H1231">
        <v>1</v>
      </c>
      <c r="I1231">
        <v>1</v>
      </c>
      <c r="J1231">
        <v>0</v>
      </c>
      <c r="K1231">
        <v>0</v>
      </c>
      <c r="L1231" t="s">
        <v>99</v>
      </c>
      <c r="M1231" t="s">
        <v>94</v>
      </c>
      <c r="N1231" t="s">
        <v>62</v>
      </c>
      <c r="O1231" t="s">
        <v>67</v>
      </c>
      <c r="P1231" t="s">
        <v>68</v>
      </c>
      <c r="Q1231" t="s">
        <v>45</v>
      </c>
      <c r="R1231">
        <v>1</v>
      </c>
      <c r="S1231">
        <v>0</v>
      </c>
      <c r="T1231">
        <v>0</v>
      </c>
      <c r="U1231">
        <v>1</v>
      </c>
      <c r="V1231">
        <v>1</v>
      </c>
      <c r="W1231">
        <v>0</v>
      </c>
      <c r="X1231">
        <v>1</v>
      </c>
      <c r="Y1231">
        <v>1</v>
      </c>
      <c r="Z1231">
        <v>0</v>
      </c>
      <c r="AA1231">
        <v>0</v>
      </c>
      <c r="AB1231">
        <v>1</v>
      </c>
      <c r="AC1231">
        <v>0</v>
      </c>
      <c r="AD1231">
        <v>0</v>
      </c>
      <c r="AE1231">
        <v>0</v>
      </c>
    </row>
    <row r="1232" spans="1:31" x14ac:dyDescent="0.2">
      <c r="A1232" t="s">
        <v>377</v>
      </c>
      <c r="B1232" t="s">
        <v>102</v>
      </c>
      <c r="C1232">
        <v>59</v>
      </c>
      <c r="D1232" t="s">
        <v>33</v>
      </c>
      <c r="E1232" t="s">
        <v>52</v>
      </c>
      <c r="F1232" t="s">
        <v>58</v>
      </c>
      <c r="G1232">
        <v>63229</v>
      </c>
      <c r="H1232">
        <v>1</v>
      </c>
      <c r="I1232">
        <v>1</v>
      </c>
      <c r="J1232">
        <v>0</v>
      </c>
      <c r="K1232">
        <v>0</v>
      </c>
      <c r="L1232" t="s">
        <v>35</v>
      </c>
      <c r="M1232" t="s">
        <v>35</v>
      </c>
      <c r="N1232" t="s">
        <v>35</v>
      </c>
      <c r="O1232" t="s">
        <v>35</v>
      </c>
      <c r="P1232" t="s">
        <v>35</v>
      </c>
      <c r="Q1232" t="s">
        <v>35</v>
      </c>
      <c r="R1232" t="s">
        <v>35</v>
      </c>
      <c r="S1232">
        <v>0</v>
      </c>
      <c r="T1232">
        <v>0</v>
      </c>
      <c r="U1232">
        <v>1</v>
      </c>
      <c r="V1232">
        <v>1</v>
      </c>
      <c r="W1232">
        <v>0</v>
      </c>
      <c r="X1232">
        <v>1</v>
      </c>
      <c r="Y1232">
        <v>1</v>
      </c>
      <c r="Z1232">
        <v>0</v>
      </c>
      <c r="AA1232">
        <v>0</v>
      </c>
      <c r="AB1232">
        <v>1</v>
      </c>
      <c r="AC1232">
        <v>0</v>
      </c>
      <c r="AD1232">
        <v>0</v>
      </c>
      <c r="AE1232">
        <v>0</v>
      </c>
    </row>
    <row r="1233" spans="1:31" x14ac:dyDescent="0.2">
      <c r="A1233" t="s">
        <v>377</v>
      </c>
      <c r="B1233" t="s">
        <v>102</v>
      </c>
      <c r="C1233">
        <v>59</v>
      </c>
      <c r="D1233" t="s">
        <v>33</v>
      </c>
      <c r="E1233" t="s">
        <v>75</v>
      </c>
      <c r="F1233" t="s">
        <v>35</v>
      </c>
      <c r="G1233">
        <v>201039</v>
      </c>
      <c r="H1233" t="s">
        <v>378</v>
      </c>
      <c r="I1233" t="s">
        <v>379</v>
      </c>
      <c r="J1233" t="s">
        <v>100</v>
      </c>
      <c r="K1233" t="s">
        <v>35</v>
      </c>
      <c r="L1233" t="s">
        <v>35</v>
      </c>
      <c r="M1233" t="s">
        <v>35</v>
      </c>
      <c r="N1233" t="s">
        <v>35</v>
      </c>
      <c r="O1233" t="s">
        <v>35</v>
      </c>
      <c r="P1233" t="s">
        <v>35</v>
      </c>
      <c r="Q1233" t="s">
        <v>35</v>
      </c>
      <c r="R1233" t="s">
        <v>35</v>
      </c>
      <c r="S1233" t="s">
        <v>35</v>
      </c>
      <c r="T1233" t="s">
        <v>35</v>
      </c>
      <c r="U1233" t="s">
        <v>35</v>
      </c>
      <c r="V1233" t="s">
        <v>35</v>
      </c>
      <c r="W1233" t="s">
        <v>35</v>
      </c>
      <c r="X1233" t="s">
        <v>35</v>
      </c>
      <c r="Y1233" t="s">
        <v>35</v>
      </c>
      <c r="Z1233" t="s">
        <v>35</v>
      </c>
      <c r="AA1233" t="s">
        <v>35</v>
      </c>
      <c r="AB1233" t="s">
        <v>35</v>
      </c>
      <c r="AC1233" t="s">
        <v>35</v>
      </c>
      <c r="AD1233" t="s">
        <v>35</v>
      </c>
      <c r="AE1233" t="s">
        <v>35</v>
      </c>
    </row>
    <row r="1234" spans="1:31" x14ac:dyDescent="0.2">
      <c r="A1234" t="s">
        <v>380</v>
      </c>
      <c r="B1234" t="s">
        <v>102</v>
      </c>
      <c r="C1234">
        <v>29</v>
      </c>
      <c r="D1234" t="s">
        <v>33</v>
      </c>
      <c r="E1234" t="s">
        <v>34</v>
      </c>
      <c r="F1234" t="s">
        <v>35</v>
      </c>
      <c r="G1234">
        <v>58308</v>
      </c>
      <c r="H1234" t="s">
        <v>35</v>
      </c>
      <c r="I1234" t="s">
        <v>35</v>
      </c>
      <c r="J1234" t="s">
        <v>35</v>
      </c>
      <c r="K1234" t="s">
        <v>35</v>
      </c>
      <c r="L1234" t="s">
        <v>35</v>
      </c>
      <c r="M1234" t="s">
        <v>35</v>
      </c>
      <c r="N1234" t="s">
        <v>35</v>
      </c>
      <c r="O1234" t="s">
        <v>35</v>
      </c>
      <c r="P1234" t="s">
        <v>35</v>
      </c>
      <c r="Q1234" t="s">
        <v>35</v>
      </c>
      <c r="R1234" t="s">
        <v>35</v>
      </c>
      <c r="S1234" t="s">
        <v>35</v>
      </c>
      <c r="T1234" t="s">
        <v>35</v>
      </c>
      <c r="U1234" t="s">
        <v>35</v>
      </c>
      <c r="V1234" t="s">
        <v>35</v>
      </c>
      <c r="W1234" t="s">
        <v>35</v>
      </c>
      <c r="X1234" t="s">
        <v>35</v>
      </c>
      <c r="Y1234" t="s">
        <v>35</v>
      </c>
      <c r="Z1234" t="s">
        <v>35</v>
      </c>
      <c r="AA1234" t="s">
        <v>35</v>
      </c>
      <c r="AB1234" t="s">
        <v>35</v>
      </c>
      <c r="AC1234" t="s">
        <v>35</v>
      </c>
      <c r="AD1234" t="s">
        <v>35</v>
      </c>
      <c r="AE1234" t="s">
        <v>35</v>
      </c>
    </row>
    <row r="1235" spans="1:31" x14ac:dyDescent="0.2">
      <c r="A1235" t="s">
        <v>380</v>
      </c>
      <c r="B1235" t="s">
        <v>102</v>
      </c>
      <c r="C1235">
        <v>29</v>
      </c>
      <c r="D1235" t="s">
        <v>33</v>
      </c>
      <c r="E1235" t="s">
        <v>36</v>
      </c>
      <c r="F1235" t="s">
        <v>38</v>
      </c>
      <c r="G1235">
        <v>33781</v>
      </c>
      <c r="H1235">
        <v>0</v>
      </c>
      <c r="I1235">
        <v>0</v>
      </c>
      <c r="J1235">
        <v>0</v>
      </c>
      <c r="K1235">
        <v>1</v>
      </c>
      <c r="L1235" t="s">
        <v>35</v>
      </c>
      <c r="M1235" t="s">
        <v>35</v>
      </c>
      <c r="N1235" t="s">
        <v>35</v>
      </c>
      <c r="O1235" t="s">
        <v>35</v>
      </c>
      <c r="P1235" t="s">
        <v>35</v>
      </c>
      <c r="Q1235" t="s">
        <v>35</v>
      </c>
      <c r="R1235" t="s">
        <v>35</v>
      </c>
      <c r="S1235" t="s">
        <v>35</v>
      </c>
      <c r="T1235" t="s">
        <v>35</v>
      </c>
      <c r="U1235" t="s">
        <v>35</v>
      </c>
      <c r="V1235" t="s">
        <v>35</v>
      </c>
      <c r="W1235" t="s">
        <v>35</v>
      </c>
      <c r="X1235" t="s">
        <v>35</v>
      </c>
      <c r="Y1235" t="s">
        <v>35</v>
      </c>
      <c r="Z1235" t="s">
        <v>35</v>
      </c>
      <c r="AA1235" t="s">
        <v>35</v>
      </c>
      <c r="AB1235" t="s">
        <v>35</v>
      </c>
      <c r="AC1235" t="s">
        <v>35</v>
      </c>
      <c r="AD1235" t="s">
        <v>35</v>
      </c>
      <c r="AE1235" t="s">
        <v>35</v>
      </c>
    </row>
    <row r="1236" spans="1:31" x14ac:dyDescent="0.2">
      <c r="A1236" t="s">
        <v>380</v>
      </c>
      <c r="B1236" t="s">
        <v>102</v>
      </c>
      <c r="C1236">
        <v>29</v>
      </c>
      <c r="D1236" t="s">
        <v>33</v>
      </c>
      <c r="E1236" t="s">
        <v>36</v>
      </c>
      <c r="F1236" t="s">
        <v>37</v>
      </c>
      <c r="G1236">
        <v>32109</v>
      </c>
      <c r="H1236">
        <v>0</v>
      </c>
      <c r="I1236">
        <v>0</v>
      </c>
      <c r="J1236">
        <v>1</v>
      </c>
      <c r="K1236">
        <v>0</v>
      </c>
      <c r="L1236" t="s">
        <v>35</v>
      </c>
      <c r="M1236" t="s">
        <v>35</v>
      </c>
      <c r="N1236" t="s">
        <v>35</v>
      </c>
      <c r="O1236" t="s">
        <v>35</v>
      </c>
      <c r="P1236" t="s">
        <v>35</v>
      </c>
      <c r="Q1236" t="s">
        <v>35</v>
      </c>
      <c r="R1236" t="s">
        <v>35</v>
      </c>
      <c r="S1236" t="s">
        <v>35</v>
      </c>
      <c r="T1236" t="s">
        <v>35</v>
      </c>
      <c r="U1236" t="s">
        <v>35</v>
      </c>
      <c r="V1236" t="s">
        <v>35</v>
      </c>
      <c r="W1236" t="s">
        <v>35</v>
      </c>
      <c r="X1236" t="s">
        <v>35</v>
      </c>
      <c r="Y1236" t="s">
        <v>35</v>
      </c>
      <c r="Z1236" t="s">
        <v>35</v>
      </c>
      <c r="AA1236" t="s">
        <v>35</v>
      </c>
      <c r="AB1236" t="s">
        <v>35</v>
      </c>
      <c r="AC1236" t="s">
        <v>35</v>
      </c>
      <c r="AD1236" t="s">
        <v>35</v>
      </c>
      <c r="AE1236" t="s">
        <v>35</v>
      </c>
    </row>
    <row r="1237" spans="1:31" x14ac:dyDescent="0.2">
      <c r="A1237" t="s">
        <v>380</v>
      </c>
      <c r="B1237" t="s">
        <v>102</v>
      </c>
      <c r="C1237">
        <v>29</v>
      </c>
      <c r="D1237" t="s">
        <v>33</v>
      </c>
      <c r="E1237" t="s">
        <v>39</v>
      </c>
      <c r="F1237" t="s">
        <v>70</v>
      </c>
      <c r="G1237">
        <v>29996</v>
      </c>
      <c r="H1237">
        <v>1</v>
      </c>
      <c r="I1237">
        <v>1</v>
      </c>
      <c r="J1237">
        <v>1</v>
      </c>
      <c r="K1237">
        <v>0</v>
      </c>
      <c r="L1237" t="s">
        <v>86</v>
      </c>
      <c r="M1237" t="s">
        <v>73</v>
      </c>
      <c r="N1237" t="s">
        <v>92</v>
      </c>
      <c r="O1237" t="s">
        <v>46</v>
      </c>
      <c r="P1237" t="s">
        <v>44</v>
      </c>
      <c r="Q1237" t="s">
        <v>51</v>
      </c>
      <c r="R1237">
        <v>0</v>
      </c>
      <c r="S1237">
        <v>1</v>
      </c>
      <c r="T1237">
        <v>1</v>
      </c>
      <c r="U1237">
        <v>0</v>
      </c>
      <c r="V1237">
        <v>0</v>
      </c>
      <c r="W1237">
        <v>0</v>
      </c>
      <c r="X1237">
        <v>1</v>
      </c>
      <c r="Y1237">
        <v>0</v>
      </c>
      <c r="Z1237">
        <v>1</v>
      </c>
      <c r="AA1237">
        <v>1</v>
      </c>
      <c r="AB1237">
        <v>0</v>
      </c>
      <c r="AC1237">
        <v>0</v>
      </c>
      <c r="AD1237">
        <v>0</v>
      </c>
      <c r="AE1237">
        <v>0</v>
      </c>
    </row>
    <row r="1238" spans="1:31" x14ac:dyDescent="0.2">
      <c r="A1238" t="s">
        <v>380</v>
      </c>
      <c r="B1238" t="s">
        <v>102</v>
      </c>
      <c r="C1238">
        <v>29</v>
      </c>
      <c r="D1238" t="s">
        <v>33</v>
      </c>
      <c r="E1238" t="s">
        <v>39</v>
      </c>
      <c r="F1238" t="s">
        <v>40</v>
      </c>
      <c r="G1238">
        <v>25908</v>
      </c>
      <c r="H1238">
        <v>1</v>
      </c>
      <c r="I1238">
        <v>1</v>
      </c>
      <c r="J1238">
        <v>1</v>
      </c>
      <c r="K1238">
        <v>0</v>
      </c>
      <c r="L1238" t="s">
        <v>42</v>
      </c>
      <c r="M1238" t="s">
        <v>43</v>
      </c>
      <c r="N1238" t="s">
        <v>41</v>
      </c>
      <c r="O1238" t="s">
        <v>45</v>
      </c>
      <c r="P1238" t="s">
        <v>46</v>
      </c>
      <c r="Q1238" t="s">
        <v>44</v>
      </c>
      <c r="R1238">
        <v>0</v>
      </c>
      <c r="S1238">
        <v>1</v>
      </c>
      <c r="T1238">
        <v>1</v>
      </c>
      <c r="U1238">
        <v>0</v>
      </c>
      <c r="V1238">
        <v>1</v>
      </c>
      <c r="W1238">
        <v>0</v>
      </c>
      <c r="X1238">
        <v>1</v>
      </c>
      <c r="Y1238">
        <v>0</v>
      </c>
      <c r="Z1238">
        <v>1</v>
      </c>
      <c r="AA1238">
        <v>1</v>
      </c>
      <c r="AB1238">
        <v>0</v>
      </c>
      <c r="AC1238">
        <v>1</v>
      </c>
      <c r="AD1238">
        <v>0</v>
      </c>
      <c r="AE1238">
        <v>0</v>
      </c>
    </row>
    <row r="1239" spans="1:31" x14ac:dyDescent="0.2">
      <c r="A1239" t="s">
        <v>380</v>
      </c>
      <c r="B1239" t="s">
        <v>102</v>
      </c>
      <c r="C1239">
        <v>29</v>
      </c>
      <c r="D1239" t="s">
        <v>33</v>
      </c>
      <c r="E1239" t="s">
        <v>52</v>
      </c>
      <c r="F1239" t="s">
        <v>53</v>
      </c>
      <c r="G1239">
        <v>34165</v>
      </c>
      <c r="H1239">
        <v>0</v>
      </c>
      <c r="I1239">
        <v>1</v>
      </c>
      <c r="J1239">
        <v>0</v>
      </c>
      <c r="K1239">
        <v>0</v>
      </c>
      <c r="L1239" t="s">
        <v>35</v>
      </c>
      <c r="M1239" t="s">
        <v>35</v>
      </c>
      <c r="N1239" t="s">
        <v>35</v>
      </c>
      <c r="O1239" t="s">
        <v>35</v>
      </c>
      <c r="P1239" t="s">
        <v>35</v>
      </c>
      <c r="Q1239" t="s">
        <v>35</v>
      </c>
      <c r="R1239" t="s">
        <v>35</v>
      </c>
      <c r="S1239">
        <v>1</v>
      </c>
      <c r="T1239">
        <v>1</v>
      </c>
      <c r="U1239">
        <v>0</v>
      </c>
      <c r="V1239">
        <v>1</v>
      </c>
      <c r="W1239">
        <v>0</v>
      </c>
      <c r="X1239">
        <v>1</v>
      </c>
      <c r="Y1239">
        <v>0</v>
      </c>
      <c r="Z1239">
        <v>1</v>
      </c>
      <c r="AA1239">
        <v>1</v>
      </c>
      <c r="AB1239">
        <v>0</v>
      </c>
      <c r="AC1239">
        <v>1</v>
      </c>
      <c r="AD1239">
        <v>0</v>
      </c>
      <c r="AE1239">
        <v>0</v>
      </c>
    </row>
    <row r="1240" spans="1:31" x14ac:dyDescent="0.2">
      <c r="A1240" t="s">
        <v>380</v>
      </c>
      <c r="B1240" t="s">
        <v>102</v>
      </c>
      <c r="C1240">
        <v>29</v>
      </c>
      <c r="D1240" t="s">
        <v>33</v>
      </c>
      <c r="E1240" t="s">
        <v>39</v>
      </c>
      <c r="F1240" t="s">
        <v>63</v>
      </c>
      <c r="G1240">
        <v>32325</v>
      </c>
      <c r="H1240">
        <v>1</v>
      </c>
      <c r="I1240">
        <v>1</v>
      </c>
      <c r="J1240">
        <v>1</v>
      </c>
      <c r="K1240">
        <v>0</v>
      </c>
      <c r="L1240" t="s">
        <v>85</v>
      </c>
      <c r="M1240" t="s">
        <v>64</v>
      </c>
      <c r="N1240" t="s">
        <v>66</v>
      </c>
      <c r="O1240" t="s">
        <v>51</v>
      </c>
      <c r="P1240" t="s">
        <v>67</v>
      </c>
      <c r="Q1240" t="s">
        <v>45</v>
      </c>
      <c r="R1240">
        <v>0</v>
      </c>
      <c r="S1240">
        <v>0</v>
      </c>
      <c r="T1240">
        <v>0</v>
      </c>
      <c r="U1240">
        <v>1</v>
      </c>
      <c r="V1240">
        <v>1</v>
      </c>
      <c r="W1240">
        <v>0</v>
      </c>
      <c r="X1240">
        <v>1</v>
      </c>
      <c r="Y1240">
        <v>0</v>
      </c>
      <c r="Z1240">
        <v>0</v>
      </c>
      <c r="AA1240">
        <v>0</v>
      </c>
      <c r="AB1240">
        <v>1</v>
      </c>
      <c r="AC1240">
        <v>1</v>
      </c>
      <c r="AD1240">
        <v>0</v>
      </c>
      <c r="AE1240">
        <v>0</v>
      </c>
    </row>
    <row r="1241" spans="1:31" x14ac:dyDescent="0.2">
      <c r="A1241" t="s">
        <v>380</v>
      </c>
      <c r="B1241" t="s">
        <v>102</v>
      </c>
      <c r="C1241">
        <v>29</v>
      </c>
      <c r="D1241" t="s">
        <v>33</v>
      </c>
      <c r="E1241" t="s">
        <v>52</v>
      </c>
      <c r="F1241" t="s">
        <v>69</v>
      </c>
      <c r="G1241">
        <v>45421</v>
      </c>
      <c r="H1241">
        <v>1</v>
      </c>
      <c r="I1241">
        <v>1</v>
      </c>
      <c r="J1241">
        <v>1</v>
      </c>
      <c r="K1241">
        <v>0</v>
      </c>
      <c r="L1241" t="s">
        <v>35</v>
      </c>
      <c r="M1241" t="s">
        <v>35</v>
      </c>
      <c r="N1241" t="s">
        <v>35</v>
      </c>
      <c r="O1241" t="s">
        <v>35</v>
      </c>
      <c r="P1241" t="s">
        <v>35</v>
      </c>
      <c r="Q1241" t="s">
        <v>35</v>
      </c>
      <c r="R1241" t="s">
        <v>35</v>
      </c>
      <c r="S1241">
        <v>0</v>
      </c>
      <c r="T1241">
        <v>0</v>
      </c>
      <c r="U1241">
        <v>1</v>
      </c>
      <c r="V1241">
        <v>1</v>
      </c>
      <c r="W1241">
        <v>0</v>
      </c>
      <c r="X1241">
        <v>1</v>
      </c>
      <c r="Y1241">
        <v>0</v>
      </c>
      <c r="Z1241">
        <v>0</v>
      </c>
      <c r="AA1241">
        <v>0</v>
      </c>
      <c r="AB1241">
        <v>1</v>
      </c>
      <c r="AC1241">
        <v>1</v>
      </c>
      <c r="AD1241">
        <v>0</v>
      </c>
      <c r="AE1241">
        <v>0</v>
      </c>
    </row>
    <row r="1242" spans="1:31" x14ac:dyDescent="0.2">
      <c r="A1242" t="s">
        <v>380</v>
      </c>
      <c r="B1242" t="s">
        <v>102</v>
      </c>
      <c r="C1242">
        <v>29</v>
      </c>
      <c r="D1242" t="s">
        <v>33</v>
      </c>
      <c r="E1242" t="s">
        <v>39</v>
      </c>
      <c r="F1242" t="s">
        <v>54</v>
      </c>
      <c r="G1242">
        <v>25949</v>
      </c>
      <c r="H1242">
        <v>1</v>
      </c>
      <c r="I1242">
        <v>1</v>
      </c>
      <c r="J1242">
        <v>1</v>
      </c>
      <c r="K1242">
        <v>0</v>
      </c>
      <c r="L1242" t="s">
        <v>55</v>
      </c>
      <c r="M1242" t="s">
        <v>88</v>
      </c>
      <c r="N1242" t="s">
        <v>89</v>
      </c>
      <c r="O1242" t="s">
        <v>44</v>
      </c>
      <c r="P1242" t="s">
        <v>51</v>
      </c>
      <c r="Q1242" t="s">
        <v>67</v>
      </c>
      <c r="R1242">
        <v>0</v>
      </c>
      <c r="S1242">
        <v>1</v>
      </c>
      <c r="T1242">
        <v>0</v>
      </c>
      <c r="U1242">
        <v>1</v>
      </c>
      <c r="V1242">
        <v>0</v>
      </c>
      <c r="W1242">
        <v>0</v>
      </c>
      <c r="X1242">
        <v>1</v>
      </c>
      <c r="Y1242">
        <v>0</v>
      </c>
      <c r="Z1242">
        <v>1</v>
      </c>
      <c r="AA1242">
        <v>0</v>
      </c>
      <c r="AB1242">
        <v>1</v>
      </c>
      <c r="AC1242">
        <v>0</v>
      </c>
      <c r="AD1242">
        <v>0</v>
      </c>
      <c r="AE1242">
        <v>0</v>
      </c>
    </row>
    <row r="1243" spans="1:31" x14ac:dyDescent="0.2">
      <c r="A1243" t="s">
        <v>380</v>
      </c>
      <c r="B1243" t="s">
        <v>102</v>
      </c>
      <c r="C1243">
        <v>29</v>
      </c>
      <c r="D1243" t="s">
        <v>33</v>
      </c>
      <c r="E1243" t="s">
        <v>39</v>
      </c>
      <c r="F1243" t="s">
        <v>59</v>
      </c>
      <c r="G1243">
        <v>34413</v>
      </c>
      <c r="H1243">
        <v>1</v>
      </c>
      <c r="I1243">
        <v>1</v>
      </c>
      <c r="J1243">
        <v>1</v>
      </c>
      <c r="K1243">
        <v>0</v>
      </c>
      <c r="L1243" t="s">
        <v>61</v>
      </c>
      <c r="M1243" t="s">
        <v>99</v>
      </c>
      <c r="N1243" t="s">
        <v>83</v>
      </c>
      <c r="O1243" t="s">
        <v>46</v>
      </c>
      <c r="P1243" t="s">
        <v>67</v>
      </c>
      <c r="Q1243" t="s">
        <v>51</v>
      </c>
      <c r="R1243">
        <v>0</v>
      </c>
      <c r="S1243">
        <v>0</v>
      </c>
      <c r="T1243">
        <v>1</v>
      </c>
      <c r="U1243">
        <v>1</v>
      </c>
      <c r="V1243">
        <v>0</v>
      </c>
      <c r="W1243">
        <v>0</v>
      </c>
      <c r="X1243">
        <v>1</v>
      </c>
      <c r="Y1243">
        <v>0</v>
      </c>
      <c r="Z1243">
        <v>0</v>
      </c>
      <c r="AA1243">
        <v>1</v>
      </c>
      <c r="AB1243">
        <v>1</v>
      </c>
      <c r="AC1243">
        <v>0</v>
      </c>
      <c r="AD1243">
        <v>0</v>
      </c>
      <c r="AE1243">
        <v>0</v>
      </c>
    </row>
    <row r="1244" spans="1:31" x14ac:dyDescent="0.2">
      <c r="A1244" t="s">
        <v>380</v>
      </c>
      <c r="B1244" t="s">
        <v>102</v>
      </c>
      <c r="C1244">
        <v>29</v>
      </c>
      <c r="D1244" t="s">
        <v>33</v>
      </c>
      <c r="E1244" t="s">
        <v>52</v>
      </c>
      <c r="F1244" t="s">
        <v>58</v>
      </c>
      <c r="G1244">
        <v>28782</v>
      </c>
      <c r="H1244">
        <v>1</v>
      </c>
      <c r="I1244">
        <v>1</v>
      </c>
      <c r="J1244">
        <v>0</v>
      </c>
      <c r="K1244">
        <v>0</v>
      </c>
      <c r="L1244" t="s">
        <v>35</v>
      </c>
      <c r="M1244" t="s">
        <v>35</v>
      </c>
      <c r="N1244" t="s">
        <v>35</v>
      </c>
      <c r="O1244" t="s">
        <v>35</v>
      </c>
      <c r="P1244" t="s">
        <v>35</v>
      </c>
      <c r="Q1244" t="s">
        <v>35</v>
      </c>
      <c r="R1244" t="s">
        <v>35</v>
      </c>
      <c r="S1244">
        <v>0</v>
      </c>
      <c r="T1244">
        <v>1</v>
      </c>
      <c r="U1244">
        <v>1</v>
      </c>
      <c r="V1244">
        <v>0</v>
      </c>
      <c r="W1244">
        <v>0</v>
      </c>
      <c r="X1244">
        <v>1</v>
      </c>
      <c r="Y1244">
        <v>0</v>
      </c>
      <c r="Z1244">
        <v>0</v>
      </c>
      <c r="AA1244">
        <v>1</v>
      </c>
      <c r="AB1244">
        <v>1</v>
      </c>
      <c r="AC1244">
        <v>0</v>
      </c>
      <c r="AD1244">
        <v>0</v>
      </c>
      <c r="AE1244">
        <v>0</v>
      </c>
    </row>
    <row r="1245" spans="1:31" x14ac:dyDescent="0.2">
      <c r="A1245" t="s">
        <v>380</v>
      </c>
      <c r="B1245" t="s">
        <v>102</v>
      </c>
      <c r="C1245">
        <v>29</v>
      </c>
      <c r="D1245" t="s">
        <v>33</v>
      </c>
      <c r="E1245" t="s">
        <v>39</v>
      </c>
      <c r="F1245" t="s">
        <v>47</v>
      </c>
      <c r="G1245">
        <v>21500</v>
      </c>
      <c r="H1245">
        <v>1</v>
      </c>
      <c r="I1245">
        <v>1</v>
      </c>
      <c r="J1245">
        <v>1</v>
      </c>
      <c r="K1245">
        <v>0</v>
      </c>
      <c r="L1245" t="s">
        <v>79</v>
      </c>
      <c r="M1245" t="s">
        <v>49</v>
      </c>
      <c r="N1245" t="s">
        <v>95</v>
      </c>
      <c r="O1245" t="s">
        <v>45</v>
      </c>
      <c r="P1245" t="s">
        <v>44</v>
      </c>
      <c r="Q1245" t="s">
        <v>68</v>
      </c>
      <c r="R1245">
        <v>1</v>
      </c>
      <c r="S1245">
        <v>1</v>
      </c>
      <c r="T1245">
        <v>0</v>
      </c>
      <c r="U1245">
        <v>0</v>
      </c>
      <c r="V1245">
        <v>1</v>
      </c>
      <c r="W1245">
        <v>0</v>
      </c>
      <c r="X1245">
        <v>1</v>
      </c>
      <c r="Y1245">
        <v>1</v>
      </c>
      <c r="Z1245">
        <v>1</v>
      </c>
      <c r="AA1245">
        <v>0</v>
      </c>
      <c r="AB1245">
        <v>0</v>
      </c>
      <c r="AC1245">
        <v>1</v>
      </c>
      <c r="AD1245">
        <v>0</v>
      </c>
      <c r="AE1245">
        <v>0</v>
      </c>
    </row>
    <row r="1246" spans="1:31" x14ac:dyDescent="0.2">
      <c r="A1246" t="s">
        <v>380</v>
      </c>
      <c r="B1246" t="s">
        <v>102</v>
      </c>
      <c r="C1246">
        <v>29</v>
      </c>
      <c r="D1246" t="s">
        <v>33</v>
      </c>
      <c r="E1246" t="s">
        <v>52</v>
      </c>
      <c r="F1246" t="s">
        <v>74</v>
      </c>
      <c r="G1246">
        <v>8119</v>
      </c>
      <c r="H1246">
        <v>1</v>
      </c>
      <c r="I1246">
        <v>1</v>
      </c>
      <c r="J1246">
        <v>0</v>
      </c>
      <c r="K1246">
        <v>0</v>
      </c>
      <c r="L1246" t="s">
        <v>35</v>
      </c>
      <c r="M1246" t="s">
        <v>35</v>
      </c>
      <c r="N1246" t="s">
        <v>35</v>
      </c>
      <c r="O1246" t="s">
        <v>35</v>
      </c>
      <c r="P1246" t="s">
        <v>35</v>
      </c>
      <c r="Q1246" t="s">
        <v>35</v>
      </c>
      <c r="R1246" t="s">
        <v>35</v>
      </c>
      <c r="S1246">
        <v>1</v>
      </c>
      <c r="T1246">
        <v>0</v>
      </c>
      <c r="U1246">
        <v>0</v>
      </c>
      <c r="V1246">
        <v>1</v>
      </c>
      <c r="W1246">
        <v>0</v>
      </c>
      <c r="X1246">
        <v>1</v>
      </c>
      <c r="Y1246">
        <v>1</v>
      </c>
      <c r="Z1246">
        <v>1</v>
      </c>
      <c r="AA1246">
        <v>0</v>
      </c>
      <c r="AB1246">
        <v>0</v>
      </c>
      <c r="AC1246">
        <v>1</v>
      </c>
      <c r="AD1246">
        <v>0</v>
      </c>
      <c r="AE1246">
        <v>0</v>
      </c>
    </row>
    <row r="1247" spans="1:31" x14ac:dyDescent="0.2">
      <c r="A1247" t="s">
        <v>380</v>
      </c>
      <c r="B1247" t="s">
        <v>102</v>
      </c>
      <c r="C1247">
        <v>29</v>
      </c>
      <c r="D1247" t="s">
        <v>33</v>
      </c>
      <c r="E1247" t="s">
        <v>75</v>
      </c>
      <c r="F1247" t="s">
        <v>35</v>
      </c>
      <c r="G1247">
        <v>25158</v>
      </c>
      <c r="H1247" t="s">
        <v>381</v>
      </c>
      <c r="I1247" t="s">
        <v>382</v>
      </c>
      <c r="J1247" t="s">
        <v>181</v>
      </c>
      <c r="K1247" t="s">
        <v>35</v>
      </c>
      <c r="L1247" t="s">
        <v>35</v>
      </c>
      <c r="M1247" t="s">
        <v>35</v>
      </c>
      <c r="N1247" t="s">
        <v>35</v>
      </c>
      <c r="O1247" t="s">
        <v>35</v>
      </c>
      <c r="P1247" t="s">
        <v>35</v>
      </c>
      <c r="Q1247" t="s">
        <v>35</v>
      </c>
      <c r="R1247" t="s">
        <v>35</v>
      </c>
      <c r="S1247" t="s">
        <v>35</v>
      </c>
      <c r="T1247" t="s">
        <v>35</v>
      </c>
      <c r="U1247" t="s">
        <v>35</v>
      </c>
      <c r="V1247" t="s">
        <v>35</v>
      </c>
      <c r="W1247" t="s">
        <v>35</v>
      </c>
      <c r="X1247" t="s">
        <v>35</v>
      </c>
      <c r="Y1247" t="s">
        <v>35</v>
      </c>
      <c r="Z1247" t="s">
        <v>35</v>
      </c>
      <c r="AA1247" t="s">
        <v>35</v>
      </c>
      <c r="AB1247" t="s">
        <v>35</v>
      </c>
      <c r="AC1247" t="s">
        <v>35</v>
      </c>
      <c r="AD1247" t="s">
        <v>35</v>
      </c>
      <c r="AE1247" t="s">
        <v>35</v>
      </c>
    </row>
    <row r="1248" spans="1:31" x14ac:dyDescent="0.2">
      <c r="A1248" t="s">
        <v>383</v>
      </c>
      <c r="B1248" t="s">
        <v>102</v>
      </c>
      <c r="C1248">
        <v>26</v>
      </c>
      <c r="D1248" t="s">
        <v>33</v>
      </c>
      <c r="E1248" t="s">
        <v>34</v>
      </c>
      <c r="F1248" t="s">
        <v>35</v>
      </c>
      <c r="G1248">
        <v>21578</v>
      </c>
      <c r="H1248" t="s">
        <v>35</v>
      </c>
      <c r="I1248" t="s">
        <v>35</v>
      </c>
      <c r="J1248" t="s">
        <v>35</v>
      </c>
      <c r="K1248" t="s">
        <v>35</v>
      </c>
      <c r="L1248" t="s">
        <v>35</v>
      </c>
      <c r="M1248" t="s">
        <v>35</v>
      </c>
      <c r="N1248" t="s">
        <v>35</v>
      </c>
      <c r="O1248" t="s">
        <v>35</v>
      </c>
      <c r="P1248" t="s">
        <v>35</v>
      </c>
      <c r="Q1248" t="s">
        <v>35</v>
      </c>
      <c r="R1248" t="s">
        <v>35</v>
      </c>
      <c r="S1248" t="s">
        <v>35</v>
      </c>
      <c r="T1248" t="s">
        <v>35</v>
      </c>
      <c r="U1248" t="s">
        <v>35</v>
      </c>
      <c r="V1248" t="s">
        <v>35</v>
      </c>
      <c r="W1248" t="s">
        <v>35</v>
      </c>
      <c r="X1248" t="s">
        <v>35</v>
      </c>
      <c r="Y1248" t="s">
        <v>35</v>
      </c>
      <c r="Z1248" t="s">
        <v>35</v>
      </c>
      <c r="AA1248" t="s">
        <v>35</v>
      </c>
      <c r="AB1248" t="s">
        <v>35</v>
      </c>
      <c r="AC1248" t="s">
        <v>35</v>
      </c>
      <c r="AD1248" t="s">
        <v>35</v>
      </c>
      <c r="AE1248" t="s">
        <v>35</v>
      </c>
    </row>
    <row r="1249" spans="1:31" x14ac:dyDescent="0.2">
      <c r="A1249" t="s">
        <v>383</v>
      </c>
      <c r="B1249" t="s">
        <v>102</v>
      </c>
      <c r="C1249">
        <v>26</v>
      </c>
      <c r="D1249" t="s">
        <v>33</v>
      </c>
      <c r="E1249" t="s">
        <v>36</v>
      </c>
      <c r="F1249" t="s">
        <v>37</v>
      </c>
      <c r="G1249">
        <v>47039</v>
      </c>
      <c r="H1249">
        <v>0</v>
      </c>
      <c r="I1249">
        <v>0</v>
      </c>
      <c r="J1249">
        <v>0</v>
      </c>
      <c r="K1249">
        <v>1</v>
      </c>
      <c r="L1249" t="s">
        <v>35</v>
      </c>
      <c r="M1249" t="s">
        <v>35</v>
      </c>
      <c r="N1249" t="s">
        <v>35</v>
      </c>
      <c r="O1249" t="s">
        <v>35</v>
      </c>
      <c r="P1249" t="s">
        <v>35</v>
      </c>
      <c r="Q1249" t="s">
        <v>35</v>
      </c>
      <c r="R1249" t="s">
        <v>35</v>
      </c>
      <c r="S1249" t="s">
        <v>35</v>
      </c>
      <c r="T1249" t="s">
        <v>35</v>
      </c>
      <c r="U1249" t="s">
        <v>35</v>
      </c>
      <c r="V1249" t="s">
        <v>35</v>
      </c>
      <c r="W1249" t="s">
        <v>35</v>
      </c>
      <c r="X1249" t="s">
        <v>35</v>
      </c>
      <c r="Y1249" t="s">
        <v>35</v>
      </c>
      <c r="Z1249" t="s">
        <v>35</v>
      </c>
      <c r="AA1249" t="s">
        <v>35</v>
      </c>
      <c r="AB1249" t="s">
        <v>35</v>
      </c>
      <c r="AC1249" t="s">
        <v>35</v>
      </c>
      <c r="AD1249" t="s">
        <v>35</v>
      </c>
      <c r="AE1249" t="s">
        <v>35</v>
      </c>
    </row>
    <row r="1250" spans="1:31" x14ac:dyDescent="0.2">
      <c r="A1250" t="s">
        <v>383</v>
      </c>
      <c r="B1250" t="s">
        <v>102</v>
      </c>
      <c r="C1250">
        <v>26</v>
      </c>
      <c r="D1250" t="s">
        <v>33</v>
      </c>
      <c r="E1250" t="s">
        <v>36</v>
      </c>
      <c r="F1250" t="s">
        <v>38</v>
      </c>
      <c r="G1250">
        <v>29468</v>
      </c>
      <c r="H1250">
        <v>0</v>
      </c>
      <c r="I1250">
        <v>0</v>
      </c>
      <c r="J1250">
        <v>0</v>
      </c>
      <c r="K1250">
        <v>1</v>
      </c>
      <c r="L1250" t="s">
        <v>35</v>
      </c>
      <c r="M1250" t="s">
        <v>35</v>
      </c>
      <c r="N1250" t="s">
        <v>35</v>
      </c>
      <c r="O1250" t="s">
        <v>35</v>
      </c>
      <c r="P1250" t="s">
        <v>35</v>
      </c>
      <c r="Q1250" t="s">
        <v>35</v>
      </c>
      <c r="R1250" t="s">
        <v>35</v>
      </c>
      <c r="S1250" t="s">
        <v>35</v>
      </c>
      <c r="T1250" t="s">
        <v>35</v>
      </c>
      <c r="U1250" t="s">
        <v>35</v>
      </c>
      <c r="V1250" t="s">
        <v>35</v>
      </c>
      <c r="W1250" t="s">
        <v>35</v>
      </c>
      <c r="X1250" t="s">
        <v>35</v>
      </c>
      <c r="Y1250" t="s">
        <v>35</v>
      </c>
      <c r="Z1250" t="s">
        <v>35</v>
      </c>
      <c r="AA1250" t="s">
        <v>35</v>
      </c>
      <c r="AB1250" t="s">
        <v>35</v>
      </c>
      <c r="AC1250" t="s">
        <v>35</v>
      </c>
      <c r="AD1250" t="s">
        <v>35</v>
      </c>
      <c r="AE1250" t="s">
        <v>35</v>
      </c>
    </row>
    <row r="1251" spans="1:31" x14ac:dyDescent="0.2">
      <c r="A1251" t="s">
        <v>383</v>
      </c>
      <c r="B1251" t="s">
        <v>102</v>
      </c>
      <c r="C1251">
        <v>26</v>
      </c>
      <c r="D1251" t="s">
        <v>33</v>
      </c>
      <c r="E1251" t="s">
        <v>39</v>
      </c>
      <c r="F1251" t="s">
        <v>54</v>
      </c>
      <c r="G1251">
        <v>37061</v>
      </c>
      <c r="H1251">
        <v>0</v>
      </c>
      <c r="I1251">
        <v>0</v>
      </c>
      <c r="J1251">
        <v>0</v>
      </c>
      <c r="K1251">
        <v>1</v>
      </c>
      <c r="L1251" t="s">
        <v>55</v>
      </c>
      <c r="M1251" t="s">
        <v>57</v>
      </c>
      <c r="N1251" t="s">
        <v>88</v>
      </c>
      <c r="O1251" t="s">
        <v>44</v>
      </c>
      <c r="P1251" t="s">
        <v>46</v>
      </c>
      <c r="Q1251" t="s">
        <v>51</v>
      </c>
      <c r="R1251">
        <v>0</v>
      </c>
      <c r="S1251">
        <v>1</v>
      </c>
      <c r="T1251">
        <v>1</v>
      </c>
      <c r="U1251">
        <v>0</v>
      </c>
      <c r="V1251">
        <v>0</v>
      </c>
      <c r="W1251">
        <v>0</v>
      </c>
      <c r="X1251">
        <v>1</v>
      </c>
      <c r="Y1251">
        <v>0</v>
      </c>
      <c r="Z1251">
        <v>0</v>
      </c>
      <c r="AA1251">
        <v>0</v>
      </c>
      <c r="AB1251">
        <v>0</v>
      </c>
      <c r="AC1251">
        <v>0</v>
      </c>
      <c r="AD1251">
        <v>0</v>
      </c>
      <c r="AE1251">
        <v>1</v>
      </c>
    </row>
    <row r="1252" spans="1:31" x14ac:dyDescent="0.2">
      <c r="A1252" t="s">
        <v>383</v>
      </c>
      <c r="B1252" t="s">
        <v>102</v>
      </c>
      <c r="C1252">
        <v>26</v>
      </c>
      <c r="D1252" t="s">
        <v>33</v>
      </c>
      <c r="E1252" t="s">
        <v>39</v>
      </c>
      <c r="F1252" t="s">
        <v>70</v>
      </c>
      <c r="G1252">
        <v>52019</v>
      </c>
      <c r="H1252">
        <v>0</v>
      </c>
      <c r="I1252">
        <v>0</v>
      </c>
      <c r="J1252">
        <v>0</v>
      </c>
      <c r="K1252">
        <v>1</v>
      </c>
      <c r="L1252" t="s">
        <v>71</v>
      </c>
      <c r="M1252" t="s">
        <v>92</v>
      </c>
      <c r="N1252" t="s">
        <v>72</v>
      </c>
      <c r="O1252" t="s">
        <v>45</v>
      </c>
      <c r="P1252" t="s">
        <v>51</v>
      </c>
      <c r="Q1252" t="s">
        <v>67</v>
      </c>
      <c r="R1252">
        <v>0</v>
      </c>
      <c r="S1252">
        <v>0</v>
      </c>
      <c r="T1252">
        <v>0</v>
      </c>
      <c r="U1252">
        <v>1</v>
      </c>
      <c r="V1252">
        <v>1</v>
      </c>
      <c r="W1252">
        <v>0</v>
      </c>
      <c r="X1252">
        <v>1</v>
      </c>
      <c r="Y1252">
        <v>0</v>
      </c>
      <c r="Z1252">
        <v>0</v>
      </c>
      <c r="AA1252">
        <v>0</v>
      </c>
      <c r="AB1252">
        <v>0</v>
      </c>
      <c r="AC1252">
        <v>0</v>
      </c>
      <c r="AD1252">
        <v>0</v>
      </c>
      <c r="AE1252">
        <v>1</v>
      </c>
    </row>
    <row r="1253" spans="1:31" x14ac:dyDescent="0.2">
      <c r="A1253" t="s">
        <v>383</v>
      </c>
      <c r="B1253" t="s">
        <v>102</v>
      </c>
      <c r="C1253">
        <v>26</v>
      </c>
      <c r="D1253" t="s">
        <v>33</v>
      </c>
      <c r="E1253" t="s">
        <v>52</v>
      </c>
      <c r="F1253" t="s">
        <v>53</v>
      </c>
      <c r="G1253">
        <v>23139</v>
      </c>
      <c r="H1253">
        <v>0</v>
      </c>
      <c r="I1253">
        <v>0</v>
      </c>
      <c r="J1253">
        <v>0</v>
      </c>
      <c r="K1253">
        <v>1</v>
      </c>
      <c r="L1253" t="s">
        <v>35</v>
      </c>
      <c r="M1253" t="s">
        <v>35</v>
      </c>
      <c r="N1253" t="s">
        <v>35</v>
      </c>
      <c r="O1253" t="s">
        <v>35</v>
      </c>
      <c r="P1253" t="s">
        <v>35</v>
      </c>
      <c r="Q1253" t="s">
        <v>35</v>
      </c>
      <c r="R1253" t="s">
        <v>35</v>
      </c>
      <c r="S1253">
        <v>0</v>
      </c>
      <c r="T1253">
        <v>0</v>
      </c>
      <c r="U1253">
        <v>1</v>
      </c>
      <c r="V1253">
        <v>1</v>
      </c>
      <c r="W1253">
        <v>0</v>
      </c>
      <c r="X1253">
        <v>1</v>
      </c>
      <c r="Y1253">
        <v>0</v>
      </c>
      <c r="Z1253">
        <v>0</v>
      </c>
      <c r="AA1253">
        <v>0</v>
      </c>
      <c r="AB1253">
        <v>0</v>
      </c>
      <c r="AC1253">
        <v>0</v>
      </c>
      <c r="AD1253">
        <v>0</v>
      </c>
      <c r="AE1253">
        <v>1</v>
      </c>
    </row>
    <row r="1254" spans="1:31" x14ac:dyDescent="0.2">
      <c r="A1254" t="s">
        <v>383</v>
      </c>
      <c r="B1254" t="s">
        <v>102</v>
      </c>
      <c r="C1254">
        <v>26</v>
      </c>
      <c r="D1254" t="s">
        <v>33</v>
      </c>
      <c r="E1254" t="s">
        <v>39</v>
      </c>
      <c r="F1254" t="s">
        <v>40</v>
      </c>
      <c r="G1254">
        <v>32705</v>
      </c>
      <c r="H1254">
        <v>0</v>
      </c>
      <c r="I1254">
        <v>0</v>
      </c>
      <c r="J1254">
        <v>0</v>
      </c>
      <c r="K1254">
        <v>1</v>
      </c>
      <c r="L1254" t="s">
        <v>42</v>
      </c>
      <c r="M1254" t="s">
        <v>43</v>
      </c>
      <c r="N1254" t="s">
        <v>81</v>
      </c>
      <c r="O1254" t="s">
        <v>45</v>
      </c>
      <c r="P1254" t="s">
        <v>46</v>
      </c>
      <c r="Q1254" t="s">
        <v>67</v>
      </c>
      <c r="R1254">
        <v>0</v>
      </c>
      <c r="S1254">
        <v>0</v>
      </c>
      <c r="T1254">
        <v>1</v>
      </c>
      <c r="U1254">
        <v>1</v>
      </c>
      <c r="V1254">
        <v>1</v>
      </c>
      <c r="W1254">
        <v>0</v>
      </c>
      <c r="X1254">
        <v>1</v>
      </c>
      <c r="Y1254">
        <v>0</v>
      </c>
      <c r="Z1254">
        <v>0</v>
      </c>
      <c r="AA1254">
        <v>0</v>
      </c>
      <c r="AB1254">
        <v>0</v>
      </c>
      <c r="AC1254">
        <v>0</v>
      </c>
      <c r="AD1254">
        <v>0</v>
      </c>
      <c r="AE1254">
        <v>1</v>
      </c>
    </row>
    <row r="1255" spans="1:31" x14ac:dyDescent="0.2">
      <c r="A1255" t="s">
        <v>383</v>
      </c>
      <c r="B1255" t="s">
        <v>102</v>
      </c>
      <c r="C1255">
        <v>26</v>
      </c>
      <c r="D1255" t="s">
        <v>33</v>
      </c>
      <c r="E1255" t="s">
        <v>39</v>
      </c>
      <c r="F1255" t="s">
        <v>63</v>
      </c>
      <c r="G1255">
        <v>63726</v>
      </c>
      <c r="H1255">
        <v>0</v>
      </c>
      <c r="I1255">
        <v>0</v>
      </c>
      <c r="J1255">
        <v>0</v>
      </c>
      <c r="K1255">
        <v>1</v>
      </c>
      <c r="L1255" t="s">
        <v>66</v>
      </c>
      <c r="M1255" t="s">
        <v>85</v>
      </c>
      <c r="N1255" t="s">
        <v>64</v>
      </c>
      <c r="O1255" t="s">
        <v>45</v>
      </c>
      <c r="P1255" t="s">
        <v>51</v>
      </c>
      <c r="Q1255" t="s">
        <v>67</v>
      </c>
      <c r="R1255">
        <v>0</v>
      </c>
      <c r="S1255">
        <v>0</v>
      </c>
      <c r="T1255">
        <v>0</v>
      </c>
      <c r="U1255">
        <v>1</v>
      </c>
      <c r="V1255">
        <v>1</v>
      </c>
      <c r="W1255">
        <v>0</v>
      </c>
      <c r="X1255">
        <v>1</v>
      </c>
      <c r="Y1255">
        <v>0</v>
      </c>
      <c r="Z1255">
        <v>0</v>
      </c>
      <c r="AA1255">
        <v>0</v>
      </c>
      <c r="AB1255">
        <v>0</v>
      </c>
      <c r="AC1255">
        <v>0</v>
      </c>
      <c r="AD1255">
        <v>0</v>
      </c>
      <c r="AE1255">
        <v>1</v>
      </c>
    </row>
    <row r="1256" spans="1:31" x14ac:dyDescent="0.2">
      <c r="A1256" t="s">
        <v>383</v>
      </c>
      <c r="B1256" t="s">
        <v>102</v>
      </c>
      <c r="C1256">
        <v>26</v>
      </c>
      <c r="D1256" t="s">
        <v>33</v>
      </c>
      <c r="E1256" t="s">
        <v>52</v>
      </c>
      <c r="F1256" t="s">
        <v>58</v>
      </c>
      <c r="G1256">
        <v>35144</v>
      </c>
      <c r="H1256">
        <v>1</v>
      </c>
      <c r="I1256">
        <v>1</v>
      </c>
      <c r="J1256">
        <v>0</v>
      </c>
      <c r="K1256">
        <v>0</v>
      </c>
      <c r="L1256" t="s">
        <v>35</v>
      </c>
      <c r="M1256" t="s">
        <v>35</v>
      </c>
      <c r="N1256" t="s">
        <v>35</v>
      </c>
      <c r="O1256" t="s">
        <v>35</v>
      </c>
      <c r="P1256" t="s">
        <v>35</v>
      </c>
      <c r="Q1256" t="s">
        <v>35</v>
      </c>
      <c r="R1256" t="s">
        <v>35</v>
      </c>
      <c r="S1256">
        <v>0</v>
      </c>
      <c r="T1256">
        <v>0</v>
      </c>
      <c r="U1256">
        <v>1</v>
      </c>
      <c r="V1256">
        <v>1</v>
      </c>
      <c r="W1256">
        <v>0</v>
      </c>
      <c r="X1256">
        <v>1</v>
      </c>
      <c r="Y1256">
        <v>0</v>
      </c>
      <c r="Z1256">
        <v>0</v>
      </c>
      <c r="AA1256">
        <v>0</v>
      </c>
      <c r="AB1256">
        <v>0</v>
      </c>
      <c r="AC1256">
        <v>0</v>
      </c>
      <c r="AD1256">
        <v>0</v>
      </c>
      <c r="AE1256">
        <v>1</v>
      </c>
    </row>
    <row r="1257" spans="1:31" x14ac:dyDescent="0.2">
      <c r="A1257" t="s">
        <v>383</v>
      </c>
      <c r="B1257" t="s">
        <v>102</v>
      </c>
      <c r="C1257">
        <v>26</v>
      </c>
      <c r="D1257" t="s">
        <v>33</v>
      </c>
      <c r="E1257" t="s">
        <v>39</v>
      </c>
      <c r="F1257" t="s">
        <v>47</v>
      </c>
      <c r="G1257">
        <v>15950</v>
      </c>
      <c r="H1257">
        <v>0</v>
      </c>
      <c r="I1257">
        <v>0</v>
      </c>
      <c r="J1257">
        <v>0</v>
      </c>
      <c r="K1257">
        <v>1</v>
      </c>
      <c r="L1257" t="s">
        <v>49</v>
      </c>
      <c r="M1257" t="s">
        <v>80</v>
      </c>
      <c r="N1257" t="s">
        <v>79</v>
      </c>
      <c r="O1257" t="s">
        <v>44</v>
      </c>
      <c r="P1257" t="s">
        <v>67</v>
      </c>
      <c r="Q1257" t="s">
        <v>45</v>
      </c>
      <c r="R1257">
        <v>0</v>
      </c>
      <c r="S1257">
        <v>1</v>
      </c>
      <c r="T1257">
        <v>0</v>
      </c>
      <c r="U1257">
        <v>1</v>
      </c>
      <c r="V1257">
        <v>1</v>
      </c>
      <c r="W1257">
        <v>0</v>
      </c>
      <c r="X1257">
        <v>1</v>
      </c>
      <c r="Y1257">
        <v>0</v>
      </c>
      <c r="Z1257">
        <v>0</v>
      </c>
      <c r="AA1257">
        <v>0</v>
      </c>
      <c r="AB1257">
        <v>0</v>
      </c>
      <c r="AC1257">
        <v>0</v>
      </c>
      <c r="AD1257">
        <v>0</v>
      </c>
      <c r="AE1257">
        <v>1</v>
      </c>
    </row>
    <row r="1258" spans="1:31" x14ac:dyDescent="0.2">
      <c r="A1258" t="s">
        <v>383</v>
      </c>
      <c r="B1258" t="s">
        <v>102</v>
      </c>
      <c r="C1258">
        <v>26</v>
      </c>
      <c r="D1258" t="s">
        <v>33</v>
      </c>
      <c r="E1258" t="s">
        <v>52</v>
      </c>
      <c r="F1258" t="s">
        <v>74</v>
      </c>
      <c r="G1258">
        <v>24030</v>
      </c>
      <c r="H1258">
        <v>1</v>
      </c>
      <c r="I1258">
        <v>0</v>
      </c>
      <c r="J1258">
        <v>0</v>
      </c>
      <c r="K1258">
        <v>0</v>
      </c>
      <c r="L1258" t="s">
        <v>35</v>
      </c>
      <c r="M1258" t="s">
        <v>35</v>
      </c>
      <c r="N1258" t="s">
        <v>35</v>
      </c>
      <c r="O1258" t="s">
        <v>35</v>
      </c>
      <c r="P1258" t="s">
        <v>35</v>
      </c>
      <c r="Q1258" t="s">
        <v>35</v>
      </c>
      <c r="R1258" t="s">
        <v>35</v>
      </c>
      <c r="S1258">
        <v>1</v>
      </c>
      <c r="T1258">
        <v>0</v>
      </c>
      <c r="U1258">
        <v>1</v>
      </c>
      <c r="V1258">
        <v>1</v>
      </c>
      <c r="W1258">
        <v>0</v>
      </c>
      <c r="X1258">
        <v>1</v>
      </c>
      <c r="Y1258">
        <v>0</v>
      </c>
      <c r="Z1258">
        <v>0</v>
      </c>
      <c r="AA1258">
        <v>0</v>
      </c>
      <c r="AB1258">
        <v>0</v>
      </c>
      <c r="AC1258">
        <v>0</v>
      </c>
      <c r="AD1258">
        <v>0</v>
      </c>
      <c r="AE1258">
        <v>1</v>
      </c>
    </row>
    <row r="1259" spans="1:31" x14ac:dyDescent="0.2">
      <c r="A1259" t="s">
        <v>383</v>
      </c>
      <c r="B1259" t="s">
        <v>102</v>
      </c>
      <c r="C1259">
        <v>26</v>
      </c>
      <c r="D1259" t="s">
        <v>33</v>
      </c>
      <c r="E1259" t="s">
        <v>39</v>
      </c>
      <c r="F1259" t="s">
        <v>59</v>
      </c>
      <c r="G1259">
        <v>38336</v>
      </c>
      <c r="H1259">
        <v>1</v>
      </c>
      <c r="I1259">
        <v>1</v>
      </c>
      <c r="J1259">
        <v>1</v>
      </c>
      <c r="K1259">
        <v>0</v>
      </c>
      <c r="L1259" t="s">
        <v>60</v>
      </c>
      <c r="M1259" t="s">
        <v>62</v>
      </c>
      <c r="N1259" t="s">
        <v>61</v>
      </c>
      <c r="O1259" t="s">
        <v>44</v>
      </c>
      <c r="P1259" t="s">
        <v>45</v>
      </c>
      <c r="Q1259" t="s">
        <v>46</v>
      </c>
      <c r="R1259">
        <v>0</v>
      </c>
      <c r="S1259">
        <v>1</v>
      </c>
      <c r="T1259">
        <v>1</v>
      </c>
      <c r="U1259">
        <v>0</v>
      </c>
      <c r="V1259">
        <v>1</v>
      </c>
      <c r="W1259">
        <v>0</v>
      </c>
      <c r="X1259">
        <v>1</v>
      </c>
      <c r="Y1259">
        <v>0</v>
      </c>
      <c r="Z1259">
        <v>1</v>
      </c>
      <c r="AA1259">
        <v>1</v>
      </c>
      <c r="AB1259">
        <v>0</v>
      </c>
      <c r="AC1259">
        <v>1</v>
      </c>
      <c r="AD1259">
        <v>0</v>
      </c>
      <c r="AE1259">
        <v>0</v>
      </c>
    </row>
    <row r="1260" spans="1:31" x14ac:dyDescent="0.2">
      <c r="A1260" t="s">
        <v>383</v>
      </c>
      <c r="B1260" t="s">
        <v>102</v>
      </c>
      <c r="C1260">
        <v>26</v>
      </c>
      <c r="D1260" t="s">
        <v>33</v>
      </c>
      <c r="E1260" t="s">
        <v>52</v>
      </c>
      <c r="F1260" t="s">
        <v>69</v>
      </c>
      <c r="G1260">
        <v>50780</v>
      </c>
      <c r="H1260">
        <v>0</v>
      </c>
      <c r="I1260">
        <v>1</v>
      </c>
      <c r="J1260">
        <v>0</v>
      </c>
      <c r="K1260">
        <v>0</v>
      </c>
      <c r="L1260" t="s">
        <v>35</v>
      </c>
      <c r="M1260" t="s">
        <v>35</v>
      </c>
      <c r="N1260" t="s">
        <v>35</v>
      </c>
      <c r="O1260" t="s">
        <v>35</v>
      </c>
      <c r="P1260" t="s">
        <v>35</v>
      </c>
      <c r="Q1260" t="s">
        <v>35</v>
      </c>
      <c r="R1260" t="s">
        <v>35</v>
      </c>
      <c r="S1260">
        <v>1</v>
      </c>
      <c r="T1260">
        <v>1</v>
      </c>
      <c r="U1260">
        <v>0</v>
      </c>
      <c r="V1260">
        <v>1</v>
      </c>
      <c r="W1260">
        <v>0</v>
      </c>
      <c r="X1260">
        <v>1</v>
      </c>
      <c r="Y1260">
        <v>0</v>
      </c>
      <c r="Z1260">
        <v>1</v>
      </c>
      <c r="AA1260">
        <v>1</v>
      </c>
      <c r="AB1260">
        <v>0</v>
      </c>
      <c r="AC1260">
        <v>1</v>
      </c>
      <c r="AD1260">
        <v>0</v>
      </c>
      <c r="AE1260">
        <v>0</v>
      </c>
    </row>
    <row r="1261" spans="1:31" x14ac:dyDescent="0.2">
      <c r="A1261" t="s">
        <v>383</v>
      </c>
      <c r="B1261" t="s">
        <v>102</v>
      </c>
      <c r="C1261">
        <v>26</v>
      </c>
      <c r="D1261" t="s">
        <v>33</v>
      </c>
      <c r="E1261" t="s">
        <v>75</v>
      </c>
      <c r="F1261" t="s">
        <v>35</v>
      </c>
      <c r="G1261">
        <v>75870</v>
      </c>
      <c r="H1261" t="s">
        <v>384</v>
      </c>
      <c r="I1261" t="s">
        <v>385</v>
      </c>
      <c r="K1261" t="s">
        <v>35</v>
      </c>
      <c r="L1261" t="s">
        <v>35</v>
      </c>
      <c r="M1261" t="s">
        <v>35</v>
      </c>
      <c r="N1261" t="s">
        <v>35</v>
      </c>
      <c r="O1261" t="s">
        <v>35</v>
      </c>
      <c r="P1261" t="s">
        <v>35</v>
      </c>
      <c r="Q1261" t="s">
        <v>35</v>
      </c>
      <c r="R1261" t="s">
        <v>35</v>
      </c>
      <c r="S1261" t="s">
        <v>35</v>
      </c>
      <c r="T1261" t="s">
        <v>35</v>
      </c>
      <c r="U1261" t="s">
        <v>35</v>
      </c>
      <c r="V1261" t="s">
        <v>35</v>
      </c>
      <c r="W1261" t="s">
        <v>35</v>
      </c>
      <c r="X1261" t="s">
        <v>35</v>
      </c>
      <c r="Y1261" t="s">
        <v>35</v>
      </c>
      <c r="Z1261" t="s">
        <v>35</v>
      </c>
      <c r="AA1261" t="s">
        <v>35</v>
      </c>
      <c r="AB1261" t="s">
        <v>35</v>
      </c>
      <c r="AC1261" t="s">
        <v>35</v>
      </c>
      <c r="AD1261" t="s">
        <v>35</v>
      </c>
      <c r="AE1261" t="s">
        <v>35</v>
      </c>
    </row>
    <row r="1262" spans="1:31" x14ac:dyDescent="0.2">
      <c r="A1262" t="s">
        <v>386</v>
      </c>
      <c r="B1262" t="s">
        <v>102</v>
      </c>
      <c r="C1262">
        <v>37</v>
      </c>
      <c r="D1262" t="s">
        <v>78</v>
      </c>
      <c r="E1262" t="s">
        <v>34</v>
      </c>
      <c r="F1262" t="s">
        <v>35</v>
      </c>
      <c r="G1262">
        <v>67636</v>
      </c>
      <c r="H1262" t="s">
        <v>35</v>
      </c>
      <c r="I1262" t="s">
        <v>35</v>
      </c>
      <c r="J1262" t="s">
        <v>35</v>
      </c>
      <c r="K1262" t="s">
        <v>35</v>
      </c>
      <c r="L1262" t="s">
        <v>35</v>
      </c>
      <c r="M1262" t="s">
        <v>35</v>
      </c>
      <c r="N1262" t="s">
        <v>35</v>
      </c>
      <c r="O1262" t="s">
        <v>35</v>
      </c>
      <c r="P1262" t="s">
        <v>35</v>
      </c>
      <c r="Q1262" t="s">
        <v>35</v>
      </c>
      <c r="R1262" t="s">
        <v>35</v>
      </c>
      <c r="S1262" t="s">
        <v>35</v>
      </c>
      <c r="T1262" t="s">
        <v>35</v>
      </c>
      <c r="U1262" t="s">
        <v>35</v>
      </c>
      <c r="V1262" t="s">
        <v>35</v>
      </c>
      <c r="W1262" t="s">
        <v>35</v>
      </c>
      <c r="X1262" t="s">
        <v>35</v>
      </c>
      <c r="Y1262" t="s">
        <v>35</v>
      </c>
      <c r="Z1262" t="s">
        <v>35</v>
      </c>
      <c r="AA1262" t="s">
        <v>35</v>
      </c>
      <c r="AB1262" t="s">
        <v>35</v>
      </c>
      <c r="AC1262" t="s">
        <v>35</v>
      </c>
      <c r="AD1262" t="s">
        <v>35</v>
      </c>
      <c r="AE1262" t="s">
        <v>35</v>
      </c>
    </row>
    <row r="1263" spans="1:31" x14ac:dyDescent="0.2">
      <c r="A1263" t="s">
        <v>386</v>
      </c>
      <c r="B1263" t="s">
        <v>102</v>
      </c>
      <c r="C1263">
        <v>37</v>
      </c>
      <c r="D1263" t="s">
        <v>78</v>
      </c>
      <c r="E1263" t="s">
        <v>36</v>
      </c>
      <c r="F1263" t="s">
        <v>38</v>
      </c>
      <c r="G1263">
        <v>37657</v>
      </c>
      <c r="H1263">
        <v>0</v>
      </c>
      <c r="I1263">
        <v>0</v>
      </c>
      <c r="J1263">
        <v>0</v>
      </c>
      <c r="K1263">
        <v>1</v>
      </c>
      <c r="L1263" t="s">
        <v>35</v>
      </c>
      <c r="M1263" t="s">
        <v>35</v>
      </c>
      <c r="N1263" t="s">
        <v>35</v>
      </c>
      <c r="O1263" t="s">
        <v>35</v>
      </c>
      <c r="P1263" t="s">
        <v>35</v>
      </c>
      <c r="Q1263" t="s">
        <v>35</v>
      </c>
      <c r="R1263" t="s">
        <v>35</v>
      </c>
      <c r="S1263" t="s">
        <v>35</v>
      </c>
      <c r="T1263" t="s">
        <v>35</v>
      </c>
      <c r="U1263" t="s">
        <v>35</v>
      </c>
      <c r="V1263" t="s">
        <v>35</v>
      </c>
      <c r="W1263" t="s">
        <v>35</v>
      </c>
      <c r="X1263" t="s">
        <v>35</v>
      </c>
      <c r="Y1263" t="s">
        <v>35</v>
      </c>
      <c r="Z1263" t="s">
        <v>35</v>
      </c>
      <c r="AA1263" t="s">
        <v>35</v>
      </c>
      <c r="AB1263" t="s">
        <v>35</v>
      </c>
      <c r="AC1263" t="s">
        <v>35</v>
      </c>
      <c r="AD1263" t="s">
        <v>35</v>
      </c>
      <c r="AE1263" t="s">
        <v>35</v>
      </c>
    </row>
    <row r="1264" spans="1:31" x14ac:dyDescent="0.2">
      <c r="A1264" t="s">
        <v>386</v>
      </c>
      <c r="B1264" t="s">
        <v>102</v>
      </c>
      <c r="C1264">
        <v>37</v>
      </c>
      <c r="D1264" t="s">
        <v>78</v>
      </c>
      <c r="E1264" t="s">
        <v>36</v>
      </c>
      <c r="F1264" t="s">
        <v>37</v>
      </c>
      <c r="G1264">
        <v>31131</v>
      </c>
      <c r="H1264">
        <v>0</v>
      </c>
      <c r="I1264">
        <v>0</v>
      </c>
      <c r="J1264">
        <v>1</v>
      </c>
      <c r="K1264">
        <v>0</v>
      </c>
      <c r="L1264" t="s">
        <v>35</v>
      </c>
      <c r="M1264" t="s">
        <v>35</v>
      </c>
      <c r="N1264" t="s">
        <v>35</v>
      </c>
      <c r="O1264" t="s">
        <v>35</v>
      </c>
      <c r="P1264" t="s">
        <v>35</v>
      </c>
      <c r="Q1264" t="s">
        <v>35</v>
      </c>
      <c r="R1264" t="s">
        <v>35</v>
      </c>
      <c r="S1264" t="s">
        <v>35</v>
      </c>
      <c r="T1264" t="s">
        <v>35</v>
      </c>
      <c r="U1264" t="s">
        <v>35</v>
      </c>
      <c r="V1264" t="s">
        <v>35</v>
      </c>
      <c r="W1264" t="s">
        <v>35</v>
      </c>
      <c r="X1264" t="s">
        <v>35</v>
      </c>
      <c r="Y1264" t="s">
        <v>35</v>
      </c>
      <c r="Z1264" t="s">
        <v>35</v>
      </c>
      <c r="AA1264" t="s">
        <v>35</v>
      </c>
      <c r="AB1264" t="s">
        <v>35</v>
      </c>
      <c r="AC1264" t="s">
        <v>35</v>
      </c>
      <c r="AD1264" t="s">
        <v>35</v>
      </c>
      <c r="AE1264" t="s">
        <v>35</v>
      </c>
    </row>
    <row r="1265" spans="1:31" x14ac:dyDescent="0.2">
      <c r="A1265" t="s">
        <v>386</v>
      </c>
      <c r="B1265" t="s">
        <v>102</v>
      </c>
      <c r="C1265">
        <v>37</v>
      </c>
      <c r="D1265" t="s">
        <v>78</v>
      </c>
      <c r="E1265" t="s">
        <v>39</v>
      </c>
      <c r="F1265" t="s">
        <v>47</v>
      </c>
      <c r="G1265">
        <v>54676</v>
      </c>
      <c r="H1265">
        <v>0</v>
      </c>
      <c r="I1265">
        <v>0</v>
      </c>
      <c r="J1265">
        <v>0</v>
      </c>
      <c r="K1265">
        <v>1</v>
      </c>
      <c r="L1265" t="s">
        <v>50</v>
      </c>
      <c r="M1265" t="s">
        <v>95</v>
      </c>
      <c r="N1265" t="s">
        <v>79</v>
      </c>
      <c r="O1265" t="s">
        <v>51</v>
      </c>
      <c r="P1265" t="s">
        <v>68</v>
      </c>
      <c r="Q1265" t="s">
        <v>45</v>
      </c>
      <c r="R1265">
        <v>1</v>
      </c>
      <c r="S1265">
        <v>0</v>
      </c>
      <c r="T1265">
        <v>0</v>
      </c>
      <c r="U1265">
        <v>0</v>
      </c>
      <c r="V1265">
        <v>1</v>
      </c>
      <c r="W1265">
        <v>0</v>
      </c>
      <c r="X1265">
        <v>1</v>
      </c>
      <c r="Y1265">
        <v>0</v>
      </c>
      <c r="Z1265">
        <v>0</v>
      </c>
      <c r="AA1265">
        <v>0</v>
      </c>
      <c r="AB1265">
        <v>0</v>
      </c>
      <c r="AC1265">
        <v>0</v>
      </c>
      <c r="AD1265">
        <v>0</v>
      </c>
      <c r="AE1265">
        <v>1</v>
      </c>
    </row>
    <row r="1266" spans="1:31" x14ac:dyDescent="0.2">
      <c r="A1266" t="s">
        <v>386</v>
      </c>
      <c r="B1266" t="s">
        <v>102</v>
      </c>
      <c r="C1266">
        <v>37</v>
      </c>
      <c r="D1266" t="s">
        <v>78</v>
      </c>
      <c r="E1266" t="s">
        <v>39</v>
      </c>
      <c r="F1266" t="s">
        <v>70</v>
      </c>
      <c r="G1266">
        <v>33010</v>
      </c>
      <c r="H1266">
        <v>0</v>
      </c>
      <c r="I1266">
        <v>0</v>
      </c>
      <c r="J1266">
        <v>1</v>
      </c>
      <c r="K1266">
        <v>0</v>
      </c>
      <c r="L1266" t="s">
        <v>86</v>
      </c>
      <c r="M1266" t="s">
        <v>71</v>
      </c>
      <c r="N1266" t="s">
        <v>73</v>
      </c>
      <c r="O1266" t="s">
        <v>46</v>
      </c>
      <c r="P1266" t="s">
        <v>45</v>
      </c>
      <c r="Q1266" t="s">
        <v>44</v>
      </c>
      <c r="R1266">
        <v>0</v>
      </c>
      <c r="S1266">
        <v>1</v>
      </c>
      <c r="T1266">
        <v>1</v>
      </c>
      <c r="U1266">
        <v>0</v>
      </c>
      <c r="V1266">
        <v>1</v>
      </c>
      <c r="W1266">
        <v>0</v>
      </c>
      <c r="X1266">
        <v>1</v>
      </c>
      <c r="Y1266">
        <v>0</v>
      </c>
      <c r="Z1266">
        <v>1</v>
      </c>
      <c r="AA1266">
        <v>0</v>
      </c>
      <c r="AB1266">
        <v>0</v>
      </c>
      <c r="AC1266">
        <v>0</v>
      </c>
      <c r="AD1266">
        <v>0</v>
      </c>
      <c r="AE1266">
        <v>0</v>
      </c>
    </row>
    <row r="1267" spans="1:31" x14ac:dyDescent="0.2">
      <c r="A1267" t="s">
        <v>386</v>
      </c>
      <c r="B1267" t="s">
        <v>102</v>
      </c>
      <c r="C1267">
        <v>37</v>
      </c>
      <c r="D1267" t="s">
        <v>78</v>
      </c>
      <c r="E1267" t="s">
        <v>52</v>
      </c>
      <c r="F1267" t="s">
        <v>53</v>
      </c>
      <c r="G1267">
        <v>48108</v>
      </c>
      <c r="H1267">
        <v>0</v>
      </c>
      <c r="I1267">
        <v>0</v>
      </c>
      <c r="J1267">
        <v>0</v>
      </c>
      <c r="K1267">
        <v>1</v>
      </c>
      <c r="L1267" t="s">
        <v>35</v>
      </c>
      <c r="M1267" t="s">
        <v>35</v>
      </c>
      <c r="N1267" t="s">
        <v>35</v>
      </c>
      <c r="O1267" t="s">
        <v>35</v>
      </c>
      <c r="P1267" t="s">
        <v>35</v>
      </c>
      <c r="Q1267" t="s">
        <v>35</v>
      </c>
      <c r="R1267" t="s">
        <v>35</v>
      </c>
      <c r="S1267">
        <v>1</v>
      </c>
      <c r="T1267">
        <v>1</v>
      </c>
      <c r="U1267">
        <v>0</v>
      </c>
      <c r="V1267">
        <v>1</v>
      </c>
      <c r="W1267">
        <v>0</v>
      </c>
      <c r="X1267">
        <v>1</v>
      </c>
      <c r="Y1267">
        <v>0</v>
      </c>
      <c r="Z1267">
        <v>1</v>
      </c>
      <c r="AA1267">
        <v>0</v>
      </c>
      <c r="AB1267">
        <v>0</v>
      </c>
      <c r="AC1267">
        <v>0</v>
      </c>
      <c r="AD1267">
        <v>0</v>
      </c>
      <c r="AE1267">
        <v>0</v>
      </c>
    </row>
    <row r="1268" spans="1:31" x14ac:dyDescent="0.2">
      <c r="A1268" t="s">
        <v>386</v>
      </c>
      <c r="B1268" t="s">
        <v>102</v>
      </c>
      <c r="C1268">
        <v>37</v>
      </c>
      <c r="D1268" t="s">
        <v>78</v>
      </c>
      <c r="E1268" t="s">
        <v>39</v>
      </c>
      <c r="F1268" t="s">
        <v>40</v>
      </c>
      <c r="G1268">
        <v>22869</v>
      </c>
      <c r="H1268">
        <v>0</v>
      </c>
      <c r="I1268">
        <v>0</v>
      </c>
      <c r="J1268">
        <v>0</v>
      </c>
      <c r="K1268">
        <v>1</v>
      </c>
      <c r="L1268" t="s">
        <v>82</v>
      </c>
      <c r="M1268" t="s">
        <v>42</v>
      </c>
      <c r="N1268" t="s">
        <v>43</v>
      </c>
      <c r="O1268" t="s">
        <v>68</v>
      </c>
      <c r="P1268" t="s">
        <v>45</v>
      </c>
      <c r="Q1268" t="s">
        <v>46</v>
      </c>
      <c r="R1268">
        <v>1</v>
      </c>
      <c r="S1268">
        <v>0</v>
      </c>
      <c r="T1268">
        <v>1</v>
      </c>
      <c r="U1268">
        <v>0</v>
      </c>
      <c r="V1268">
        <v>1</v>
      </c>
      <c r="W1268">
        <v>0</v>
      </c>
      <c r="X1268">
        <v>1</v>
      </c>
      <c r="Y1268">
        <v>0</v>
      </c>
      <c r="Z1268">
        <v>0</v>
      </c>
      <c r="AA1268">
        <v>0</v>
      </c>
      <c r="AB1268">
        <v>0</v>
      </c>
      <c r="AC1268">
        <v>0</v>
      </c>
      <c r="AD1268">
        <v>0</v>
      </c>
      <c r="AE1268">
        <v>1</v>
      </c>
    </row>
    <row r="1269" spans="1:31" x14ac:dyDescent="0.2">
      <c r="A1269" t="s">
        <v>386</v>
      </c>
      <c r="B1269" t="s">
        <v>102</v>
      </c>
      <c r="C1269">
        <v>37</v>
      </c>
      <c r="D1269" t="s">
        <v>78</v>
      </c>
      <c r="E1269" t="s">
        <v>52</v>
      </c>
      <c r="F1269" t="s">
        <v>69</v>
      </c>
      <c r="G1269">
        <v>44871</v>
      </c>
      <c r="H1269">
        <v>0</v>
      </c>
      <c r="I1269">
        <v>0</v>
      </c>
      <c r="J1269">
        <v>1</v>
      </c>
      <c r="K1269">
        <v>0</v>
      </c>
      <c r="L1269" t="s">
        <v>35</v>
      </c>
      <c r="M1269" t="s">
        <v>35</v>
      </c>
      <c r="N1269" t="s">
        <v>35</v>
      </c>
      <c r="O1269" t="s">
        <v>35</v>
      </c>
      <c r="P1269" t="s">
        <v>35</v>
      </c>
      <c r="Q1269" t="s">
        <v>35</v>
      </c>
      <c r="R1269" t="s">
        <v>35</v>
      </c>
      <c r="S1269">
        <v>0</v>
      </c>
      <c r="T1269">
        <v>1</v>
      </c>
      <c r="U1269">
        <v>0</v>
      </c>
      <c r="V1269">
        <v>1</v>
      </c>
      <c r="W1269">
        <v>0</v>
      </c>
      <c r="X1269">
        <v>1</v>
      </c>
      <c r="Y1269">
        <v>0</v>
      </c>
      <c r="Z1269">
        <v>0</v>
      </c>
      <c r="AA1269">
        <v>0</v>
      </c>
      <c r="AB1269">
        <v>0</v>
      </c>
      <c r="AC1269">
        <v>0</v>
      </c>
      <c r="AD1269">
        <v>0</v>
      </c>
      <c r="AE1269">
        <v>1</v>
      </c>
    </row>
    <row r="1270" spans="1:31" x14ac:dyDescent="0.2">
      <c r="A1270" t="s">
        <v>386</v>
      </c>
      <c r="B1270" t="s">
        <v>102</v>
      </c>
      <c r="C1270">
        <v>37</v>
      </c>
      <c r="D1270" t="s">
        <v>78</v>
      </c>
      <c r="E1270" t="s">
        <v>39</v>
      </c>
      <c r="F1270" t="s">
        <v>63</v>
      </c>
      <c r="G1270">
        <v>24014</v>
      </c>
      <c r="H1270">
        <v>0</v>
      </c>
      <c r="I1270">
        <v>0</v>
      </c>
      <c r="J1270">
        <v>1</v>
      </c>
      <c r="K1270">
        <v>0</v>
      </c>
      <c r="L1270" t="s">
        <v>85</v>
      </c>
      <c r="M1270" t="s">
        <v>64</v>
      </c>
      <c r="N1270" t="s">
        <v>90</v>
      </c>
      <c r="O1270" t="s">
        <v>51</v>
      </c>
      <c r="P1270" t="s">
        <v>67</v>
      </c>
      <c r="Q1270" t="s">
        <v>44</v>
      </c>
      <c r="R1270">
        <v>0</v>
      </c>
      <c r="S1270">
        <v>1</v>
      </c>
      <c r="T1270">
        <v>0</v>
      </c>
      <c r="U1270">
        <v>1</v>
      </c>
      <c r="V1270">
        <v>0</v>
      </c>
      <c r="W1270">
        <v>0</v>
      </c>
      <c r="X1270">
        <v>1</v>
      </c>
      <c r="Y1270">
        <v>0</v>
      </c>
      <c r="Z1270">
        <v>1</v>
      </c>
      <c r="AA1270">
        <v>0</v>
      </c>
      <c r="AB1270">
        <v>0</v>
      </c>
      <c r="AC1270">
        <v>0</v>
      </c>
      <c r="AD1270">
        <v>0</v>
      </c>
      <c r="AE1270">
        <v>0</v>
      </c>
    </row>
    <row r="1271" spans="1:31" x14ac:dyDescent="0.2">
      <c r="A1271" t="s">
        <v>386</v>
      </c>
      <c r="B1271" t="s">
        <v>102</v>
      </c>
      <c r="C1271">
        <v>37</v>
      </c>
      <c r="D1271" t="s">
        <v>78</v>
      </c>
      <c r="E1271" t="s">
        <v>39</v>
      </c>
      <c r="F1271" t="s">
        <v>59</v>
      </c>
      <c r="G1271">
        <v>19283</v>
      </c>
      <c r="H1271">
        <v>1</v>
      </c>
      <c r="I1271">
        <v>0</v>
      </c>
      <c r="J1271">
        <v>0</v>
      </c>
      <c r="K1271">
        <v>0</v>
      </c>
      <c r="L1271" t="s">
        <v>60</v>
      </c>
      <c r="M1271" t="s">
        <v>99</v>
      </c>
      <c r="N1271" t="s">
        <v>61</v>
      </c>
      <c r="O1271" t="s">
        <v>44</v>
      </c>
      <c r="P1271" t="s">
        <v>67</v>
      </c>
      <c r="Q1271" t="s">
        <v>46</v>
      </c>
      <c r="R1271">
        <v>0</v>
      </c>
      <c r="S1271">
        <v>1</v>
      </c>
      <c r="T1271">
        <v>1</v>
      </c>
      <c r="U1271">
        <v>1</v>
      </c>
      <c r="V1271">
        <v>0</v>
      </c>
      <c r="W1271">
        <v>0</v>
      </c>
      <c r="X1271">
        <v>1</v>
      </c>
      <c r="Y1271">
        <v>0</v>
      </c>
      <c r="Z1271">
        <v>1</v>
      </c>
      <c r="AA1271">
        <v>0</v>
      </c>
      <c r="AB1271">
        <v>0</v>
      </c>
      <c r="AC1271">
        <v>0</v>
      </c>
      <c r="AD1271">
        <v>0</v>
      </c>
      <c r="AE1271">
        <v>0</v>
      </c>
    </row>
    <row r="1272" spans="1:31" x14ac:dyDescent="0.2">
      <c r="A1272" t="s">
        <v>386</v>
      </c>
      <c r="B1272" t="s">
        <v>102</v>
      </c>
      <c r="C1272">
        <v>37</v>
      </c>
      <c r="D1272" t="s">
        <v>78</v>
      </c>
      <c r="E1272" t="s">
        <v>52</v>
      </c>
      <c r="F1272" t="s">
        <v>74</v>
      </c>
      <c r="G1272">
        <v>25686</v>
      </c>
      <c r="H1272">
        <v>1</v>
      </c>
      <c r="I1272">
        <v>0</v>
      </c>
      <c r="J1272">
        <v>0</v>
      </c>
      <c r="K1272">
        <v>0</v>
      </c>
      <c r="L1272" t="s">
        <v>35</v>
      </c>
      <c r="M1272" t="s">
        <v>35</v>
      </c>
      <c r="N1272" t="s">
        <v>35</v>
      </c>
      <c r="O1272" t="s">
        <v>35</v>
      </c>
      <c r="P1272" t="s">
        <v>35</v>
      </c>
      <c r="Q1272" t="s">
        <v>35</v>
      </c>
      <c r="R1272" t="s">
        <v>35</v>
      </c>
      <c r="S1272">
        <v>1</v>
      </c>
      <c r="T1272">
        <v>1</v>
      </c>
      <c r="U1272">
        <v>1</v>
      </c>
      <c r="V1272">
        <v>0</v>
      </c>
      <c r="W1272">
        <v>0</v>
      </c>
      <c r="X1272">
        <v>1</v>
      </c>
      <c r="Y1272">
        <v>0</v>
      </c>
      <c r="Z1272">
        <v>1</v>
      </c>
      <c r="AA1272">
        <v>0</v>
      </c>
      <c r="AB1272">
        <v>0</v>
      </c>
      <c r="AC1272">
        <v>0</v>
      </c>
      <c r="AD1272">
        <v>0</v>
      </c>
      <c r="AE1272">
        <v>0</v>
      </c>
    </row>
    <row r="1273" spans="1:31" x14ac:dyDescent="0.2">
      <c r="A1273" t="s">
        <v>386</v>
      </c>
      <c r="B1273" t="s">
        <v>102</v>
      </c>
      <c r="C1273">
        <v>37</v>
      </c>
      <c r="D1273" t="s">
        <v>78</v>
      </c>
      <c r="E1273" t="s">
        <v>39</v>
      </c>
      <c r="F1273" t="s">
        <v>54</v>
      </c>
      <c r="G1273">
        <v>23097</v>
      </c>
      <c r="H1273">
        <v>1</v>
      </c>
      <c r="I1273">
        <v>1</v>
      </c>
      <c r="J1273">
        <v>0</v>
      </c>
      <c r="K1273">
        <v>0</v>
      </c>
      <c r="L1273" t="s">
        <v>89</v>
      </c>
      <c r="M1273" t="s">
        <v>55</v>
      </c>
      <c r="N1273" t="s">
        <v>57</v>
      </c>
      <c r="O1273" t="s">
        <v>67</v>
      </c>
      <c r="P1273" t="s">
        <v>44</v>
      </c>
      <c r="Q1273" t="s">
        <v>46</v>
      </c>
      <c r="R1273">
        <v>0</v>
      </c>
      <c r="S1273">
        <v>1</v>
      </c>
      <c r="T1273">
        <v>1</v>
      </c>
      <c r="U1273">
        <v>1</v>
      </c>
      <c r="V1273">
        <v>0</v>
      </c>
      <c r="W1273">
        <v>0</v>
      </c>
      <c r="X1273">
        <v>1</v>
      </c>
      <c r="Y1273">
        <v>0</v>
      </c>
      <c r="Z1273">
        <v>1</v>
      </c>
      <c r="AA1273">
        <v>0</v>
      </c>
      <c r="AB1273">
        <v>1</v>
      </c>
      <c r="AC1273">
        <v>0</v>
      </c>
      <c r="AD1273">
        <v>0</v>
      </c>
      <c r="AE1273">
        <v>0</v>
      </c>
    </row>
    <row r="1274" spans="1:31" x14ac:dyDescent="0.2">
      <c r="A1274" t="s">
        <v>386</v>
      </c>
      <c r="B1274" t="s">
        <v>102</v>
      </c>
      <c r="C1274">
        <v>37</v>
      </c>
      <c r="D1274" t="s">
        <v>78</v>
      </c>
      <c r="E1274" t="s">
        <v>52</v>
      </c>
      <c r="F1274" t="s">
        <v>58</v>
      </c>
      <c r="G1274">
        <v>47463</v>
      </c>
      <c r="H1274">
        <v>1</v>
      </c>
      <c r="I1274">
        <v>1</v>
      </c>
      <c r="J1274">
        <v>0</v>
      </c>
      <c r="K1274">
        <v>0</v>
      </c>
      <c r="L1274" t="s">
        <v>35</v>
      </c>
      <c r="M1274" t="s">
        <v>35</v>
      </c>
      <c r="N1274" t="s">
        <v>35</v>
      </c>
      <c r="O1274" t="s">
        <v>35</v>
      </c>
      <c r="P1274" t="s">
        <v>35</v>
      </c>
      <c r="Q1274" t="s">
        <v>35</v>
      </c>
      <c r="R1274" t="s">
        <v>35</v>
      </c>
      <c r="S1274">
        <v>1</v>
      </c>
      <c r="T1274">
        <v>1</v>
      </c>
      <c r="U1274">
        <v>1</v>
      </c>
      <c r="V1274">
        <v>0</v>
      </c>
      <c r="W1274">
        <v>0</v>
      </c>
      <c r="X1274">
        <v>1</v>
      </c>
      <c r="Y1274">
        <v>0</v>
      </c>
      <c r="Z1274">
        <v>1</v>
      </c>
      <c r="AA1274">
        <v>0</v>
      </c>
      <c r="AB1274">
        <v>1</v>
      </c>
      <c r="AC1274">
        <v>0</v>
      </c>
      <c r="AD1274">
        <v>0</v>
      </c>
      <c r="AE1274">
        <v>0</v>
      </c>
    </row>
    <row r="1275" spans="1:31" x14ac:dyDescent="0.2">
      <c r="A1275" t="s">
        <v>386</v>
      </c>
      <c r="B1275" t="s">
        <v>102</v>
      </c>
      <c r="C1275">
        <v>37</v>
      </c>
      <c r="D1275" t="s">
        <v>78</v>
      </c>
      <c r="E1275" t="s">
        <v>75</v>
      </c>
      <c r="F1275" t="s">
        <v>35</v>
      </c>
      <c r="G1275">
        <v>158367</v>
      </c>
      <c r="H1275" t="s">
        <v>387</v>
      </c>
      <c r="I1275" t="s">
        <v>388</v>
      </c>
      <c r="K1275" t="s">
        <v>35</v>
      </c>
      <c r="L1275" t="s">
        <v>35</v>
      </c>
      <c r="M1275" t="s">
        <v>35</v>
      </c>
      <c r="N1275" t="s">
        <v>35</v>
      </c>
      <c r="O1275" t="s">
        <v>35</v>
      </c>
      <c r="P1275" t="s">
        <v>35</v>
      </c>
      <c r="Q1275" t="s">
        <v>35</v>
      </c>
      <c r="R1275" t="s">
        <v>35</v>
      </c>
      <c r="S1275" t="s">
        <v>35</v>
      </c>
      <c r="T1275" t="s">
        <v>35</v>
      </c>
      <c r="U1275" t="s">
        <v>35</v>
      </c>
      <c r="V1275" t="s">
        <v>35</v>
      </c>
      <c r="W1275" t="s">
        <v>35</v>
      </c>
      <c r="X1275" t="s">
        <v>35</v>
      </c>
      <c r="Y1275" t="s">
        <v>35</v>
      </c>
      <c r="Z1275" t="s">
        <v>35</v>
      </c>
      <c r="AA1275" t="s">
        <v>35</v>
      </c>
      <c r="AB1275" t="s">
        <v>35</v>
      </c>
      <c r="AC1275" t="s">
        <v>35</v>
      </c>
      <c r="AD1275" t="s">
        <v>35</v>
      </c>
      <c r="AE1275" t="s">
        <v>35</v>
      </c>
    </row>
    <row r="1276" spans="1:31" x14ac:dyDescent="0.2">
      <c r="A1276" t="s">
        <v>389</v>
      </c>
      <c r="B1276" t="s">
        <v>32</v>
      </c>
      <c r="C1276">
        <v>28</v>
      </c>
      <c r="D1276" t="s">
        <v>33</v>
      </c>
      <c r="E1276" t="s">
        <v>34</v>
      </c>
      <c r="F1276" t="s">
        <v>35</v>
      </c>
      <c r="G1276">
        <v>24331</v>
      </c>
      <c r="H1276" t="s">
        <v>35</v>
      </c>
      <c r="I1276" t="s">
        <v>35</v>
      </c>
      <c r="J1276" t="s">
        <v>35</v>
      </c>
      <c r="K1276" t="s">
        <v>35</v>
      </c>
      <c r="L1276" t="s">
        <v>35</v>
      </c>
      <c r="M1276" t="s">
        <v>35</v>
      </c>
      <c r="N1276" t="s">
        <v>35</v>
      </c>
      <c r="O1276" t="s">
        <v>35</v>
      </c>
      <c r="P1276" t="s">
        <v>35</v>
      </c>
      <c r="Q1276" t="s">
        <v>35</v>
      </c>
      <c r="R1276" t="s">
        <v>35</v>
      </c>
      <c r="S1276" t="s">
        <v>35</v>
      </c>
      <c r="T1276" t="s">
        <v>35</v>
      </c>
      <c r="U1276" t="s">
        <v>35</v>
      </c>
      <c r="V1276" t="s">
        <v>35</v>
      </c>
      <c r="W1276" t="s">
        <v>35</v>
      </c>
      <c r="X1276" t="s">
        <v>35</v>
      </c>
      <c r="Y1276" t="s">
        <v>35</v>
      </c>
      <c r="Z1276" t="s">
        <v>35</v>
      </c>
      <c r="AA1276" t="s">
        <v>35</v>
      </c>
      <c r="AB1276" t="s">
        <v>35</v>
      </c>
      <c r="AC1276" t="s">
        <v>35</v>
      </c>
      <c r="AD1276" t="s">
        <v>35</v>
      </c>
      <c r="AE1276" t="s">
        <v>35</v>
      </c>
    </row>
    <row r="1277" spans="1:31" x14ac:dyDescent="0.2">
      <c r="A1277" t="s">
        <v>389</v>
      </c>
      <c r="B1277" t="s">
        <v>32</v>
      </c>
      <c r="C1277">
        <v>28</v>
      </c>
      <c r="D1277" t="s">
        <v>33</v>
      </c>
      <c r="E1277" t="s">
        <v>36</v>
      </c>
      <c r="F1277" t="s">
        <v>38</v>
      </c>
      <c r="G1277">
        <v>10007</v>
      </c>
      <c r="H1277">
        <v>0</v>
      </c>
      <c r="I1277">
        <v>1</v>
      </c>
      <c r="J1277">
        <v>0</v>
      </c>
      <c r="K1277">
        <v>0</v>
      </c>
      <c r="L1277" t="s">
        <v>35</v>
      </c>
      <c r="M1277" t="s">
        <v>35</v>
      </c>
      <c r="N1277" t="s">
        <v>35</v>
      </c>
      <c r="O1277" t="s">
        <v>35</v>
      </c>
      <c r="P1277" t="s">
        <v>35</v>
      </c>
      <c r="Q1277" t="s">
        <v>35</v>
      </c>
      <c r="R1277" t="s">
        <v>35</v>
      </c>
      <c r="S1277" t="s">
        <v>35</v>
      </c>
      <c r="T1277" t="s">
        <v>35</v>
      </c>
      <c r="U1277" t="s">
        <v>35</v>
      </c>
      <c r="V1277" t="s">
        <v>35</v>
      </c>
      <c r="W1277" t="s">
        <v>35</v>
      </c>
      <c r="X1277" t="s">
        <v>35</v>
      </c>
      <c r="Y1277" t="s">
        <v>35</v>
      </c>
      <c r="Z1277" t="s">
        <v>35</v>
      </c>
      <c r="AA1277" t="s">
        <v>35</v>
      </c>
      <c r="AB1277" t="s">
        <v>35</v>
      </c>
      <c r="AC1277" t="s">
        <v>35</v>
      </c>
      <c r="AD1277" t="s">
        <v>35</v>
      </c>
      <c r="AE1277" t="s">
        <v>35</v>
      </c>
    </row>
    <row r="1278" spans="1:31" x14ac:dyDescent="0.2">
      <c r="A1278" t="s">
        <v>389</v>
      </c>
      <c r="B1278" t="s">
        <v>32</v>
      </c>
      <c r="C1278">
        <v>28</v>
      </c>
      <c r="D1278" t="s">
        <v>33</v>
      </c>
      <c r="E1278" t="s">
        <v>36</v>
      </c>
      <c r="F1278" t="s">
        <v>37</v>
      </c>
      <c r="G1278">
        <v>3179</v>
      </c>
      <c r="H1278">
        <v>1</v>
      </c>
      <c r="I1278">
        <v>0</v>
      </c>
      <c r="J1278">
        <v>0</v>
      </c>
      <c r="K1278">
        <v>0</v>
      </c>
      <c r="L1278" t="s">
        <v>35</v>
      </c>
      <c r="M1278" t="s">
        <v>35</v>
      </c>
      <c r="N1278" t="s">
        <v>35</v>
      </c>
      <c r="O1278" t="s">
        <v>35</v>
      </c>
      <c r="P1278" t="s">
        <v>35</v>
      </c>
      <c r="Q1278" t="s">
        <v>35</v>
      </c>
      <c r="R1278" t="s">
        <v>35</v>
      </c>
      <c r="S1278" t="s">
        <v>35</v>
      </c>
      <c r="T1278" t="s">
        <v>35</v>
      </c>
      <c r="U1278" t="s">
        <v>35</v>
      </c>
      <c r="V1278" t="s">
        <v>35</v>
      </c>
      <c r="W1278" t="s">
        <v>35</v>
      </c>
      <c r="X1278" t="s">
        <v>35</v>
      </c>
      <c r="Y1278" t="s">
        <v>35</v>
      </c>
      <c r="Z1278" t="s">
        <v>35</v>
      </c>
      <c r="AA1278" t="s">
        <v>35</v>
      </c>
      <c r="AB1278" t="s">
        <v>35</v>
      </c>
      <c r="AC1278" t="s">
        <v>35</v>
      </c>
      <c r="AD1278" t="s">
        <v>35</v>
      </c>
      <c r="AE1278" t="s">
        <v>35</v>
      </c>
    </row>
    <row r="1279" spans="1:31" x14ac:dyDescent="0.2">
      <c r="A1279" t="s">
        <v>389</v>
      </c>
      <c r="B1279" t="s">
        <v>32</v>
      </c>
      <c r="C1279">
        <v>28</v>
      </c>
      <c r="D1279" t="s">
        <v>33</v>
      </c>
      <c r="E1279" t="s">
        <v>39</v>
      </c>
      <c r="F1279" t="s">
        <v>47</v>
      </c>
      <c r="G1279">
        <v>6165</v>
      </c>
      <c r="H1279">
        <v>0</v>
      </c>
      <c r="I1279">
        <v>1</v>
      </c>
      <c r="J1279">
        <v>0</v>
      </c>
      <c r="K1279">
        <v>0</v>
      </c>
      <c r="L1279" t="s">
        <v>80</v>
      </c>
      <c r="M1279" t="s">
        <v>48</v>
      </c>
      <c r="N1279" t="s">
        <v>49</v>
      </c>
      <c r="O1279" t="s">
        <v>67</v>
      </c>
      <c r="P1279" t="s">
        <v>46</v>
      </c>
      <c r="Q1279" t="s">
        <v>44</v>
      </c>
      <c r="R1279">
        <v>0</v>
      </c>
      <c r="S1279">
        <v>1</v>
      </c>
      <c r="T1279">
        <v>1</v>
      </c>
      <c r="U1279">
        <v>1</v>
      </c>
      <c r="V1279">
        <v>0</v>
      </c>
      <c r="W1279">
        <v>0</v>
      </c>
      <c r="X1279">
        <v>1</v>
      </c>
      <c r="Y1279">
        <v>0</v>
      </c>
      <c r="Z1279">
        <v>0</v>
      </c>
      <c r="AA1279">
        <v>1</v>
      </c>
      <c r="AB1279">
        <v>0</v>
      </c>
      <c r="AC1279">
        <v>0</v>
      </c>
      <c r="AD1279">
        <v>0</v>
      </c>
      <c r="AE1279">
        <v>0</v>
      </c>
    </row>
    <row r="1280" spans="1:31" x14ac:dyDescent="0.2">
      <c r="A1280" t="s">
        <v>389</v>
      </c>
      <c r="B1280" t="s">
        <v>32</v>
      </c>
      <c r="C1280">
        <v>28</v>
      </c>
      <c r="D1280" t="s">
        <v>33</v>
      </c>
      <c r="E1280" t="s">
        <v>39</v>
      </c>
      <c r="F1280" t="s">
        <v>40</v>
      </c>
      <c r="G1280">
        <v>3753</v>
      </c>
      <c r="H1280">
        <v>0</v>
      </c>
      <c r="I1280">
        <v>1</v>
      </c>
      <c r="J1280">
        <v>0</v>
      </c>
      <c r="K1280">
        <v>0</v>
      </c>
      <c r="L1280" t="s">
        <v>91</v>
      </c>
      <c r="M1280" t="s">
        <v>42</v>
      </c>
      <c r="N1280" t="s">
        <v>43</v>
      </c>
      <c r="O1280" t="s">
        <v>51</v>
      </c>
      <c r="P1280" t="s">
        <v>45</v>
      </c>
      <c r="Q1280" t="s">
        <v>46</v>
      </c>
      <c r="R1280">
        <v>0</v>
      </c>
      <c r="S1280">
        <v>0</v>
      </c>
      <c r="T1280">
        <v>1</v>
      </c>
      <c r="U1280">
        <v>0</v>
      </c>
      <c r="V1280">
        <v>1</v>
      </c>
      <c r="W1280">
        <v>0</v>
      </c>
      <c r="X1280">
        <v>1</v>
      </c>
      <c r="Y1280">
        <v>0</v>
      </c>
      <c r="Z1280">
        <v>0</v>
      </c>
      <c r="AA1280">
        <v>0</v>
      </c>
      <c r="AB1280">
        <v>0</v>
      </c>
      <c r="AC1280">
        <v>1</v>
      </c>
      <c r="AD1280">
        <v>0</v>
      </c>
      <c r="AE1280">
        <v>0</v>
      </c>
    </row>
    <row r="1281" spans="1:31" x14ac:dyDescent="0.2">
      <c r="A1281" t="s">
        <v>389</v>
      </c>
      <c r="B1281" t="s">
        <v>32</v>
      </c>
      <c r="C1281">
        <v>28</v>
      </c>
      <c r="D1281" t="s">
        <v>33</v>
      </c>
      <c r="E1281" t="s">
        <v>52</v>
      </c>
      <c r="F1281" t="s">
        <v>58</v>
      </c>
      <c r="G1281">
        <v>3169</v>
      </c>
      <c r="H1281">
        <v>0</v>
      </c>
      <c r="I1281">
        <v>1</v>
      </c>
      <c r="J1281">
        <v>0</v>
      </c>
      <c r="K1281">
        <v>0</v>
      </c>
      <c r="L1281" t="s">
        <v>35</v>
      </c>
      <c r="M1281" t="s">
        <v>35</v>
      </c>
      <c r="N1281" t="s">
        <v>35</v>
      </c>
      <c r="O1281" t="s">
        <v>35</v>
      </c>
      <c r="P1281" t="s">
        <v>35</v>
      </c>
      <c r="Q1281" t="s">
        <v>35</v>
      </c>
      <c r="R1281" t="s">
        <v>35</v>
      </c>
      <c r="S1281">
        <v>0</v>
      </c>
      <c r="T1281">
        <v>1</v>
      </c>
      <c r="U1281">
        <v>0</v>
      </c>
      <c r="V1281">
        <v>1</v>
      </c>
      <c r="W1281">
        <v>0</v>
      </c>
      <c r="X1281">
        <v>1</v>
      </c>
      <c r="Y1281">
        <v>0</v>
      </c>
      <c r="Z1281">
        <v>0</v>
      </c>
      <c r="AA1281">
        <v>0</v>
      </c>
      <c r="AB1281">
        <v>0</v>
      </c>
      <c r="AC1281">
        <v>1</v>
      </c>
      <c r="AD1281">
        <v>0</v>
      </c>
      <c r="AE1281">
        <v>0</v>
      </c>
    </row>
    <row r="1282" spans="1:31" x14ac:dyDescent="0.2">
      <c r="A1282" t="s">
        <v>389</v>
      </c>
      <c r="B1282" t="s">
        <v>32</v>
      </c>
      <c r="C1282">
        <v>28</v>
      </c>
      <c r="D1282" t="s">
        <v>33</v>
      </c>
      <c r="E1282" t="s">
        <v>39</v>
      </c>
      <c r="F1282" t="s">
        <v>63</v>
      </c>
      <c r="G1282">
        <v>4389</v>
      </c>
      <c r="H1282">
        <v>0</v>
      </c>
      <c r="I1282">
        <v>1</v>
      </c>
      <c r="J1282">
        <v>0</v>
      </c>
      <c r="K1282">
        <v>0</v>
      </c>
      <c r="L1282" t="s">
        <v>64</v>
      </c>
      <c r="M1282" t="s">
        <v>90</v>
      </c>
      <c r="N1282" t="s">
        <v>85</v>
      </c>
      <c r="O1282" t="s">
        <v>67</v>
      </c>
      <c r="P1282" t="s">
        <v>44</v>
      </c>
      <c r="Q1282" t="s">
        <v>51</v>
      </c>
      <c r="R1282">
        <v>0</v>
      </c>
      <c r="S1282">
        <v>1</v>
      </c>
      <c r="T1282">
        <v>0</v>
      </c>
      <c r="U1282">
        <v>1</v>
      </c>
      <c r="V1282">
        <v>0</v>
      </c>
      <c r="W1282">
        <v>0</v>
      </c>
      <c r="X1282">
        <v>1</v>
      </c>
      <c r="Y1282">
        <v>0</v>
      </c>
      <c r="Z1282">
        <v>1</v>
      </c>
      <c r="AA1282">
        <v>0</v>
      </c>
      <c r="AB1282">
        <v>0</v>
      </c>
      <c r="AC1282">
        <v>0</v>
      </c>
      <c r="AD1282">
        <v>0</v>
      </c>
      <c r="AE1282">
        <v>0</v>
      </c>
    </row>
    <row r="1283" spans="1:31" x14ac:dyDescent="0.2">
      <c r="A1283" t="s">
        <v>389</v>
      </c>
      <c r="B1283" t="s">
        <v>32</v>
      </c>
      <c r="C1283">
        <v>28</v>
      </c>
      <c r="D1283" t="s">
        <v>33</v>
      </c>
      <c r="E1283" t="s">
        <v>52</v>
      </c>
      <c r="F1283" t="s">
        <v>69</v>
      </c>
      <c r="G1283">
        <v>3595</v>
      </c>
      <c r="H1283">
        <v>0</v>
      </c>
      <c r="I1283">
        <v>1</v>
      </c>
      <c r="J1283">
        <v>0</v>
      </c>
      <c r="K1283">
        <v>0</v>
      </c>
      <c r="L1283" t="s">
        <v>35</v>
      </c>
      <c r="M1283" t="s">
        <v>35</v>
      </c>
      <c r="N1283" t="s">
        <v>35</v>
      </c>
      <c r="O1283" t="s">
        <v>35</v>
      </c>
      <c r="P1283" t="s">
        <v>35</v>
      </c>
      <c r="Q1283" t="s">
        <v>35</v>
      </c>
      <c r="R1283" t="s">
        <v>35</v>
      </c>
      <c r="S1283">
        <v>1</v>
      </c>
      <c r="T1283">
        <v>0</v>
      </c>
      <c r="U1283">
        <v>1</v>
      </c>
      <c r="V1283">
        <v>0</v>
      </c>
      <c r="W1283">
        <v>0</v>
      </c>
      <c r="X1283">
        <v>1</v>
      </c>
      <c r="Y1283">
        <v>0</v>
      </c>
      <c r="Z1283">
        <v>1</v>
      </c>
      <c r="AA1283">
        <v>0</v>
      </c>
      <c r="AB1283">
        <v>0</v>
      </c>
      <c r="AC1283">
        <v>0</v>
      </c>
      <c r="AD1283">
        <v>0</v>
      </c>
      <c r="AE1283">
        <v>0</v>
      </c>
    </row>
    <row r="1284" spans="1:31" x14ac:dyDescent="0.2">
      <c r="A1284" t="s">
        <v>389</v>
      </c>
      <c r="B1284" t="s">
        <v>32</v>
      </c>
      <c r="C1284">
        <v>28</v>
      </c>
      <c r="D1284" t="s">
        <v>33</v>
      </c>
      <c r="E1284" t="s">
        <v>39</v>
      </c>
      <c r="F1284" t="s">
        <v>54</v>
      </c>
      <c r="G1284">
        <v>4231</v>
      </c>
      <c r="H1284">
        <v>0</v>
      </c>
      <c r="I1284">
        <v>1</v>
      </c>
      <c r="J1284">
        <v>0</v>
      </c>
      <c r="K1284">
        <v>0</v>
      </c>
      <c r="L1284" t="s">
        <v>55</v>
      </c>
      <c r="M1284" t="s">
        <v>89</v>
      </c>
      <c r="N1284" t="s">
        <v>122</v>
      </c>
      <c r="O1284" t="s">
        <v>44</v>
      </c>
      <c r="P1284" t="s">
        <v>67</v>
      </c>
      <c r="Q1284" t="s">
        <v>68</v>
      </c>
      <c r="R1284">
        <v>1</v>
      </c>
      <c r="S1284">
        <v>1</v>
      </c>
      <c r="T1284">
        <v>0</v>
      </c>
      <c r="U1284">
        <v>1</v>
      </c>
      <c r="V1284">
        <v>0</v>
      </c>
      <c r="W1284">
        <v>0</v>
      </c>
      <c r="X1284">
        <v>1</v>
      </c>
      <c r="Y1284">
        <v>0</v>
      </c>
      <c r="Z1284">
        <v>0</v>
      </c>
      <c r="AA1284">
        <v>0</v>
      </c>
      <c r="AB1284">
        <v>1</v>
      </c>
      <c r="AC1284">
        <v>0</v>
      </c>
      <c r="AD1284">
        <v>0</v>
      </c>
      <c r="AE1284">
        <v>0</v>
      </c>
    </row>
    <row r="1285" spans="1:31" x14ac:dyDescent="0.2">
      <c r="A1285" t="s">
        <v>389</v>
      </c>
      <c r="B1285" t="s">
        <v>32</v>
      </c>
      <c r="C1285">
        <v>28</v>
      </c>
      <c r="D1285" t="s">
        <v>33</v>
      </c>
      <c r="E1285" t="s">
        <v>39</v>
      </c>
      <c r="F1285" t="s">
        <v>59</v>
      </c>
      <c r="G1285">
        <v>2920</v>
      </c>
      <c r="H1285">
        <v>0</v>
      </c>
      <c r="I1285">
        <v>1</v>
      </c>
      <c r="J1285">
        <v>0</v>
      </c>
      <c r="K1285">
        <v>0</v>
      </c>
      <c r="L1285" t="s">
        <v>62</v>
      </c>
      <c r="M1285" t="s">
        <v>94</v>
      </c>
      <c r="N1285" t="s">
        <v>60</v>
      </c>
      <c r="O1285" t="s">
        <v>45</v>
      </c>
      <c r="P1285" t="s">
        <v>68</v>
      </c>
      <c r="Q1285" t="s">
        <v>44</v>
      </c>
      <c r="R1285">
        <v>1</v>
      </c>
      <c r="S1285">
        <v>1</v>
      </c>
      <c r="T1285">
        <v>0</v>
      </c>
      <c r="U1285">
        <v>0</v>
      </c>
      <c r="V1285">
        <v>1</v>
      </c>
      <c r="W1285">
        <v>0</v>
      </c>
      <c r="X1285">
        <v>1</v>
      </c>
      <c r="Y1285">
        <v>1</v>
      </c>
      <c r="Z1285">
        <v>0</v>
      </c>
      <c r="AA1285">
        <v>0</v>
      </c>
      <c r="AB1285">
        <v>0</v>
      </c>
      <c r="AC1285">
        <v>0</v>
      </c>
      <c r="AD1285">
        <v>0</v>
      </c>
      <c r="AE1285">
        <v>0</v>
      </c>
    </row>
    <row r="1286" spans="1:31" x14ac:dyDescent="0.2">
      <c r="A1286" t="s">
        <v>389</v>
      </c>
      <c r="B1286" t="s">
        <v>32</v>
      </c>
      <c r="C1286">
        <v>28</v>
      </c>
      <c r="D1286" t="s">
        <v>33</v>
      </c>
      <c r="E1286" t="s">
        <v>52</v>
      </c>
      <c r="F1286" t="s">
        <v>74</v>
      </c>
      <c r="G1286">
        <v>3488</v>
      </c>
      <c r="H1286">
        <v>0</v>
      </c>
      <c r="I1286">
        <v>1</v>
      </c>
      <c r="J1286">
        <v>0</v>
      </c>
      <c r="K1286">
        <v>0</v>
      </c>
      <c r="L1286" t="s">
        <v>35</v>
      </c>
      <c r="M1286" t="s">
        <v>35</v>
      </c>
      <c r="N1286" t="s">
        <v>35</v>
      </c>
      <c r="O1286" t="s">
        <v>35</v>
      </c>
      <c r="P1286" t="s">
        <v>35</v>
      </c>
      <c r="Q1286" t="s">
        <v>35</v>
      </c>
      <c r="R1286" t="s">
        <v>35</v>
      </c>
      <c r="S1286">
        <v>1</v>
      </c>
      <c r="T1286">
        <v>0</v>
      </c>
      <c r="U1286">
        <v>0</v>
      </c>
      <c r="V1286">
        <v>1</v>
      </c>
      <c r="W1286">
        <v>0</v>
      </c>
      <c r="X1286">
        <v>1</v>
      </c>
      <c r="Y1286">
        <v>1</v>
      </c>
      <c r="Z1286">
        <v>0</v>
      </c>
      <c r="AA1286">
        <v>0</v>
      </c>
      <c r="AB1286">
        <v>0</v>
      </c>
      <c r="AC1286">
        <v>0</v>
      </c>
      <c r="AD1286">
        <v>0</v>
      </c>
      <c r="AE1286">
        <v>0</v>
      </c>
    </row>
    <row r="1287" spans="1:31" x14ac:dyDescent="0.2">
      <c r="A1287" t="s">
        <v>389</v>
      </c>
      <c r="B1287" t="s">
        <v>32</v>
      </c>
      <c r="C1287">
        <v>28</v>
      </c>
      <c r="D1287" t="s">
        <v>33</v>
      </c>
      <c r="E1287" t="s">
        <v>39</v>
      </c>
      <c r="F1287" t="s">
        <v>70</v>
      </c>
      <c r="G1287">
        <v>6068</v>
      </c>
      <c r="H1287">
        <v>1</v>
      </c>
      <c r="I1287">
        <v>0</v>
      </c>
      <c r="J1287">
        <v>0</v>
      </c>
      <c r="K1287">
        <v>0</v>
      </c>
      <c r="L1287" t="s">
        <v>92</v>
      </c>
      <c r="M1287" t="s">
        <v>73</v>
      </c>
      <c r="N1287" t="s">
        <v>72</v>
      </c>
      <c r="O1287" t="s">
        <v>51</v>
      </c>
      <c r="P1287" t="s">
        <v>44</v>
      </c>
      <c r="Q1287" t="s">
        <v>67</v>
      </c>
      <c r="R1287">
        <v>0</v>
      </c>
      <c r="S1287">
        <v>1</v>
      </c>
      <c r="T1287">
        <v>0</v>
      </c>
      <c r="U1287">
        <v>1</v>
      </c>
      <c r="V1287">
        <v>0</v>
      </c>
      <c r="W1287">
        <v>0</v>
      </c>
      <c r="X1287">
        <v>1</v>
      </c>
      <c r="Y1287">
        <v>0</v>
      </c>
      <c r="Z1287">
        <v>0</v>
      </c>
      <c r="AA1287">
        <v>0</v>
      </c>
      <c r="AB1287">
        <v>0</v>
      </c>
      <c r="AC1287">
        <v>0</v>
      </c>
      <c r="AD1287">
        <v>0</v>
      </c>
      <c r="AE1287">
        <v>0</v>
      </c>
    </row>
    <row r="1288" spans="1:31" x14ac:dyDescent="0.2">
      <c r="A1288" t="s">
        <v>389</v>
      </c>
      <c r="B1288" t="s">
        <v>32</v>
      </c>
      <c r="C1288">
        <v>28</v>
      </c>
      <c r="D1288" t="s">
        <v>33</v>
      </c>
      <c r="E1288" t="s">
        <v>52</v>
      </c>
      <c r="F1288" t="s">
        <v>53</v>
      </c>
      <c r="G1288">
        <v>3947</v>
      </c>
      <c r="H1288">
        <v>1</v>
      </c>
      <c r="I1288">
        <v>0</v>
      </c>
      <c r="J1288">
        <v>0</v>
      </c>
      <c r="K1288">
        <v>0</v>
      </c>
      <c r="L1288" t="s">
        <v>35</v>
      </c>
      <c r="M1288" t="s">
        <v>35</v>
      </c>
      <c r="N1288" t="s">
        <v>35</v>
      </c>
      <c r="O1288" t="s">
        <v>35</v>
      </c>
      <c r="P1288" t="s">
        <v>35</v>
      </c>
      <c r="Q1288" t="s">
        <v>35</v>
      </c>
      <c r="R1288" t="s">
        <v>35</v>
      </c>
      <c r="S1288">
        <v>1</v>
      </c>
      <c r="T1288">
        <v>0</v>
      </c>
      <c r="U1288">
        <v>1</v>
      </c>
      <c r="V1288">
        <v>0</v>
      </c>
      <c r="W1288">
        <v>0</v>
      </c>
      <c r="X1288">
        <v>1</v>
      </c>
      <c r="Y1288">
        <v>0</v>
      </c>
      <c r="Z1288">
        <v>0</v>
      </c>
      <c r="AA1288">
        <v>0</v>
      </c>
      <c r="AB1288">
        <v>0</v>
      </c>
      <c r="AC1288">
        <v>0</v>
      </c>
      <c r="AD1288">
        <v>0</v>
      </c>
      <c r="AE1288">
        <v>0</v>
      </c>
    </row>
    <row r="1289" spans="1:31" x14ac:dyDescent="0.2">
      <c r="A1289" t="s">
        <v>389</v>
      </c>
      <c r="B1289" t="s">
        <v>32</v>
      </c>
      <c r="C1289">
        <v>28</v>
      </c>
      <c r="D1289" t="s">
        <v>33</v>
      </c>
      <c r="E1289" t="s">
        <v>75</v>
      </c>
      <c r="F1289" t="s">
        <v>35</v>
      </c>
      <c r="G1289">
        <v>7591</v>
      </c>
      <c r="H1289" t="s">
        <v>100</v>
      </c>
      <c r="I1289" t="s">
        <v>100</v>
      </c>
      <c r="J1289" t="s">
        <v>100</v>
      </c>
      <c r="K1289" t="s">
        <v>35</v>
      </c>
      <c r="L1289" t="s">
        <v>35</v>
      </c>
      <c r="M1289" t="s">
        <v>35</v>
      </c>
      <c r="N1289" t="s">
        <v>35</v>
      </c>
      <c r="O1289" t="s">
        <v>35</v>
      </c>
      <c r="P1289" t="s">
        <v>35</v>
      </c>
      <c r="Q1289" t="s">
        <v>35</v>
      </c>
      <c r="R1289" t="s">
        <v>35</v>
      </c>
      <c r="S1289" t="s">
        <v>35</v>
      </c>
      <c r="T1289" t="s">
        <v>35</v>
      </c>
      <c r="U1289" t="s">
        <v>35</v>
      </c>
      <c r="V1289" t="s">
        <v>35</v>
      </c>
      <c r="W1289" t="s">
        <v>35</v>
      </c>
      <c r="X1289" t="s">
        <v>35</v>
      </c>
      <c r="Y1289" t="s">
        <v>35</v>
      </c>
      <c r="Z1289" t="s">
        <v>35</v>
      </c>
      <c r="AA1289" t="s">
        <v>35</v>
      </c>
      <c r="AB1289" t="s">
        <v>35</v>
      </c>
      <c r="AC1289" t="s">
        <v>35</v>
      </c>
      <c r="AD1289" t="s">
        <v>35</v>
      </c>
      <c r="AE1289" t="s">
        <v>35</v>
      </c>
    </row>
    <row r="1290" spans="1:31" x14ac:dyDescent="0.2">
      <c r="A1290" t="s">
        <v>390</v>
      </c>
      <c r="B1290" t="s">
        <v>32</v>
      </c>
      <c r="C1290">
        <v>27</v>
      </c>
      <c r="D1290" t="s">
        <v>78</v>
      </c>
      <c r="E1290" t="s">
        <v>34</v>
      </c>
      <c r="F1290" t="s">
        <v>35</v>
      </c>
      <c r="G1290">
        <v>20849</v>
      </c>
      <c r="H1290" t="s">
        <v>35</v>
      </c>
      <c r="I1290" t="s">
        <v>35</v>
      </c>
      <c r="J1290" t="s">
        <v>35</v>
      </c>
      <c r="K1290" t="s">
        <v>35</v>
      </c>
      <c r="L1290" t="s">
        <v>35</v>
      </c>
      <c r="M1290" t="s">
        <v>35</v>
      </c>
      <c r="N1290" t="s">
        <v>35</v>
      </c>
      <c r="O1290" t="s">
        <v>35</v>
      </c>
      <c r="P1290" t="s">
        <v>35</v>
      </c>
      <c r="Q1290" t="s">
        <v>35</v>
      </c>
      <c r="R1290" t="s">
        <v>35</v>
      </c>
      <c r="S1290" t="s">
        <v>35</v>
      </c>
      <c r="T1290" t="s">
        <v>35</v>
      </c>
      <c r="U1290" t="s">
        <v>35</v>
      </c>
      <c r="V1290" t="s">
        <v>35</v>
      </c>
      <c r="W1290" t="s">
        <v>35</v>
      </c>
      <c r="X1290" t="s">
        <v>35</v>
      </c>
      <c r="Y1290" t="s">
        <v>35</v>
      </c>
      <c r="Z1290" t="s">
        <v>35</v>
      </c>
      <c r="AA1290" t="s">
        <v>35</v>
      </c>
      <c r="AB1290" t="s">
        <v>35</v>
      </c>
      <c r="AC1290" t="s">
        <v>35</v>
      </c>
      <c r="AD1290" t="s">
        <v>35</v>
      </c>
      <c r="AE1290" t="s">
        <v>35</v>
      </c>
    </row>
    <row r="1291" spans="1:31" x14ac:dyDescent="0.2">
      <c r="A1291" t="s">
        <v>390</v>
      </c>
      <c r="B1291" t="s">
        <v>32</v>
      </c>
      <c r="C1291">
        <v>27</v>
      </c>
      <c r="D1291" t="s">
        <v>78</v>
      </c>
      <c r="E1291" t="s">
        <v>36</v>
      </c>
      <c r="F1291" t="s">
        <v>37</v>
      </c>
      <c r="G1291">
        <v>28215</v>
      </c>
      <c r="H1291">
        <v>1</v>
      </c>
      <c r="I1291">
        <v>1</v>
      </c>
      <c r="J1291">
        <v>1</v>
      </c>
      <c r="K1291">
        <v>0</v>
      </c>
      <c r="L1291" t="s">
        <v>35</v>
      </c>
      <c r="M1291" t="s">
        <v>35</v>
      </c>
      <c r="N1291" t="s">
        <v>35</v>
      </c>
      <c r="O1291" t="s">
        <v>35</v>
      </c>
      <c r="P1291" t="s">
        <v>35</v>
      </c>
      <c r="Q1291" t="s">
        <v>35</v>
      </c>
      <c r="R1291" t="s">
        <v>35</v>
      </c>
      <c r="S1291" t="s">
        <v>35</v>
      </c>
      <c r="T1291" t="s">
        <v>35</v>
      </c>
      <c r="U1291" t="s">
        <v>35</v>
      </c>
      <c r="V1291" t="s">
        <v>35</v>
      </c>
      <c r="W1291" t="s">
        <v>35</v>
      </c>
      <c r="X1291" t="s">
        <v>35</v>
      </c>
      <c r="Y1291" t="s">
        <v>35</v>
      </c>
      <c r="Z1291" t="s">
        <v>35</v>
      </c>
      <c r="AA1291" t="s">
        <v>35</v>
      </c>
      <c r="AB1291" t="s">
        <v>35</v>
      </c>
      <c r="AC1291" t="s">
        <v>35</v>
      </c>
      <c r="AD1291" t="s">
        <v>35</v>
      </c>
      <c r="AE1291" t="s">
        <v>35</v>
      </c>
    </row>
    <row r="1292" spans="1:31" x14ac:dyDescent="0.2">
      <c r="A1292" t="s">
        <v>390</v>
      </c>
      <c r="B1292" t="s">
        <v>32</v>
      </c>
      <c r="C1292">
        <v>27</v>
      </c>
      <c r="D1292" t="s">
        <v>78</v>
      </c>
      <c r="E1292" t="s">
        <v>36</v>
      </c>
      <c r="F1292" t="s">
        <v>38</v>
      </c>
      <c r="G1292">
        <v>10524</v>
      </c>
      <c r="H1292">
        <v>1</v>
      </c>
      <c r="I1292">
        <v>1</v>
      </c>
      <c r="J1292">
        <v>1</v>
      </c>
      <c r="K1292">
        <v>0</v>
      </c>
      <c r="L1292" t="s">
        <v>35</v>
      </c>
      <c r="M1292" t="s">
        <v>35</v>
      </c>
      <c r="N1292" t="s">
        <v>35</v>
      </c>
      <c r="O1292" t="s">
        <v>35</v>
      </c>
      <c r="P1292" t="s">
        <v>35</v>
      </c>
      <c r="Q1292" t="s">
        <v>35</v>
      </c>
      <c r="R1292" t="s">
        <v>35</v>
      </c>
      <c r="S1292" t="s">
        <v>35</v>
      </c>
      <c r="T1292" t="s">
        <v>35</v>
      </c>
      <c r="U1292" t="s">
        <v>35</v>
      </c>
      <c r="V1292" t="s">
        <v>35</v>
      </c>
      <c r="W1292" t="s">
        <v>35</v>
      </c>
      <c r="X1292" t="s">
        <v>35</v>
      </c>
      <c r="Y1292" t="s">
        <v>35</v>
      </c>
      <c r="Z1292" t="s">
        <v>35</v>
      </c>
      <c r="AA1292" t="s">
        <v>35</v>
      </c>
      <c r="AB1292" t="s">
        <v>35</v>
      </c>
      <c r="AC1292" t="s">
        <v>35</v>
      </c>
      <c r="AD1292" t="s">
        <v>35</v>
      </c>
      <c r="AE1292" t="s">
        <v>35</v>
      </c>
    </row>
    <row r="1293" spans="1:31" x14ac:dyDescent="0.2">
      <c r="A1293" t="s">
        <v>390</v>
      </c>
      <c r="B1293" t="s">
        <v>32</v>
      </c>
      <c r="C1293">
        <v>27</v>
      </c>
      <c r="D1293" t="s">
        <v>78</v>
      </c>
      <c r="E1293" t="s">
        <v>39</v>
      </c>
      <c r="F1293" t="s">
        <v>40</v>
      </c>
      <c r="G1293">
        <v>7973</v>
      </c>
      <c r="H1293">
        <v>1</v>
      </c>
      <c r="I1293">
        <v>1</v>
      </c>
      <c r="J1293">
        <v>1</v>
      </c>
      <c r="K1293">
        <v>0</v>
      </c>
      <c r="L1293" t="s">
        <v>91</v>
      </c>
      <c r="M1293" t="s">
        <v>43</v>
      </c>
      <c r="N1293" t="s">
        <v>81</v>
      </c>
      <c r="O1293" t="s">
        <v>51</v>
      </c>
      <c r="P1293" t="s">
        <v>46</v>
      </c>
      <c r="Q1293" t="s">
        <v>67</v>
      </c>
      <c r="R1293">
        <v>0</v>
      </c>
      <c r="S1293">
        <v>0</v>
      </c>
      <c r="T1293">
        <v>1</v>
      </c>
      <c r="U1293">
        <v>1</v>
      </c>
      <c r="V1293">
        <v>0</v>
      </c>
      <c r="W1293">
        <v>0</v>
      </c>
      <c r="X1293">
        <v>1</v>
      </c>
      <c r="Y1293">
        <v>0</v>
      </c>
      <c r="Z1293">
        <v>0</v>
      </c>
      <c r="AA1293">
        <v>1</v>
      </c>
      <c r="AB1293">
        <v>1</v>
      </c>
      <c r="AC1293">
        <v>0</v>
      </c>
      <c r="AD1293">
        <v>0</v>
      </c>
      <c r="AE1293">
        <v>0</v>
      </c>
    </row>
    <row r="1294" spans="1:31" x14ac:dyDescent="0.2">
      <c r="A1294" t="s">
        <v>390</v>
      </c>
      <c r="B1294" t="s">
        <v>32</v>
      </c>
      <c r="C1294">
        <v>27</v>
      </c>
      <c r="D1294" t="s">
        <v>78</v>
      </c>
      <c r="E1294" t="s">
        <v>52</v>
      </c>
      <c r="F1294" t="s">
        <v>74</v>
      </c>
      <c r="G1294">
        <v>5460</v>
      </c>
      <c r="H1294">
        <v>1</v>
      </c>
      <c r="I1294">
        <v>1</v>
      </c>
      <c r="J1294">
        <v>1</v>
      </c>
      <c r="K1294">
        <v>0</v>
      </c>
      <c r="L1294" t="s">
        <v>35</v>
      </c>
      <c r="M1294" t="s">
        <v>35</v>
      </c>
      <c r="N1294" t="s">
        <v>35</v>
      </c>
      <c r="O1294" t="s">
        <v>35</v>
      </c>
      <c r="P1294" t="s">
        <v>35</v>
      </c>
      <c r="Q1294" t="s">
        <v>35</v>
      </c>
      <c r="R1294" t="s">
        <v>35</v>
      </c>
      <c r="S1294">
        <v>0</v>
      </c>
      <c r="T1294">
        <v>1</v>
      </c>
      <c r="U1294">
        <v>1</v>
      </c>
      <c r="V1294">
        <v>0</v>
      </c>
      <c r="W1294">
        <v>0</v>
      </c>
      <c r="X1294">
        <v>1</v>
      </c>
      <c r="Y1294">
        <v>0</v>
      </c>
      <c r="Z1294">
        <v>0</v>
      </c>
      <c r="AA1294">
        <v>1</v>
      </c>
      <c r="AB1294">
        <v>1</v>
      </c>
      <c r="AC1294">
        <v>0</v>
      </c>
      <c r="AD1294">
        <v>0</v>
      </c>
      <c r="AE1294">
        <v>0</v>
      </c>
    </row>
    <row r="1295" spans="1:31" x14ac:dyDescent="0.2">
      <c r="A1295" t="s">
        <v>390</v>
      </c>
      <c r="B1295" t="s">
        <v>32</v>
      </c>
      <c r="C1295">
        <v>27</v>
      </c>
      <c r="D1295" t="s">
        <v>78</v>
      </c>
      <c r="E1295" t="s">
        <v>39</v>
      </c>
      <c r="F1295" t="s">
        <v>70</v>
      </c>
      <c r="G1295">
        <v>5149</v>
      </c>
      <c r="H1295">
        <v>1</v>
      </c>
      <c r="I1295">
        <v>1</v>
      </c>
      <c r="J1295">
        <v>1</v>
      </c>
      <c r="K1295">
        <v>0</v>
      </c>
      <c r="L1295" t="s">
        <v>72</v>
      </c>
      <c r="M1295" t="s">
        <v>73</v>
      </c>
      <c r="N1295" t="s">
        <v>86</v>
      </c>
      <c r="O1295" t="s">
        <v>67</v>
      </c>
      <c r="P1295" t="s">
        <v>44</v>
      </c>
      <c r="Q1295" t="s">
        <v>46</v>
      </c>
      <c r="R1295">
        <v>0</v>
      </c>
      <c r="S1295">
        <v>1</v>
      </c>
      <c r="T1295">
        <v>1</v>
      </c>
      <c r="U1295">
        <v>1</v>
      </c>
      <c r="V1295">
        <v>0</v>
      </c>
      <c r="W1295">
        <v>0</v>
      </c>
      <c r="X1295">
        <v>1</v>
      </c>
      <c r="Y1295">
        <v>0</v>
      </c>
      <c r="Z1295">
        <v>1</v>
      </c>
      <c r="AA1295">
        <v>1</v>
      </c>
      <c r="AB1295">
        <v>1</v>
      </c>
      <c r="AC1295">
        <v>0</v>
      </c>
      <c r="AD1295">
        <v>0</v>
      </c>
      <c r="AE1295">
        <v>0</v>
      </c>
    </row>
    <row r="1296" spans="1:31" x14ac:dyDescent="0.2">
      <c r="A1296" t="s">
        <v>390</v>
      </c>
      <c r="B1296" t="s">
        <v>32</v>
      </c>
      <c r="C1296">
        <v>27</v>
      </c>
      <c r="D1296" t="s">
        <v>78</v>
      </c>
      <c r="E1296" t="s">
        <v>39</v>
      </c>
      <c r="F1296" t="s">
        <v>47</v>
      </c>
      <c r="G1296">
        <v>3059</v>
      </c>
      <c r="H1296">
        <v>1</v>
      </c>
      <c r="I1296">
        <v>1</v>
      </c>
      <c r="J1296">
        <v>0</v>
      </c>
      <c r="K1296">
        <v>0</v>
      </c>
      <c r="L1296" t="s">
        <v>80</v>
      </c>
      <c r="M1296" t="s">
        <v>79</v>
      </c>
      <c r="N1296" t="s">
        <v>49</v>
      </c>
      <c r="O1296" t="s">
        <v>67</v>
      </c>
      <c r="P1296" t="s">
        <v>45</v>
      </c>
      <c r="Q1296" t="s">
        <v>44</v>
      </c>
      <c r="R1296">
        <v>0</v>
      </c>
      <c r="S1296">
        <v>1</v>
      </c>
      <c r="T1296">
        <v>0</v>
      </c>
      <c r="U1296">
        <v>1</v>
      </c>
      <c r="V1296">
        <v>1</v>
      </c>
      <c r="W1296">
        <v>0</v>
      </c>
      <c r="X1296">
        <v>1</v>
      </c>
      <c r="Y1296">
        <v>0</v>
      </c>
      <c r="Z1296">
        <v>0</v>
      </c>
      <c r="AA1296">
        <v>0</v>
      </c>
      <c r="AB1296">
        <v>1</v>
      </c>
      <c r="AC1296">
        <v>1</v>
      </c>
      <c r="AD1296">
        <v>0</v>
      </c>
      <c r="AE1296">
        <v>0</v>
      </c>
    </row>
    <row r="1297" spans="1:31" x14ac:dyDescent="0.2">
      <c r="A1297" t="s">
        <v>390</v>
      </c>
      <c r="B1297" t="s">
        <v>32</v>
      </c>
      <c r="C1297">
        <v>27</v>
      </c>
      <c r="D1297" t="s">
        <v>78</v>
      </c>
      <c r="E1297" t="s">
        <v>52</v>
      </c>
      <c r="F1297" t="s">
        <v>58</v>
      </c>
      <c r="G1297">
        <v>4822</v>
      </c>
      <c r="H1297">
        <v>1</v>
      </c>
      <c r="I1297">
        <v>1</v>
      </c>
      <c r="J1297">
        <v>1</v>
      </c>
      <c r="K1297">
        <v>0</v>
      </c>
      <c r="L1297" t="s">
        <v>35</v>
      </c>
      <c r="M1297" t="s">
        <v>35</v>
      </c>
      <c r="N1297" t="s">
        <v>35</v>
      </c>
      <c r="O1297" t="s">
        <v>35</v>
      </c>
      <c r="P1297" t="s">
        <v>35</v>
      </c>
      <c r="Q1297" t="s">
        <v>35</v>
      </c>
      <c r="R1297" t="s">
        <v>35</v>
      </c>
      <c r="S1297">
        <v>1</v>
      </c>
      <c r="T1297">
        <v>0</v>
      </c>
      <c r="U1297">
        <v>1</v>
      </c>
      <c r="V1297">
        <v>1</v>
      </c>
      <c r="W1297">
        <v>0</v>
      </c>
      <c r="X1297">
        <v>1</v>
      </c>
      <c r="Y1297">
        <v>0</v>
      </c>
      <c r="Z1297">
        <v>0</v>
      </c>
      <c r="AA1297">
        <v>0</v>
      </c>
      <c r="AB1297">
        <v>1</v>
      </c>
      <c r="AC1297">
        <v>1</v>
      </c>
      <c r="AD1297">
        <v>0</v>
      </c>
      <c r="AE1297">
        <v>0</v>
      </c>
    </row>
    <row r="1298" spans="1:31" x14ac:dyDescent="0.2">
      <c r="A1298" t="s">
        <v>390</v>
      </c>
      <c r="B1298" t="s">
        <v>32</v>
      </c>
      <c r="C1298">
        <v>27</v>
      </c>
      <c r="D1298" t="s">
        <v>78</v>
      </c>
      <c r="E1298" t="s">
        <v>39</v>
      </c>
      <c r="F1298" t="s">
        <v>59</v>
      </c>
      <c r="G1298">
        <v>5180</v>
      </c>
      <c r="H1298">
        <v>1</v>
      </c>
      <c r="I1298">
        <v>1</v>
      </c>
      <c r="J1298">
        <v>0</v>
      </c>
      <c r="K1298">
        <v>0</v>
      </c>
      <c r="L1298" t="s">
        <v>60</v>
      </c>
      <c r="M1298" t="s">
        <v>62</v>
      </c>
      <c r="N1298" t="s">
        <v>94</v>
      </c>
      <c r="O1298" t="s">
        <v>44</v>
      </c>
      <c r="P1298" t="s">
        <v>45</v>
      </c>
      <c r="Q1298" t="s">
        <v>68</v>
      </c>
      <c r="R1298">
        <v>1</v>
      </c>
      <c r="S1298">
        <v>1</v>
      </c>
      <c r="T1298">
        <v>0</v>
      </c>
      <c r="U1298">
        <v>0</v>
      </c>
      <c r="V1298">
        <v>1</v>
      </c>
      <c r="W1298">
        <v>0</v>
      </c>
      <c r="X1298">
        <v>1</v>
      </c>
      <c r="Y1298">
        <v>0</v>
      </c>
      <c r="Z1298">
        <v>1</v>
      </c>
      <c r="AA1298">
        <v>0</v>
      </c>
      <c r="AB1298">
        <v>0</v>
      </c>
      <c r="AC1298">
        <v>1</v>
      </c>
      <c r="AD1298">
        <v>0</v>
      </c>
      <c r="AE1298">
        <v>0</v>
      </c>
    </row>
    <row r="1299" spans="1:31" x14ac:dyDescent="0.2">
      <c r="A1299" t="s">
        <v>390</v>
      </c>
      <c r="B1299" t="s">
        <v>32</v>
      </c>
      <c r="C1299">
        <v>27</v>
      </c>
      <c r="D1299" t="s">
        <v>78</v>
      </c>
      <c r="E1299" t="s">
        <v>52</v>
      </c>
      <c r="F1299" t="s">
        <v>69</v>
      </c>
      <c r="G1299">
        <v>5439</v>
      </c>
      <c r="H1299">
        <v>1</v>
      </c>
      <c r="I1299">
        <v>0</v>
      </c>
      <c r="J1299">
        <v>1</v>
      </c>
      <c r="K1299">
        <v>0</v>
      </c>
      <c r="L1299" t="s">
        <v>35</v>
      </c>
      <c r="M1299" t="s">
        <v>35</v>
      </c>
      <c r="N1299" t="s">
        <v>35</v>
      </c>
      <c r="O1299" t="s">
        <v>35</v>
      </c>
      <c r="P1299" t="s">
        <v>35</v>
      </c>
      <c r="Q1299" t="s">
        <v>35</v>
      </c>
      <c r="R1299" t="s">
        <v>35</v>
      </c>
      <c r="S1299">
        <v>1</v>
      </c>
      <c r="T1299">
        <v>0</v>
      </c>
      <c r="U1299">
        <v>0</v>
      </c>
      <c r="V1299">
        <v>1</v>
      </c>
      <c r="W1299">
        <v>0</v>
      </c>
      <c r="X1299">
        <v>1</v>
      </c>
      <c r="Y1299">
        <v>0</v>
      </c>
      <c r="Z1299">
        <v>1</v>
      </c>
      <c r="AA1299">
        <v>0</v>
      </c>
      <c r="AB1299">
        <v>0</v>
      </c>
      <c r="AC1299">
        <v>1</v>
      </c>
      <c r="AD1299">
        <v>0</v>
      </c>
      <c r="AE1299">
        <v>0</v>
      </c>
    </row>
    <row r="1300" spans="1:31" x14ac:dyDescent="0.2">
      <c r="A1300" t="s">
        <v>390</v>
      </c>
      <c r="B1300" t="s">
        <v>32</v>
      </c>
      <c r="C1300">
        <v>27</v>
      </c>
      <c r="D1300" t="s">
        <v>78</v>
      </c>
      <c r="E1300" t="s">
        <v>39</v>
      </c>
      <c r="F1300" t="s">
        <v>54</v>
      </c>
      <c r="G1300">
        <v>4777</v>
      </c>
      <c r="H1300">
        <v>1</v>
      </c>
      <c r="I1300">
        <v>1</v>
      </c>
      <c r="J1300">
        <v>1</v>
      </c>
      <c r="K1300">
        <v>0</v>
      </c>
      <c r="L1300" t="s">
        <v>89</v>
      </c>
      <c r="M1300" t="s">
        <v>55</v>
      </c>
      <c r="N1300" t="s">
        <v>57</v>
      </c>
      <c r="O1300" t="s">
        <v>67</v>
      </c>
      <c r="P1300" t="s">
        <v>44</v>
      </c>
      <c r="Q1300" t="s">
        <v>46</v>
      </c>
      <c r="R1300">
        <v>0</v>
      </c>
      <c r="S1300">
        <v>1</v>
      </c>
      <c r="T1300">
        <v>1</v>
      </c>
      <c r="U1300">
        <v>1</v>
      </c>
      <c r="V1300">
        <v>0</v>
      </c>
      <c r="W1300">
        <v>0</v>
      </c>
      <c r="X1300">
        <v>1</v>
      </c>
      <c r="Y1300">
        <v>0</v>
      </c>
      <c r="Z1300">
        <v>1</v>
      </c>
      <c r="AA1300">
        <v>1</v>
      </c>
      <c r="AB1300">
        <v>1</v>
      </c>
      <c r="AC1300">
        <v>0</v>
      </c>
      <c r="AD1300">
        <v>0</v>
      </c>
      <c r="AE1300">
        <v>0</v>
      </c>
    </row>
    <row r="1301" spans="1:31" x14ac:dyDescent="0.2">
      <c r="A1301" t="s">
        <v>390</v>
      </c>
      <c r="B1301" t="s">
        <v>32</v>
      </c>
      <c r="C1301">
        <v>27</v>
      </c>
      <c r="D1301" t="s">
        <v>78</v>
      </c>
      <c r="E1301" t="s">
        <v>39</v>
      </c>
      <c r="F1301" t="s">
        <v>63</v>
      </c>
      <c r="G1301">
        <v>5007</v>
      </c>
      <c r="H1301">
        <v>1</v>
      </c>
      <c r="I1301">
        <v>1</v>
      </c>
      <c r="J1301">
        <v>1</v>
      </c>
      <c r="K1301">
        <v>0</v>
      </c>
      <c r="L1301" t="s">
        <v>84</v>
      </c>
      <c r="M1301" t="s">
        <v>66</v>
      </c>
      <c r="N1301" t="s">
        <v>90</v>
      </c>
      <c r="O1301" t="s">
        <v>46</v>
      </c>
      <c r="P1301" t="s">
        <v>45</v>
      </c>
      <c r="Q1301" t="s">
        <v>44</v>
      </c>
      <c r="R1301">
        <v>0</v>
      </c>
      <c r="S1301">
        <v>1</v>
      </c>
      <c r="T1301">
        <v>1</v>
      </c>
      <c r="U1301">
        <v>0</v>
      </c>
      <c r="V1301">
        <v>1</v>
      </c>
      <c r="W1301">
        <v>0</v>
      </c>
      <c r="X1301">
        <v>1</v>
      </c>
      <c r="Y1301">
        <v>0</v>
      </c>
      <c r="Z1301">
        <v>1</v>
      </c>
      <c r="AA1301">
        <v>1</v>
      </c>
      <c r="AB1301">
        <v>0</v>
      </c>
      <c r="AC1301">
        <v>1</v>
      </c>
      <c r="AD1301">
        <v>0</v>
      </c>
      <c r="AE1301">
        <v>0</v>
      </c>
    </row>
    <row r="1302" spans="1:31" x14ac:dyDescent="0.2">
      <c r="A1302" t="s">
        <v>390</v>
      </c>
      <c r="B1302" t="s">
        <v>32</v>
      </c>
      <c r="C1302">
        <v>27</v>
      </c>
      <c r="D1302" t="s">
        <v>78</v>
      </c>
      <c r="E1302" t="s">
        <v>52</v>
      </c>
      <c r="F1302" t="s">
        <v>53</v>
      </c>
      <c r="G1302">
        <v>4298</v>
      </c>
      <c r="H1302">
        <v>1</v>
      </c>
      <c r="I1302">
        <v>1</v>
      </c>
      <c r="J1302">
        <v>1</v>
      </c>
      <c r="K1302">
        <v>0</v>
      </c>
      <c r="L1302" t="s">
        <v>35</v>
      </c>
      <c r="M1302" t="s">
        <v>35</v>
      </c>
      <c r="N1302" t="s">
        <v>35</v>
      </c>
      <c r="O1302" t="s">
        <v>35</v>
      </c>
      <c r="P1302" t="s">
        <v>35</v>
      </c>
      <c r="Q1302" t="s">
        <v>35</v>
      </c>
      <c r="R1302" t="s">
        <v>35</v>
      </c>
      <c r="S1302">
        <v>1</v>
      </c>
      <c r="T1302">
        <v>1</v>
      </c>
      <c r="U1302">
        <v>0</v>
      </c>
      <c r="V1302">
        <v>1</v>
      </c>
      <c r="W1302">
        <v>0</v>
      </c>
      <c r="X1302">
        <v>1</v>
      </c>
      <c r="Y1302">
        <v>0</v>
      </c>
      <c r="Z1302">
        <v>1</v>
      </c>
      <c r="AA1302">
        <v>1</v>
      </c>
      <c r="AB1302">
        <v>0</v>
      </c>
      <c r="AC1302">
        <v>1</v>
      </c>
      <c r="AD1302">
        <v>0</v>
      </c>
      <c r="AE1302">
        <v>0</v>
      </c>
    </row>
    <row r="1303" spans="1:31" x14ac:dyDescent="0.2">
      <c r="A1303" t="s">
        <v>390</v>
      </c>
      <c r="B1303" t="s">
        <v>32</v>
      </c>
      <c r="C1303">
        <v>27</v>
      </c>
      <c r="D1303" t="s">
        <v>78</v>
      </c>
      <c r="E1303" t="s">
        <v>75</v>
      </c>
      <c r="F1303" t="s">
        <v>35</v>
      </c>
      <c r="G1303">
        <v>24951</v>
      </c>
      <c r="H1303" t="s">
        <v>391</v>
      </c>
      <c r="I1303" t="s">
        <v>183</v>
      </c>
      <c r="J1303" t="s">
        <v>392</v>
      </c>
      <c r="K1303" t="s">
        <v>35</v>
      </c>
      <c r="L1303" t="s">
        <v>35</v>
      </c>
      <c r="M1303" t="s">
        <v>35</v>
      </c>
      <c r="N1303" t="s">
        <v>35</v>
      </c>
      <c r="O1303" t="s">
        <v>35</v>
      </c>
      <c r="P1303" t="s">
        <v>35</v>
      </c>
      <c r="Q1303" t="s">
        <v>35</v>
      </c>
      <c r="R1303" t="s">
        <v>35</v>
      </c>
      <c r="S1303" t="s">
        <v>35</v>
      </c>
      <c r="T1303" t="s">
        <v>35</v>
      </c>
      <c r="U1303" t="s">
        <v>35</v>
      </c>
      <c r="V1303" t="s">
        <v>35</v>
      </c>
      <c r="W1303" t="s">
        <v>35</v>
      </c>
      <c r="X1303" t="s">
        <v>35</v>
      </c>
      <c r="Y1303" t="s">
        <v>35</v>
      </c>
      <c r="Z1303" t="s">
        <v>35</v>
      </c>
      <c r="AA1303" t="s">
        <v>35</v>
      </c>
      <c r="AB1303" t="s">
        <v>35</v>
      </c>
      <c r="AC1303" t="s">
        <v>35</v>
      </c>
      <c r="AD1303" t="s">
        <v>35</v>
      </c>
      <c r="AE1303" t="s">
        <v>35</v>
      </c>
    </row>
    <row r="1304" spans="1:31" x14ac:dyDescent="0.2">
      <c r="A1304" t="s">
        <v>393</v>
      </c>
      <c r="B1304" t="s">
        <v>102</v>
      </c>
      <c r="C1304">
        <v>42</v>
      </c>
      <c r="D1304" t="s">
        <v>78</v>
      </c>
      <c r="E1304" t="s">
        <v>34</v>
      </c>
      <c r="F1304" t="s">
        <v>35</v>
      </c>
      <c r="G1304">
        <v>35913</v>
      </c>
      <c r="H1304" t="s">
        <v>35</v>
      </c>
      <c r="I1304" t="s">
        <v>35</v>
      </c>
      <c r="J1304" t="s">
        <v>35</v>
      </c>
      <c r="K1304" t="s">
        <v>35</v>
      </c>
      <c r="L1304" t="s">
        <v>35</v>
      </c>
      <c r="M1304" t="s">
        <v>35</v>
      </c>
      <c r="N1304" t="s">
        <v>35</v>
      </c>
      <c r="O1304" t="s">
        <v>35</v>
      </c>
      <c r="P1304" t="s">
        <v>35</v>
      </c>
      <c r="Q1304" t="s">
        <v>35</v>
      </c>
      <c r="R1304" t="s">
        <v>35</v>
      </c>
      <c r="S1304" t="s">
        <v>35</v>
      </c>
      <c r="T1304" t="s">
        <v>35</v>
      </c>
      <c r="U1304" t="s">
        <v>35</v>
      </c>
      <c r="V1304" t="s">
        <v>35</v>
      </c>
      <c r="W1304" t="s">
        <v>35</v>
      </c>
      <c r="X1304" t="s">
        <v>35</v>
      </c>
      <c r="Y1304" t="s">
        <v>35</v>
      </c>
      <c r="Z1304" t="s">
        <v>35</v>
      </c>
      <c r="AA1304" t="s">
        <v>35</v>
      </c>
      <c r="AB1304" t="s">
        <v>35</v>
      </c>
      <c r="AC1304" t="s">
        <v>35</v>
      </c>
      <c r="AD1304" t="s">
        <v>35</v>
      </c>
      <c r="AE1304" t="s">
        <v>35</v>
      </c>
    </row>
    <row r="1305" spans="1:31" x14ac:dyDescent="0.2">
      <c r="A1305" t="s">
        <v>393</v>
      </c>
      <c r="B1305" t="s">
        <v>102</v>
      </c>
      <c r="C1305">
        <v>42</v>
      </c>
      <c r="D1305" t="s">
        <v>78</v>
      </c>
      <c r="E1305" t="s">
        <v>36</v>
      </c>
      <c r="F1305" t="s">
        <v>37</v>
      </c>
      <c r="G1305">
        <v>66815</v>
      </c>
      <c r="H1305">
        <v>0</v>
      </c>
      <c r="I1305">
        <v>0</v>
      </c>
      <c r="J1305">
        <v>1</v>
      </c>
      <c r="K1305">
        <v>0</v>
      </c>
      <c r="L1305" t="s">
        <v>35</v>
      </c>
      <c r="M1305" t="s">
        <v>35</v>
      </c>
      <c r="N1305" t="s">
        <v>35</v>
      </c>
      <c r="O1305" t="s">
        <v>35</v>
      </c>
      <c r="P1305" t="s">
        <v>35</v>
      </c>
      <c r="Q1305" t="s">
        <v>35</v>
      </c>
      <c r="R1305" t="s">
        <v>35</v>
      </c>
      <c r="S1305" t="s">
        <v>35</v>
      </c>
      <c r="T1305" t="s">
        <v>35</v>
      </c>
      <c r="U1305" t="s">
        <v>35</v>
      </c>
      <c r="V1305" t="s">
        <v>35</v>
      </c>
      <c r="W1305" t="s">
        <v>35</v>
      </c>
      <c r="X1305" t="s">
        <v>35</v>
      </c>
      <c r="Y1305" t="s">
        <v>35</v>
      </c>
      <c r="Z1305" t="s">
        <v>35</v>
      </c>
      <c r="AA1305" t="s">
        <v>35</v>
      </c>
      <c r="AB1305" t="s">
        <v>35</v>
      </c>
      <c r="AC1305" t="s">
        <v>35</v>
      </c>
      <c r="AD1305" t="s">
        <v>35</v>
      </c>
      <c r="AE1305" t="s">
        <v>35</v>
      </c>
    </row>
    <row r="1306" spans="1:31" x14ac:dyDescent="0.2">
      <c r="A1306" t="s">
        <v>393</v>
      </c>
      <c r="B1306" t="s">
        <v>102</v>
      </c>
      <c r="C1306">
        <v>42</v>
      </c>
      <c r="D1306" t="s">
        <v>78</v>
      </c>
      <c r="E1306" t="s">
        <v>36</v>
      </c>
      <c r="F1306" t="s">
        <v>38</v>
      </c>
      <c r="G1306">
        <v>40182</v>
      </c>
      <c r="H1306">
        <v>0</v>
      </c>
      <c r="I1306">
        <v>0</v>
      </c>
      <c r="J1306">
        <v>0</v>
      </c>
      <c r="K1306">
        <v>1</v>
      </c>
      <c r="L1306" t="s">
        <v>35</v>
      </c>
      <c r="M1306" t="s">
        <v>35</v>
      </c>
      <c r="N1306" t="s">
        <v>35</v>
      </c>
      <c r="O1306" t="s">
        <v>35</v>
      </c>
      <c r="P1306" t="s">
        <v>35</v>
      </c>
      <c r="Q1306" t="s">
        <v>35</v>
      </c>
      <c r="R1306" t="s">
        <v>35</v>
      </c>
      <c r="S1306" t="s">
        <v>35</v>
      </c>
      <c r="T1306" t="s">
        <v>35</v>
      </c>
      <c r="U1306" t="s">
        <v>35</v>
      </c>
      <c r="V1306" t="s">
        <v>35</v>
      </c>
      <c r="W1306" t="s">
        <v>35</v>
      </c>
      <c r="X1306" t="s">
        <v>35</v>
      </c>
      <c r="Y1306" t="s">
        <v>35</v>
      </c>
      <c r="Z1306" t="s">
        <v>35</v>
      </c>
      <c r="AA1306" t="s">
        <v>35</v>
      </c>
      <c r="AB1306" t="s">
        <v>35</v>
      </c>
      <c r="AC1306" t="s">
        <v>35</v>
      </c>
      <c r="AD1306" t="s">
        <v>35</v>
      </c>
      <c r="AE1306" t="s">
        <v>35</v>
      </c>
    </row>
    <row r="1307" spans="1:31" x14ac:dyDescent="0.2">
      <c r="A1307" t="s">
        <v>393</v>
      </c>
      <c r="B1307" t="s">
        <v>102</v>
      </c>
      <c r="C1307">
        <v>42</v>
      </c>
      <c r="D1307" t="s">
        <v>78</v>
      </c>
      <c r="E1307" t="s">
        <v>39</v>
      </c>
      <c r="F1307" t="s">
        <v>47</v>
      </c>
      <c r="G1307">
        <v>84955</v>
      </c>
      <c r="H1307">
        <v>0</v>
      </c>
      <c r="I1307">
        <v>0</v>
      </c>
      <c r="J1307">
        <v>1</v>
      </c>
      <c r="K1307">
        <v>0</v>
      </c>
      <c r="L1307" t="s">
        <v>80</v>
      </c>
      <c r="M1307" t="s">
        <v>79</v>
      </c>
      <c r="N1307" t="s">
        <v>49</v>
      </c>
      <c r="O1307" t="s">
        <v>67</v>
      </c>
      <c r="P1307" t="s">
        <v>45</v>
      </c>
      <c r="Q1307" t="s">
        <v>44</v>
      </c>
      <c r="R1307">
        <v>0</v>
      </c>
      <c r="S1307">
        <v>1</v>
      </c>
      <c r="T1307">
        <v>0</v>
      </c>
      <c r="U1307">
        <v>1</v>
      </c>
      <c r="V1307">
        <v>1</v>
      </c>
      <c r="W1307">
        <v>0</v>
      </c>
      <c r="X1307">
        <v>1</v>
      </c>
      <c r="Y1307">
        <v>0</v>
      </c>
      <c r="Z1307">
        <v>1</v>
      </c>
      <c r="AA1307">
        <v>0</v>
      </c>
      <c r="AB1307">
        <v>0</v>
      </c>
      <c r="AC1307">
        <v>0</v>
      </c>
      <c r="AD1307">
        <v>0</v>
      </c>
      <c r="AE1307">
        <v>0</v>
      </c>
    </row>
    <row r="1308" spans="1:31" x14ac:dyDescent="0.2">
      <c r="A1308" t="s">
        <v>393</v>
      </c>
      <c r="B1308" t="s">
        <v>102</v>
      </c>
      <c r="C1308">
        <v>42</v>
      </c>
      <c r="D1308" t="s">
        <v>78</v>
      </c>
      <c r="E1308" t="s">
        <v>39</v>
      </c>
      <c r="F1308" t="s">
        <v>40</v>
      </c>
      <c r="G1308">
        <v>35554</v>
      </c>
      <c r="H1308">
        <v>1</v>
      </c>
      <c r="I1308">
        <v>0</v>
      </c>
      <c r="J1308">
        <v>0</v>
      </c>
      <c r="K1308">
        <v>0</v>
      </c>
      <c r="L1308" t="s">
        <v>41</v>
      </c>
      <c r="M1308" t="s">
        <v>43</v>
      </c>
      <c r="N1308" t="s">
        <v>82</v>
      </c>
      <c r="O1308" t="s">
        <v>44</v>
      </c>
      <c r="P1308" t="s">
        <v>46</v>
      </c>
      <c r="Q1308" t="s">
        <v>68</v>
      </c>
      <c r="R1308">
        <v>1</v>
      </c>
      <c r="S1308">
        <v>1</v>
      </c>
      <c r="T1308">
        <v>1</v>
      </c>
      <c r="U1308">
        <v>0</v>
      </c>
      <c r="V1308">
        <v>0</v>
      </c>
      <c r="W1308">
        <v>0</v>
      </c>
      <c r="X1308">
        <v>1</v>
      </c>
      <c r="Y1308">
        <v>0</v>
      </c>
      <c r="Z1308">
        <v>1</v>
      </c>
      <c r="AA1308">
        <v>0</v>
      </c>
      <c r="AB1308">
        <v>0</v>
      </c>
      <c r="AC1308">
        <v>0</v>
      </c>
      <c r="AD1308">
        <v>0</v>
      </c>
      <c r="AE1308">
        <v>0</v>
      </c>
    </row>
    <row r="1309" spans="1:31" x14ac:dyDescent="0.2">
      <c r="A1309" t="s">
        <v>393</v>
      </c>
      <c r="B1309" t="s">
        <v>102</v>
      </c>
      <c r="C1309">
        <v>42</v>
      </c>
      <c r="D1309" t="s">
        <v>78</v>
      </c>
      <c r="E1309" t="s">
        <v>52</v>
      </c>
      <c r="F1309" t="s">
        <v>53</v>
      </c>
      <c r="G1309">
        <v>57646</v>
      </c>
      <c r="H1309">
        <v>0</v>
      </c>
      <c r="I1309">
        <v>1</v>
      </c>
      <c r="J1309">
        <v>0</v>
      </c>
      <c r="K1309">
        <v>0</v>
      </c>
      <c r="L1309" t="s">
        <v>35</v>
      </c>
      <c r="M1309" t="s">
        <v>35</v>
      </c>
      <c r="N1309" t="s">
        <v>35</v>
      </c>
      <c r="O1309" t="s">
        <v>35</v>
      </c>
      <c r="P1309" t="s">
        <v>35</v>
      </c>
      <c r="Q1309" t="s">
        <v>35</v>
      </c>
      <c r="R1309" t="s">
        <v>35</v>
      </c>
      <c r="S1309">
        <v>1</v>
      </c>
      <c r="T1309">
        <v>1</v>
      </c>
      <c r="U1309">
        <v>0</v>
      </c>
      <c r="V1309">
        <v>0</v>
      </c>
      <c r="W1309">
        <v>0</v>
      </c>
      <c r="X1309">
        <v>1</v>
      </c>
      <c r="Y1309">
        <v>0</v>
      </c>
      <c r="Z1309">
        <v>1</v>
      </c>
      <c r="AA1309">
        <v>0</v>
      </c>
      <c r="AB1309">
        <v>0</v>
      </c>
      <c r="AC1309">
        <v>0</v>
      </c>
      <c r="AD1309">
        <v>0</v>
      </c>
      <c r="AE1309">
        <v>0</v>
      </c>
    </row>
    <row r="1310" spans="1:31" x14ac:dyDescent="0.2">
      <c r="A1310" t="s">
        <v>393</v>
      </c>
      <c r="B1310" t="s">
        <v>102</v>
      </c>
      <c r="C1310">
        <v>42</v>
      </c>
      <c r="D1310" t="s">
        <v>78</v>
      </c>
      <c r="E1310" t="s">
        <v>39</v>
      </c>
      <c r="F1310" t="s">
        <v>54</v>
      </c>
      <c r="G1310">
        <v>55757</v>
      </c>
      <c r="H1310">
        <v>1</v>
      </c>
      <c r="I1310">
        <v>1</v>
      </c>
      <c r="J1310">
        <v>1</v>
      </c>
      <c r="K1310">
        <v>0</v>
      </c>
      <c r="L1310" t="s">
        <v>55</v>
      </c>
      <c r="M1310" t="s">
        <v>89</v>
      </c>
      <c r="N1310" t="s">
        <v>122</v>
      </c>
      <c r="O1310" t="s">
        <v>44</v>
      </c>
      <c r="P1310" t="s">
        <v>67</v>
      </c>
      <c r="Q1310" t="s">
        <v>68</v>
      </c>
      <c r="R1310">
        <v>1</v>
      </c>
      <c r="S1310">
        <v>1</v>
      </c>
      <c r="T1310">
        <v>0</v>
      </c>
      <c r="U1310">
        <v>1</v>
      </c>
      <c r="V1310">
        <v>0</v>
      </c>
      <c r="W1310">
        <v>0</v>
      </c>
      <c r="X1310">
        <v>1</v>
      </c>
      <c r="Y1310">
        <v>1</v>
      </c>
      <c r="Z1310">
        <v>1</v>
      </c>
      <c r="AA1310">
        <v>0</v>
      </c>
      <c r="AB1310">
        <v>1</v>
      </c>
      <c r="AC1310">
        <v>0</v>
      </c>
      <c r="AD1310">
        <v>0</v>
      </c>
      <c r="AE1310">
        <v>0</v>
      </c>
    </row>
    <row r="1311" spans="1:31" x14ac:dyDescent="0.2">
      <c r="A1311" t="s">
        <v>393</v>
      </c>
      <c r="B1311" t="s">
        <v>102</v>
      </c>
      <c r="C1311">
        <v>42</v>
      </c>
      <c r="D1311" t="s">
        <v>78</v>
      </c>
      <c r="E1311" t="s">
        <v>52</v>
      </c>
      <c r="F1311" t="s">
        <v>74</v>
      </c>
      <c r="G1311">
        <v>31505</v>
      </c>
      <c r="H1311">
        <v>1</v>
      </c>
      <c r="I1311">
        <v>0</v>
      </c>
      <c r="J1311">
        <v>0</v>
      </c>
      <c r="K1311">
        <v>0</v>
      </c>
      <c r="L1311" t="s">
        <v>35</v>
      </c>
      <c r="M1311" t="s">
        <v>35</v>
      </c>
      <c r="N1311" t="s">
        <v>35</v>
      </c>
      <c r="O1311" t="s">
        <v>35</v>
      </c>
      <c r="P1311" t="s">
        <v>35</v>
      </c>
      <c r="Q1311" t="s">
        <v>35</v>
      </c>
      <c r="R1311" t="s">
        <v>35</v>
      </c>
      <c r="S1311">
        <v>1</v>
      </c>
      <c r="T1311">
        <v>0</v>
      </c>
      <c r="U1311">
        <v>1</v>
      </c>
      <c r="V1311">
        <v>0</v>
      </c>
      <c r="W1311">
        <v>0</v>
      </c>
      <c r="X1311">
        <v>1</v>
      </c>
      <c r="Y1311">
        <v>1</v>
      </c>
      <c r="Z1311">
        <v>1</v>
      </c>
      <c r="AA1311">
        <v>0</v>
      </c>
      <c r="AB1311">
        <v>1</v>
      </c>
      <c r="AC1311">
        <v>0</v>
      </c>
      <c r="AD1311">
        <v>0</v>
      </c>
      <c r="AE1311">
        <v>0</v>
      </c>
    </row>
    <row r="1312" spans="1:31" x14ac:dyDescent="0.2">
      <c r="A1312" t="s">
        <v>393</v>
      </c>
      <c r="B1312" t="s">
        <v>102</v>
      </c>
      <c r="C1312">
        <v>42</v>
      </c>
      <c r="D1312" t="s">
        <v>78</v>
      </c>
      <c r="E1312" t="s">
        <v>39</v>
      </c>
      <c r="F1312" t="s">
        <v>59</v>
      </c>
      <c r="G1312">
        <v>22466</v>
      </c>
      <c r="H1312">
        <v>0</v>
      </c>
      <c r="I1312">
        <v>0</v>
      </c>
      <c r="J1312">
        <v>0</v>
      </c>
      <c r="K1312">
        <v>1</v>
      </c>
      <c r="L1312" t="s">
        <v>61</v>
      </c>
      <c r="M1312" t="s">
        <v>83</v>
      </c>
      <c r="N1312" t="s">
        <v>62</v>
      </c>
      <c r="O1312" t="s">
        <v>46</v>
      </c>
      <c r="P1312" t="s">
        <v>51</v>
      </c>
      <c r="Q1312" t="s">
        <v>45</v>
      </c>
      <c r="R1312">
        <v>0</v>
      </c>
      <c r="S1312">
        <v>0</v>
      </c>
      <c r="T1312">
        <v>1</v>
      </c>
      <c r="U1312">
        <v>0</v>
      </c>
      <c r="V1312">
        <v>1</v>
      </c>
      <c r="W1312">
        <v>0</v>
      </c>
      <c r="X1312">
        <v>1</v>
      </c>
      <c r="Y1312">
        <v>0</v>
      </c>
      <c r="Z1312">
        <v>0</v>
      </c>
      <c r="AA1312">
        <v>0</v>
      </c>
      <c r="AB1312">
        <v>0</v>
      </c>
      <c r="AC1312">
        <v>0</v>
      </c>
      <c r="AD1312">
        <v>0</v>
      </c>
      <c r="AE1312">
        <v>1</v>
      </c>
    </row>
    <row r="1313" spans="1:31" x14ac:dyDescent="0.2">
      <c r="A1313" t="s">
        <v>393</v>
      </c>
      <c r="B1313" t="s">
        <v>102</v>
      </c>
      <c r="C1313">
        <v>42</v>
      </c>
      <c r="D1313" t="s">
        <v>78</v>
      </c>
      <c r="E1313" t="s">
        <v>39</v>
      </c>
      <c r="F1313" t="s">
        <v>63</v>
      </c>
      <c r="G1313">
        <v>15165</v>
      </c>
      <c r="H1313">
        <v>1</v>
      </c>
      <c r="I1313">
        <v>0</v>
      </c>
      <c r="J1313">
        <v>0</v>
      </c>
      <c r="K1313">
        <v>0</v>
      </c>
      <c r="L1313" t="s">
        <v>65</v>
      </c>
      <c r="M1313" t="s">
        <v>84</v>
      </c>
      <c r="N1313" t="s">
        <v>66</v>
      </c>
      <c r="O1313" t="s">
        <v>68</v>
      </c>
      <c r="P1313" t="s">
        <v>46</v>
      </c>
      <c r="Q1313" t="s">
        <v>45</v>
      </c>
      <c r="R1313">
        <v>1</v>
      </c>
      <c r="S1313">
        <v>0</v>
      </c>
      <c r="T1313">
        <v>1</v>
      </c>
      <c r="U1313">
        <v>0</v>
      </c>
      <c r="V1313">
        <v>1</v>
      </c>
      <c r="W1313">
        <v>0</v>
      </c>
      <c r="X1313">
        <v>1</v>
      </c>
      <c r="Y1313">
        <v>1</v>
      </c>
      <c r="Z1313">
        <v>0</v>
      </c>
      <c r="AA1313">
        <v>0</v>
      </c>
      <c r="AB1313">
        <v>0</v>
      </c>
      <c r="AC1313">
        <v>0</v>
      </c>
      <c r="AD1313">
        <v>0</v>
      </c>
      <c r="AE1313">
        <v>0</v>
      </c>
    </row>
    <row r="1314" spans="1:31" x14ac:dyDescent="0.2">
      <c r="A1314" t="s">
        <v>393</v>
      </c>
      <c r="B1314" t="s">
        <v>102</v>
      </c>
      <c r="C1314">
        <v>42</v>
      </c>
      <c r="D1314" t="s">
        <v>78</v>
      </c>
      <c r="E1314" t="s">
        <v>52</v>
      </c>
      <c r="F1314" t="s">
        <v>58</v>
      </c>
      <c r="G1314">
        <v>25788</v>
      </c>
      <c r="H1314">
        <v>1</v>
      </c>
      <c r="I1314">
        <v>1</v>
      </c>
      <c r="J1314">
        <v>0</v>
      </c>
      <c r="K1314">
        <v>0</v>
      </c>
      <c r="L1314" t="s">
        <v>35</v>
      </c>
      <c r="M1314" t="s">
        <v>35</v>
      </c>
      <c r="N1314" t="s">
        <v>35</v>
      </c>
      <c r="O1314" t="s">
        <v>35</v>
      </c>
      <c r="P1314" t="s">
        <v>35</v>
      </c>
      <c r="Q1314" t="s">
        <v>35</v>
      </c>
      <c r="R1314" t="s">
        <v>35</v>
      </c>
      <c r="S1314">
        <v>0</v>
      </c>
      <c r="T1314">
        <v>1</v>
      </c>
      <c r="U1314">
        <v>0</v>
      </c>
      <c r="V1314">
        <v>1</v>
      </c>
      <c r="W1314">
        <v>0</v>
      </c>
      <c r="X1314">
        <v>1</v>
      </c>
      <c r="Y1314">
        <v>1</v>
      </c>
      <c r="Z1314">
        <v>0</v>
      </c>
      <c r="AA1314">
        <v>0</v>
      </c>
      <c r="AB1314">
        <v>0</v>
      </c>
      <c r="AC1314">
        <v>0</v>
      </c>
      <c r="AD1314">
        <v>0</v>
      </c>
      <c r="AE1314">
        <v>0</v>
      </c>
    </row>
    <row r="1315" spans="1:31" x14ac:dyDescent="0.2">
      <c r="A1315" t="s">
        <v>393</v>
      </c>
      <c r="B1315" t="s">
        <v>102</v>
      </c>
      <c r="C1315">
        <v>42</v>
      </c>
      <c r="D1315" t="s">
        <v>78</v>
      </c>
      <c r="E1315" t="s">
        <v>39</v>
      </c>
      <c r="F1315" t="s">
        <v>70</v>
      </c>
      <c r="G1315">
        <v>10231</v>
      </c>
      <c r="H1315">
        <v>0</v>
      </c>
      <c r="I1315">
        <v>1</v>
      </c>
      <c r="J1315">
        <v>0</v>
      </c>
      <c r="K1315">
        <v>0</v>
      </c>
      <c r="L1315" t="s">
        <v>71</v>
      </c>
      <c r="M1315" t="s">
        <v>72</v>
      </c>
      <c r="N1315" t="s">
        <v>93</v>
      </c>
      <c r="O1315" t="s">
        <v>45</v>
      </c>
      <c r="P1315" t="s">
        <v>67</v>
      </c>
      <c r="Q1315" t="s">
        <v>68</v>
      </c>
      <c r="R1315">
        <v>1</v>
      </c>
      <c r="S1315">
        <v>0</v>
      </c>
      <c r="T1315">
        <v>0</v>
      </c>
      <c r="U1315">
        <v>1</v>
      </c>
      <c r="V1315">
        <v>1</v>
      </c>
      <c r="W1315">
        <v>0</v>
      </c>
      <c r="X1315">
        <v>1</v>
      </c>
      <c r="Y1315">
        <v>0</v>
      </c>
      <c r="Z1315">
        <v>0</v>
      </c>
      <c r="AA1315">
        <v>0</v>
      </c>
      <c r="AB1315">
        <v>1</v>
      </c>
      <c r="AC1315">
        <v>0</v>
      </c>
      <c r="AD1315">
        <v>0</v>
      </c>
      <c r="AE1315">
        <v>0</v>
      </c>
    </row>
    <row r="1316" spans="1:31" x14ac:dyDescent="0.2">
      <c r="A1316" t="s">
        <v>393</v>
      </c>
      <c r="B1316" t="s">
        <v>102</v>
      </c>
      <c r="C1316">
        <v>42</v>
      </c>
      <c r="D1316" t="s">
        <v>78</v>
      </c>
      <c r="E1316" t="s">
        <v>52</v>
      </c>
      <c r="F1316" t="s">
        <v>69</v>
      </c>
      <c r="G1316">
        <v>38442</v>
      </c>
      <c r="H1316">
        <v>0</v>
      </c>
      <c r="I1316">
        <v>0</v>
      </c>
      <c r="J1316">
        <v>1</v>
      </c>
      <c r="K1316">
        <v>0</v>
      </c>
      <c r="L1316" t="s">
        <v>35</v>
      </c>
      <c r="M1316" t="s">
        <v>35</v>
      </c>
      <c r="N1316" t="s">
        <v>35</v>
      </c>
      <c r="O1316" t="s">
        <v>35</v>
      </c>
      <c r="P1316" t="s">
        <v>35</v>
      </c>
      <c r="Q1316" t="s">
        <v>35</v>
      </c>
      <c r="R1316" t="s">
        <v>35</v>
      </c>
      <c r="S1316">
        <v>0</v>
      </c>
      <c r="T1316">
        <v>0</v>
      </c>
      <c r="U1316">
        <v>1</v>
      </c>
      <c r="V1316">
        <v>1</v>
      </c>
      <c r="W1316">
        <v>0</v>
      </c>
      <c r="X1316">
        <v>1</v>
      </c>
      <c r="Y1316">
        <v>0</v>
      </c>
      <c r="Z1316">
        <v>0</v>
      </c>
      <c r="AA1316">
        <v>0</v>
      </c>
      <c r="AB1316">
        <v>1</v>
      </c>
      <c r="AC1316">
        <v>0</v>
      </c>
      <c r="AD1316">
        <v>0</v>
      </c>
      <c r="AE1316">
        <v>0</v>
      </c>
    </row>
    <row r="1317" spans="1:31" x14ac:dyDescent="0.2">
      <c r="A1317" t="s">
        <v>393</v>
      </c>
      <c r="B1317" t="s">
        <v>102</v>
      </c>
      <c r="C1317">
        <v>42</v>
      </c>
      <c r="D1317" t="s">
        <v>78</v>
      </c>
      <c r="E1317" t="s">
        <v>75</v>
      </c>
      <c r="F1317" t="s">
        <v>35</v>
      </c>
      <c r="G1317">
        <v>52553</v>
      </c>
      <c r="H1317" t="s">
        <v>394</v>
      </c>
      <c r="I1317" t="s">
        <v>395</v>
      </c>
      <c r="J1317" t="s">
        <v>396</v>
      </c>
      <c r="K1317" t="s">
        <v>35</v>
      </c>
      <c r="L1317" t="s">
        <v>35</v>
      </c>
      <c r="M1317" t="s">
        <v>35</v>
      </c>
      <c r="N1317" t="s">
        <v>35</v>
      </c>
      <c r="O1317" t="s">
        <v>35</v>
      </c>
      <c r="P1317" t="s">
        <v>35</v>
      </c>
      <c r="Q1317" t="s">
        <v>35</v>
      </c>
      <c r="R1317" t="s">
        <v>35</v>
      </c>
      <c r="S1317" t="s">
        <v>35</v>
      </c>
      <c r="T1317" t="s">
        <v>35</v>
      </c>
      <c r="U1317" t="s">
        <v>35</v>
      </c>
      <c r="V1317" t="s">
        <v>35</v>
      </c>
      <c r="W1317" t="s">
        <v>35</v>
      </c>
      <c r="X1317" t="s">
        <v>35</v>
      </c>
      <c r="Y1317" t="s">
        <v>35</v>
      </c>
      <c r="Z1317" t="s">
        <v>35</v>
      </c>
      <c r="AA1317" t="s">
        <v>35</v>
      </c>
      <c r="AB1317" t="s">
        <v>35</v>
      </c>
      <c r="AC1317" t="s">
        <v>35</v>
      </c>
      <c r="AD1317" t="s">
        <v>35</v>
      </c>
      <c r="AE1317" t="s">
        <v>35</v>
      </c>
    </row>
    <row r="1318" spans="1:31" x14ac:dyDescent="0.2">
      <c r="A1318" t="s">
        <v>397</v>
      </c>
      <c r="B1318" t="s">
        <v>102</v>
      </c>
      <c r="C1318">
        <v>50</v>
      </c>
      <c r="D1318" t="s">
        <v>78</v>
      </c>
      <c r="E1318" t="s">
        <v>34</v>
      </c>
      <c r="F1318" t="s">
        <v>35</v>
      </c>
      <c r="G1318">
        <v>111334</v>
      </c>
      <c r="H1318" t="s">
        <v>35</v>
      </c>
      <c r="I1318" t="s">
        <v>35</v>
      </c>
      <c r="J1318" t="s">
        <v>35</v>
      </c>
      <c r="K1318" t="s">
        <v>35</v>
      </c>
      <c r="L1318" t="s">
        <v>35</v>
      </c>
      <c r="M1318" t="s">
        <v>35</v>
      </c>
      <c r="N1318" t="s">
        <v>35</v>
      </c>
      <c r="O1318" t="s">
        <v>35</v>
      </c>
      <c r="P1318" t="s">
        <v>35</v>
      </c>
      <c r="Q1318" t="s">
        <v>35</v>
      </c>
      <c r="R1318" t="s">
        <v>35</v>
      </c>
      <c r="S1318" t="s">
        <v>35</v>
      </c>
      <c r="T1318" t="s">
        <v>35</v>
      </c>
      <c r="U1318" t="s">
        <v>35</v>
      </c>
      <c r="V1318" t="s">
        <v>35</v>
      </c>
      <c r="W1318" t="s">
        <v>35</v>
      </c>
      <c r="X1318" t="s">
        <v>35</v>
      </c>
      <c r="Y1318" t="s">
        <v>35</v>
      </c>
      <c r="Z1318" t="s">
        <v>35</v>
      </c>
      <c r="AA1318" t="s">
        <v>35</v>
      </c>
      <c r="AB1318" t="s">
        <v>35</v>
      </c>
      <c r="AC1318" t="s">
        <v>35</v>
      </c>
      <c r="AD1318" t="s">
        <v>35</v>
      </c>
      <c r="AE1318" t="s">
        <v>35</v>
      </c>
    </row>
    <row r="1319" spans="1:31" x14ac:dyDescent="0.2">
      <c r="A1319" t="s">
        <v>397</v>
      </c>
      <c r="B1319" t="s">
        <v>102</v>
      </c>
      <c r="C1319">
        <v>50</v>
      </c>
      <c r="D1319" t="s">
        <v>78</v>
      </c>
      <c r="E1319" t="s">
        <v>36</v>
      </c>
      <c r="F1319" t="s">
        <v>38</v>
      </c>
      <c r="G1319">
        <v>35642</v>
      </c>
      <c r="H1319">
        <v>0</v>
      </c>
      <c r="I1319">
        <v>0</v>
      </c>
      <c r="J1319">
        <v>0</v>
      </c>
      <c r="K1319">
        <v>1</v>
      </c>
      <c r="L1319" t="s">
        <v>35</v>
      </c>
      <c r="M1319" t="s">
        <v>35</v>
      </c>
      <c r="N1319" t="s">
        <v>35</v>
      </c>
      <c r="O1319" t="s">
        <v>35</v>
      </c>
      <c r="P1319" t="s">
        <v>35</v>
      </c>
      <c r="Q1319" t="s">
        <v>35</v>
      </c>
      <c r="R1319" t="s">
        <v>35</v>
      </c>
      <c r="S1319" t="s">
        <v>35</v>
      </c>
      <c r="T1319" t="s">
        <v>35</v>
      </c>
      <c r="U1319" t="s">
        <v>35</v>
      </c>
      <c r="V1319" t="s">
        <v>35</v>
      </c>
      <c r="W1319" t="s">
        <v>35</v>
      </c>
      <c r="X1319" t="s">
        <v>35</v>
      </c>
      <c r="Y1319" t="s">
        <v>35</v>
      </c>
      <c r="Z1319" t="s">
        <v>35</v>
      </c>
      <c r="AA1319" t="s">
        <v>35</v>
      </c>
      <c r="AB1319" t="s">
        <v>35</v>
      </c>
      <c r="AC1319" t="s">
        <v>35</v>
      </c>
      <c r="AD1319" t="s">
        <v>35</v>
      </c>
      <c r="AE1319" t="s">
        <v>35</v>
      </c>
    </row>
    <row r="1320" spans="1:31" x14ac:dyDescent="0.2">
      <c r="A1320" t="s">
        <v>397</v>
      </c>
      <c r="B1320" t="s">
        <v>102</v>
      </c>
      <c r="C1320">
        <v>50</v>
      </c>
      <c r="D1320" t="s">
        <v>78</v>
      </c>
      <c r="E1320" t="s">
        <v>36</v>
      </c>
      <c r="F1320" t="s">
        <v>37</v>
      </c>
      <c r="G1320">
        <v>36793</v>
      </c>
      <c r="H1320">
        <v>0</v>
      </c>
      <c r="I1320">
        <v>0</v>
      </c>
      <c r="J1320">
        <v>1</v>
      </c>
      <c r="K1320">
        <v>0</v>
      </c>
      <c r="L1320" t="s">
        <v>35</v>
      </c>
      <c r="M1320" t="s">
        <v>35</v>
      </c>
      <c r="N1320" t="s">
        <v>35</v>
      </c>
      <c r="O1320" t="s">
        <v>35</v>
      </c>
      <c r="P1320" t="s">
        <v>35</v>
      </c>
      <c r="Q1320" t="s">
        <v>35</v>
      </c>
      <c r="R1320" t="s">
        <v>35</v>
      </c>
      <c r="S1320" t="s">
        <v>35</v>
      </c>
      <c r="T1320" t="s">
        <v>35</v>
      </c>
      <c r="U1320" t="s">
        <v>35</v>
      </c>
      <c r="V1320" t="s">
        <v>35</v>
      </c>
      <c r="W1320" t="s">
        <v>35</v>
      </c>
      <c r="X1320" t="s">
        <v>35</v>
      </c>
      <c r="Y1320" t="s">
        <v>35</v>
      </c>
      <c r="Z1320" t="s">
        <v>35</v>
      </c>
      <c r="AA1320" t="s">
        <v>35</v>
      </c>
      <c r="AB1320" t="s">
        <v>35</v>
      </c>
      <c r="AC1320" t="s">
        <v>35</v>
      </c>
      <c r="AD1320" t="s">
        <v>35</v>
      </c>
      <c r="AE1320" t="s">
        <v>35</v>
      </c>
    </row>
    <row r="1321" spans="1:31" x14ac:dyDescent="0.2">
      <c r="A1321" t="s">
        <v>397</v>
      </c>
      <c r="B1321" t="s">
        <v>102</v>
      </c>
      <c r="C1321">
        <v>50</v>
      </c>
      <c r="D1321" t="s">
        <v>78</v>
      </c>
      <c r="E1321" t="s">
        <v>39</v>
      </c>
      <c r="F1321" t="s">
        <v>59</v>
      </c>
      <c r="G1321">
        <v>221678</v>
      </c>
      <c r="H1321">
        <v>1</v>
      </c>
      <c r="I1321">
        <v>1</v>
      </c>
      <c r="J1321">
        <v>1</v>
      </c>
      <c r="K1321">
        <v>0</v>
      </c>
      <c r="L1321" t="s">
        <v>61</v>
      </c>
      <c r="M1321" t="s">
        <v>62</v>
      </c>
      <c r="N1321" t="s">
        <v>60</v>
      </c>
      <c r="O1321" t="s">
        <v>46</v>
      </c>
      <c r="P1321" t="s">
        <v>45</v>
      </c>
      <c r="Q1321" t="s">
        <v>44</v>
      </c>
      <c r="R1321">
        <v>0</v>
      </c>
      <c r="S1321">
        <v>1</v>
      </c>
      <c r="T1321">
        <v>1</v>
      </c>
      <c r="U1321">
        <v>0</v>
      </c>
      <c r="V1321">
        <v>1</v>
      </c>
      <c r="W1321">
        <v>0</v>
      </c>
      <c r="X1321">
        <v>1</v>
      </c>
      <c r="Y1321">
        <v>0</v>
      </c>
      <c r="Z1321">
        <v>1</v>
      </c>
      <c r="AA1321">
        <v>1</v>
      </c>
      <c r="AB1321">
        <v>0</v>
      </c>
      <c r="AC1321">
        <v>1</v>
      </c>
      <c r="AD1321">
        <v>0</v>
      </c>
      <c r="AE1321">
        <v>0</v>
      </c>
    </row>
    <row r="1322" spans="1:31" x14ac:dyDescent="0.2">
      <c r="A1322" t="s">
        <v>397</v>
      </c>
      <c r="B1322" t="s">
        <v>102</v>
      </c>
      <c r="C1322">
        <v>50</v>
      </c>
      <c r="D1322" t="s">
        <v>78</v>
      </c>
      <c r="E1322" t="s">
        <v>39</v>
      </c>
      <c r="F1322" t="s">
        <v>54</v>
      </c>
      <c r="G1322">
        <v>25194</v>
      </c>
      <c r="H1322">
        <v>0</v>
      </c>
      <c r="I1322">
        <v>1</v>
      </c>
      <c r="J1322">
        <v>1</v>
      </c>
      <c r="K1322">
        <v>0</v>
      </c>
      <c r="L1322" t="s">
        <v>88</v>
      </c>
      <c r="M1322" t="s">
        <v>89</v>
      </c>
      <c r="N1322" t="s">
        <v>55</v>
      </c>
      <c r="O1322" t="s">
        <v>51</v>
      </c>
      <c r="P1322" t="s">
        <v>67</v>
      </c>
      <c r="Q1322" t="s">
        <v>44</v>
      </c>
      <c r="R1322">
        <v>0</v>
      </c>
      <c r="S1322">
        <v>1</v>
      </c>
      <c r="T1322">
        <v>0</v>
      </c>
      <c r="U1322">
        <v>1</v>
      </c>
      <c r="V1322">
        <v>0</v>
      </c>
      <c r="W1322">
        <v>0</v>
      </c>
      <c r="X1322">
        <v>1</v>
      </c>
      <c r="Y1322">
        <v>0</v>
      </c>
      <c r="Z1322">
        <v>1</v>
      </c>
      <c r="AA1322">
        <v>0</v>
      </c>
      <c r="AB1322">
        <v>1</v>
      </c>
      <c r="AC1322">
        <v>0</v>
      </c>
      <c r="AD1322">
        <v>0</v>
      </c>
      <c r="AE1322">
        <v>0</v>
      </c>
    </row>
    <row r="1323" spans="1:31" x14ac:dyDescent="0.2">
      <c r="A1323" t="s">
        <v>397</v>
      </c>
      <c r="B1323" t="s">
        <v>102</v>
      </c>
      <c r="C1323">
        <v>50</v>
      </c>
      <c r="D1323" t="s">
        <v>78</v>
      </c>
      <c r="E1323" t="s">
        <v>52</v>
      </c>
      <c r="F1323" t="s">
        <v>53</v>
      </c>
      <c r="G1323">
        <v>96625</v>
      </c>
      <c r="H1323">
        <v>0</v>
      </c>
      <c r="I1323">
        <v>0</v>
      </c>
      <c r="J1323">
        <v>0</v>
      </c>
      <c r="K1323">
        <v>1</v>
      </c>
      <c r="L1323" t="s">
        <v>35</v>
      </c>
      <c r="M1323" t="s">
        <v>35</v>
      </c>
      <c r="N1323" t="s">
        <v>35</v>
      </c>
      <c r="O1323" t="s">
        <v>35</v>
      </c>
      <c r="P1323" t="s">
        <v>35</v>
      </c>
      <c r="Q1323" t="s">
        <v>35</v>
      </c>
      <c r="R1323" t="s">
        <v>35</v>
      </c>
      <c r="S1323">
        <v>1</v>
      </c>
      <c r="T1323">
        <v>0</v>
      </c>
      <c r="U1323">
        <v>1</v>
      </c>
      <c r="V1323">
        <v>0</v>
      </c>
      <c r="W1323">
        <v>0</v>
      </c>
      <c r="X1323">
        <v>1</v>
      </c>
      <c r="Y1323">
        <v>0</v>
      </c>
      <c r="Z1323">
        <v>1</v>
      </c>
      <c r="AA1323">
        <v>0</v>
      </c>
      <c r="AB1323">
        <v>1</v>
      </c>
      <c r="AC1323">
        <v>0</v>
      </c>
      <c r="AD1323">
        <v>0</v>
      </c>
      <c r="AE1323">
        <v>0</v>
      </c>
    </row>
    <row r="1324" spans="1:31" x14ac:dyDescent="0.2">
      <c r="A1324" t="s">
        <v>397</v>
      </c>
      <c r="B1324" t="s">
        <v>102</v>
      </c>
      <c r="C1324">
        <v>50</v>
      </c>
      <c r="D1324" t="s">
        <v>78</v>
      </c>
      <c r="E1324" t="s">
        <v>39</v>
      </c>
      <c r="F1324" t="s">
        <v>70</v>
      </c>
      <c r="G1324">
        <v>20552</v>
      </c>
      <c r="H1324">
        <v>0</v>
      </c>
      <c r="I1324">
        <v>1</v>
      </c>
      <c r="J1324">
        <v>0</v>
      </c>
      <c r="K1324">
        <v>0</v>
      </c>
      <c r="L1324" t="s">
        <v>86</v>
      </c>
      <c r="M1324" t="s">
        <v>73</v>
      </c>
      <c r="N1324" t="s">
        <v>71</v>
      </c>
      <c r="O1324" t="s">
        <v>46</v>
      </c>
      <c r="P1324" t="s">
        <v>44</v>
      </c>
      <c r="Q1324" t="s">
        <v>45</v>
      </c>
      <c r="R1324">
        <v>0</v>
      </c>
      <c r="S1324">
        <v>1</v>
      </c>
      <c r="T1324">
        <v>1</v>
      </c>
      <c r="U1324">
        <v>0</v>
      </c>
      <c r="V1324">
        <v>1</v>
      </c>
      <c r="W1324">
        <v>0</v>
      </c>
      <c r="X1324">
        <v>1</v>
      </c>
      <c r="Y1324">
        <v>0</v>
      </c>
      <c r="Z1324">
        <v>1</v>
      </c>
      <c r="AA1324">
        <v>0</v>
      </c>
      <c r="AB1324">
        <v>0</v>
      </c>
      <c r="AC1324">
        <v>0</v>
      </c>
      <c r="AD1324">
        <v>0</v>
      </c>
      <c r="AE1324">
        <v>0</v>
      </c>
    </row>
    <row r="1325" spans="1:31" x14ac:dyDescent="0.2">
      <c r="A1325" t="s">
        <v>397</v>
      </c>
      <c r="B1325" t="s">
        <v>102</v>
      </c>
      <c r="C1325">
        <v>50</v>
      </c>
      <c r="D1325" t="s">
        <v>78</v>
      </c>
      <c r="E1325" t="s">
        <v>39</v>
      </c>
      <c r="F1325" t="s">
        <v>47</v>
      </c>
      <c r="G1325">
        <v>27240</v>
      </c>
      <c r="H1325">
        <v>0</v>
      </c>
      <c r="I1325">
        <v>0</v>
      </c>
      <c r="J1325">
        <v>0</v>
      </c>
      <c r="K1325">
        <v>1</v>
      </c>
      <c r="L1325" t="s">
        <v>79</v>
      </c>
      <c r="M1325" t="s">
        <v>48</v>
      </c>
      <c r="N1325" t="s">
        <v>95</v>
      </c>
      <c r="O1325" t="s">
        <v>45</v>
      </c>
      <c r="P1325" t="s">
        <v>46</v>
      </c>
      <c r="Q1325" t="s">
        <v>68</v>
      </c>
      <c r="R1325">
        <v>1</v>
      </c>
      <c r="S1325">
        <v>0</v>
      </c>
      <c r="T1325">
        <v>1</v>
      </c>
      <c r="U1325">
        <v>0</v>
      </c>
      <c r="V1325">
        <v>1</v>
      </c>
      <c r="W1325">
        <v>0</v>
      </c>
      <c r="X1325">
        <v>1</v>
      </c>
      <c r="Y1325">
        <v>0</v>
      </c>
      <c r="Z1325">
        <v>0</v>
      </c>
      <c r="AA1325">
        <v>0</v>
      </c>
      <c r="AB1325">
        <v>0</v>
      </c>
      <c r="AC1325">
        <v>0</v>
      </c>
      <c r="AD1325">
        <v>0</v>
      </c>
      <c r="AE1325">
        <v>1</v>
      </c>
    </row>
    <row r="1326" spans="1:31" x14ac:dyDescent="0.2">
      <c r="A1326" t="s">
        <v>397</v>
      </c>
      <c r="B1326" t="s">
        <v>102</v>
      </c>
      <c r="C1326">
        <v>50</v>
      </c>
      <c r="D1326" t="s">
        <v>78</v>
      </c>
      <c r="E1326" t="s">
        <v>52</v>
      </c>
      <c r="F1326" t="s">
        <v>74</v>
      </c>
      <c r="G1326">
        <v>15157</v>
      </c>
      <c r="H1326">
        <v>1</v>
      </c>
      <c r="I1326">
        <v>1</v>
      </c>
      <c r="J1326">
        <v>0</v>
      </c>
      <c r="K1326">
        <v>0</v>
      </c>
      <c r="L1326" t="s">
        <v>35</v>
      </c>
      <c r="M1326" t="s">
        <v>35</v>
      </c>
      <c r="N1326" t="s">
        <v>35</v>
      </c>
      <c r="O1326" t="s">
        <v>35</v>
      </c>
      <c r="P1326" t="s">
        <v>35</v>
      </c>
      <c r="Q1326" t="s">
        <v>35</v>
      </c>
      <c r="R1326" t="s">
        <v>35</v>
      </c>
      <c r="S1326">
        <v>0</v>
      </c>
      <c r="T1326">
        <v>1</v>
      </c>
      <c r="U1326">
        <v>0</v>
      </c>
      <c r="V1326">
        <v>1</v>
      </c>
      <c r="W1326">
        <v>0</v>
      </c>
      <c r="X1326">
        <v>1</v>
      </c>
      <c r="Y1326">
        <v>0</v>
      </c>
      <c r="Z1326">
        <v>0</v>
      </c>
      <c r="AA1326">
        <v>0</v>
      </c>
      <c r="AB1326">
        <v>0</v>
      </c>
      <c r="AC1326">
        <v>0</v>
      </c>
      <c r="AD1326">
        <v>0</v>
      </c>
      <c r="AE1326">
        <v>1</v>
      </c>
    </row>
    <row r="1327" spans="1:31" x14ac:dyDescent="0.2">
      <c r="A1327" t="s">
        <v>397</v>
      </c>
      <c r="B1327" t="s">
        <v>102</v>
      </c>
      <c r="C1327">
        <v>50</v>
      </c>
      <c r="D1327" t="s">
        <v>78</v>
      </c>
      <c r="E1327" t="s">
        <v>39</v>
      </c>
      <c r="F1327" t="s">
        <v>40</v>
      </c>
      <c r="G1327">
        <v>35189</v>
      </c>
      <c r="H1327">
        <v>0</v>
      </c>
      <c r="I1327">
        <v>0</v>
      </c>
      <c r="J1327">
        <v>1</v>
      </c>
      <c r="K1327">
        <v>0</v>
      </c>
      <c r="L1327" t="s">
        <v>43</v>
      </c>
      <c r="M1327" t="s">
        <v>91</v>
      </c>
      <c r="N1327" t="s">
        <v>41</v>
      </c>
      <c r="O1327" t="s">
        <v>46</v>
      </c>
      <c r="P1327" t="s">
        <v>51</v>
      </c>
      <c r="Q1327" t="s">
        <v>44</v>
      </c>
      <c r="R1327">
        <v>0</v>
      </c>
      <c r="S1327">
        <v>1</v>
      </c>
      <c r="T1327">
        <v>1</v>
      </c>
      <c r="U1327">
        <v>0</v>
      </c>
      <c r="V1327">
        <v>0</v>
      </c>
      <c r="W1327">
        <v>0</v>
      </c>
      <c r="X1327">
        <v>1</v>
      </c>
      <c r="Y1327">
        <v>0</v>
      </c>
      <c r="Z1327">
        <v>1</v>
      </c>
      <c r="AA1327">
        <v>0</v>
      </c>
      <c r="AB1327">
        <v>0</v>
      </c>
      <c r="AC1327">
        <v>0</v>
      </c>
      <c r="AD1327">
        <v>0</v>
      </c>
      <c r="AE1327">
        <v>0</v>
      </c>
    </row>
    <row r="1328" spans="1:31" x14ac:dyDescent="0.2">
      <c r="A1328" t="s">
        <v>397</v>
      </c>
      <c r="B1328" t="s">
        <v>102</v>
      </c>
      <c r="C1328">
        <v>50</v>
      </c>
      <c r="D1328" t="s">
        <v>78</v>
      </c>
      <c r="E1328" t="s">
        <v>52</v>
      </c>
      <c r="F1328" t="s">
        <v>58</v>
      </c>
      <c r="G1328">
        <v>26484</v>
      </c>
      <c r="H1328">
        <v>1</v>
      </c>
      <c r="I1328">
        <v>1</v>
      </c>
      <c r="J1328">
        <v>0</v>
      </c>
      <c r="K1328">
        <v>0</v>
      </c>
      <c r="L1328" t="s">
        <v>35</v>
      </c>
      <c r="M1328" t="s">
        <v>35</v>
      </c>
      <c r="N1328" t="s">
        <v>35</v>
      </c>
      <c r="O1328" t="s">
        <v>35</v>
      </c>
      <c r="P1328" t="s">
        <v>35</v>
      </c>
      <c r="Q1328" t="s">
        <v>35</v>
      </c>
      <c r="R1328" t="s">
        <v>35</v>
      </c>
      <c r="S1328">
        <v>1</v>
      </c>
      <c r="T1328">
        <v>1</v>
      </c>
      <c r="U1328">
        <v>0</v>
      </c>
      <c r="V1328">
        <v>0</v>
      </c>
      <c r="W1328">
        <v>0</v>
      </c>
      <c r="X1328">
        <v>1</v>
      </c>
      <c r="Y1328">
        <v>0</v>
      </c>
      <c r="Z1328">
        <v>1</v>
      </c>
      <c r="AA1328">
        <v>0</v>
      </c>
      <c r="AB1328">
        <v>0</v>
      </c>
      <c r="AC1328">
        <v>0</v>
      </c>
      <c r="AD1328">
        <v>0</v>
      </c>
      <c r="AE1328">
        <v>0</v>
      </c>
    </row>
    <row r="1329" spans="1:31" x14ac:dyDescent="0.2">
      <c r="A1329" t="s">
        <v>397</v>
      </c>
      <c r="B1329" t="s">
        <v>102</v>
      </c>
      <c r="C1329">
        <v>50</v>
      </c>
      <c r="D1329" t="s">
        <v>78</v>
      </c>
      <c r="E1329" t="s">
        <v>39</v>
      </c>
      <c r="F1329" t="s">
        <v>63</v>
      </c>
      <c r="G1329">
        <v>20754</v>
      </c>
      <c r="H1329">
        <v>0</v>
      </c>
      <c r="I1329">
        <v>0</v>
      </c>
      <c r="J1329">
        <v>1</v>
      </c>
      <c r="K1329">
        <v>0</v>
      </c>
      <c r="L1329" t="s">
        <v>84</v>
      </c>
      <c r="M1329" t="s">
        <v>66</v>
      </c>
      <c r="N1329" t="s">
        <v>90</v>
      </c>
      <c r="O1329" t="s">
        <v>46</v>
      </c>
      <c r="P1329" t="s">
        <v>45</v>
      </c>
      <c r="Q1329" t="s">
        <v>44</v>
      </c>
      <c r="R1329">
        <v>0</v>
      </c>
      <c r="S1329">
        <v>1</v>
      </c>
      <c r="T1329">
        <v>1</v>
      </c>
      <c r="U1329">
        <v>0</v>
      </c>
      <c r="V1329">
        <v>1</v>
      </c>
      <c r="W1329">
        <v>0</v>
      </c>
      <c r="X1329">
        <v>1</v>
      </c>
      <c r="Y1329">
        <v>0</v>
      </c>
      <c r="Z1329">
        <v>1</v>
      </c>
      <c r="AA1329">
        <v>0</v>
      </c>
      <c r="AB1329">
        <v>0</v>
      </c>
      <c r="AC1329">
        <v>0</v>
      </c>
      <c r="AD1329">
        <v>0</v>
      </c>
      <c r="AE1329">
        <v>0</v>
      </c>
    </row>
    <row r="1330" spans="1:31" x14ac:dyDescent="0.2">
      <c r="A1330" t="s">
        <v>397</v>
      </c>
      <c r="B1330" t="s">
        <v>102</v>
      </c>
      <c r="C1330">
        <v>50</v>
      </c>
      <c r="D1330" t="s">
        <v>78</v>
      </c>
      <c r="E1330" t="s">
        <v>52</v>
      </c>
      <c r="F1330" t="s">
        <v>69</v>
      </c>
      <c r="G1330">
        <v>30325</v>
      </c>
      <c r="H1330">
        <v>0</v>
      </c>
      <c r="I1330">
        <v>1</v>
      </c>
      <c r="J1330">
        <v>1</v>
      </c>
      <c r="K1330">
        <v>0</v>
      </c>
      <c r="L1330" t="s">
        <v>35</v>
      </c>
      <c r="M1330" t="s">
        <v>35</v>
      </c>
      <c r="N1330" t="s">
        <v>35</v>
      </c>
      <c r="O1330" t="s">
        <v>35</v>
      </c>
      <c r="P1330" t="s">
        <v>35</v>
      </c>
      <c r="Q1330" t="s">
        <v>35</v>
      </c>
      <c r="R1330" t="s">
        <v>35</v>
      </c>
      <c r="S1330">
        <v>1</v>
      </c>
      <c r="T1330">
        <v>1</v>
      </c>
      <c r="U1330">
        <v>0</v>
      </c>
      <c r="V1330">
        <v>1</v>
      </c>
      <c r="W1330">
        <v>0</v>
      </c>
      <c r="X1330">
        <v>1</v>
      </c>
      <c r="Y1330">
        <v>0</v>
      </c>
      <c r="Z1330">
        <v>1</v>
      </c>
      <c r="AA1330">
        <v>0</v>
      </c>
      <c r="AB1330">
        <v>0</v>
      </c>
      <c r="AC1330">
        <v>0</v>
      </c>
      <c r="AD1330">
        <v>0</v>
      </c>
      <c r="AE1330">
        <v>0</v>
      </c>
    </row>
    <row r="1331" spans="1:31" x14ac:dyDescent="0.2">
      <c r="A1331" t="s">
        <v>397</v>
      </c>
      <c r="B1331" t="s">
        <v>102</v>
      </c>
      <c r="C1331">
        <v>50</v>
      </c>
      <c r="D1331" t="s">
        <v>78</v>
      </c>
      <c r="E1331" t="s">
        <v>75</v>
      </c>
      <c r="F1331" t="s">
        <v>35</v>
      </c>
      <c r="G1331">
        <v>50821</v>
      </c>
      <c r="H1331" t="s">
        <v>398</v>
      </c>
      <c r="I1331" t="s">
        <v>399</v>
      </c>
      <c r="K1331" t="s">
        <v>35</v>
      </c>
      <c r="L1331" t="s">
        <v>35</v>
      </c>
      <c r="M1331" t="s">
        <v>35</v>
      </c>
      <c r="N1331" t="s">
        <v>35</v>
      </c>
      <c r="O1331" t="s">
        <v>35</v>
      </c>
      <c r="P1331" t="s">
        <v>35</v>
      </c>
      <c r="Q1331" t="s">
        <v>35</v>
      </c>
      <c r="R1331" t="s">
        <v>35</v>
      </c>
      <c r="S1331" t="s">
        <v>35</v>
      </c>
      <c r="T1331" t="s">
        <v>35</v>
      </c>
      <c r="U1331" t="s">
        <v>35</v>
      </c>
      <c r="V1331" t="s">
        <v>35</v>
      </c>
      <c r="W1331" t="s">
        <v>35</v>
      </c>
      <c r="X1331" t="s">
        <v>35</v>
      </c>
      <c r="Y1331" t="s">
        <v>35</v>
      </c>
      <c r="Z1331" t="s">
        <v>35</v>
      </c>
      <c r="AA1331" t="s">
        <v>35</v>
      </c>
      <c r="AB1331" t="s">
        <v>35</v>
      </c>
      <c r="AC1331" t="s">
        <v>35</v>
      </c>
      <c r="AD1331" t="s">
        <v>35</v>
      </c>
      <c r="AE1331" t="s">
        <v>35</v>
      </c>
    </row>
    <row r="1332" spans="1:31" x14ac:dyDescent="0.2">
      <c r="A1332" t="s">
        <v>400</v>
      </c>
      <c r="B1332" t="s">
        <v>102</v>
      </c>
      <c r="C1332">
        <v>28</v>
      </c>
      <c r="D1332" t="s">
        <v>33</v>
      </c>
      <c r="E1332" t="s">
        <v>34</v>
      </c>
      <c r="F1332" t="s">
        <v>35</v>
      </c>
      <c r="G1332">
        <v>895280</v>
      </c>
      <c r="H1332" t="s">
        <v>35</v>
      </c>
      <c r="I1332" t="s">
        <v>35</v>
      </c>
      <c r="J1332" t="s">
        <v>35</v>
      </c>
      <c r="K1332" t="s">
        <v>35</v>
      </c>
      <c r="L1332" t="s">
        <v>35</v>
      </c>
      <c r="M1332" t="s">
        <v>35</v>
      </c>
      <c r="N1332" t="s">
        <v>35</v>
      </c>
      <c r="O1332" t="s">
        <v>35</v>
      </c>
      <c r="P1332" t="s">
        <v>35</v>
      </c>
      <c r="Q1332" t="s">
        <v>35</v>
      </c>
      <c r="R1332" t="s">
        <v>35</v>
      </c>
      <c r="S1332" t="s">
        <v>35</v>
      </c>
      <c r="T1332" t="s">
        <v>35</v>
      </c>
      <c r="U1332" t="s">
        <v>35</v>
      </c>
      <c r="V1332" t="s">
        <v>35</v>
      </c>
      <c r="W1332" t="s">
        <v>35</v>
      </c>
      <c r="X1332" t="s">
        <v>35</v>
      </c>
      <c r="Y1332" t="s">
        <v>35</v>
      </c>
      <c r="Z1332" t="s">
        <v>35</v>
      </c>
      <c r="AA1332" t="s">
        <v>35</v>
      </c>
      <c r="AB1332" t="s">
        <v>35</v>
      </c>
      <c r="AC1332" t="s">
        <v>35</v>
      </c>
      <c r="AD1332" t="s">
        <v>35</v>
      </c>
      <c r="AE1332" t="s">
        <v>35</v>
      </c>
    </row>
    <row r="1333" spans="1:31" x14ac:dyDescent="0.2">
      <c r="A1333" t="s">
        <v>400</v>
      </c>
      <c r="B1333" t="s">
        <v>102</v>
      </c>
      <c r="C1333">
        <v>28</v>
      </c>
      <c r="D1333" t="s">
        <v>33</v>
      </c>
      <c r="E1333" t="s">
        <v>36</v>
      </c>
      <c r="F1333" t="s">
        <v>37</v>
      </c>
      <c r="G1333">
        <v>625734</v>
      </c>
      <c r="H1333">
        <v>0</v>
      </c>
      <c r="I1333">
        <v>0</v>
      </c>
      <c r="J1333">
        <v>1</v>
      </c>
      <c r="K1333">
        <v>0</v>
      </c>
      <c r="L1333" t="s">
        <v>35</v>
      </c>
      <c r="M1333" t="s">
        <v>35</v>
      </c>
      <c r="N1333" t="s">
        <v>35</v>
      </c>
      <c r="O1333" t="s">
        <v>35</v>
      </c>
      <c r="P1333" t="s">
        <v>35</v>
      </c>
      <c r="Q1333" t="s">
        <v>35</v>
      </c>
      <c r="R1333" t="s">
        <v>35</v>
      </c>
      <c r="S1333" t="s">
        <v>35</v>
      </c>
      <c r="T1333" t="s">
        <v>35</v>
      </c>
      <c r="U1333" t="s">
        <v>35</v>
      </c>
      <c r="V1333" t="s">
        <v>35</v>
      </c>
      <c r="W1333" t="s">
        <v>35</v>
      </c>
      <c r="X1333" t="s">
        <v>35</v>
      </c>
      <c r="Y1333" t="s">
        <v>35</v>
      </c>
      <c r="Z1333" t="s">
        <v>35</v>
      </c>
      <c r="AA1333" t="s">
        <v>35</v>
      </c>
      <c r="AB1333" t="s">
        <v>35</v>
      </c>
      <c r="AC1333" t="s">
        <v>35</v>
      </c>
      <c r="AD1333" t="s">
        <v>35</v>
      </c>
      <c r="AE1333" t="s">
        <v>35</v>
      </c>
    </row>
    <row r="1334" spans="1:31" x14ac:dyDescent="0.2">
      <c r="A1334" t="s">
        <v>400</v>
      </c>
      <c r="B1334" t="s">
        <v>102</v>
      </c>
      <c r="C1334">
        <v>28</v>
      </c>
      <c r="D1334" t="s">
        <v>33</v>
      </c>
      <c r="E1334" t="s">
        <v>36</v>
      </c>
      <c r="F1334" t="s">
        <v>38</v>
      </c>
      <c r="G1334">
        <v>812656</v>
      </c>
      <c r="H1334">
        <v>0</v>
      </c>
      <c r="I1334">
        <v>0</v>
      </c>
      <c r="J1334">
        <v>0</v>
      </c>
      <c r="K1334">
        <v>1</v>
      </c>
      <c r="L1334" t="s">
        <v>35</v>
      </c>
      <c r="M1334" t="s">
        <v>35</v>
      </c>
      <c r="N1334" t="s">
        <v>35</v>
      </c>
      <c r="O1334" t="s">
        <v>35</v>
      </c>
      <c r="P1334" t="s">
        <v>35</v>
      </c>
      <c r="Q1334" t="s">
        <v>35</v>
      </c>
      <c r="R1334" t="s">
        <v>35</v>
      </c>
      <c r="S1334" t="s">
        <v>35</v>
      </c>
      <c r="T1334" t="s">
        <v>35</v>
      </c>
      <c r="U1334" t="s">
        <v>35</v>
      </c>
      <c r="V1334" t="s">
        <v>35</v>
      </c>
      <c r="W1334" t="s">
        <v>35</v>
      </c>
      <c r="X1334" t="s">
        <v>35</v>
      </c>
      <c r="Y1334" t="s">
        <v>35</v>
      </c>
      <c r="Z1334" t="s">
        <v>35</v>
      </c>
      <c r="AA1334" t="s">
        <v>35</v>
      </c>
      <c r="AB1334" t="s">
        <v>35</v>
      </c>
      <c r="AC1334" t="s">
        <v>35</v>
      </c>
      <c r="AD1334" t="s">
        <v>35</v>
      </c>
      <c r="AE1334" t="s">
        <v>35</v>
      </c>
    </row>
    <row r="1335" spans="1:31" x14ac:dyDescent="0.2">
      <c r="A1335" t="s">
        <v>400</v>
      </c>
      <c r="B1335" t="s">
        <v>102</v>
      </c>
      <c r="C1335">
        <v>28</v>
      </c>
      <c r="D1335" t="s">
        <v>33</v>
      </c>
      <c r="E1335" t="s">
        <v>39</v>
      </c>
      <c r="F1335" t="s">
        <v>63</v>
      </c>
      <c r="G1335">
        <v>180353</v>
      </c>
      <c r="H1335">
        <v>0</v>
      </c>
      <c r="I1335">
        <v>0</v>
      </c>
      <c r="J1335">
        <v>0</v>
      </c>
      <c r="K1335">
        <v>1</v>
      </c>
      <c r="L1335" t="s">
        <v>90</v>
      </c>
      <c r="M1335" t="s">
        <v>85</v>
      </c>
      <c r="N1335" t="s">
        <v>65</v>
      </c>
      <c r="O1335" t="s">
        <v>44</v>
      </c>
      <c r="P1335" t="s">
        <v>51</v>
      </c>
      <c r="Q1335" t="s">
        <v>68</v>
      </c>
      <c r="R1335">
        <v>1</v>
      </c>
      <c r="S1335">
        <v>1</v>
      </c>
      <c r="T1335">
        <v>0</v>
      </c>
      <c r="U1335">
        <v>0</v>
      </c>
      <c r="V1335">
        <v>0</v>
      </c>
      <c r="W1335">
        <v>0</v>
      </c>
      <c r="X1335">
        <v>1</v>
      </c>
      <c r="Y1335">
        <v>0</v>
      </c>
      <c r="Z1335">
        <v>0</v>
      </c>
      <c r="AA1335">
        <v>0</v>
      </c>
      <c r="AB1335">
        <v>0</v>
      </c>
      <c r="AC1335">
        <v>0</v>
      </c>
      <c r="AD1335">
        <v>0</v>
      </c>
      <c r="AE1335">
        <v>1</v>
      </c>
    </row>
    <row r="1336" spans="1:31" x14ac:dyDescent="0.2">
      <c r="A1336" t="s">
        <v>400</v>
      </c>
      <c r="B1336" t="s">
        <v>102</v>
      </c>
      <c r="C1336">
        <v>28</v>
      </c>
      <c r="D1336" t="s">
        <v>33</v>
      </c>
      <c r="E1336" t="s">
        <v>52</v>
      </c>
      <c r="F1336" t="s">
        <v>69</v>
      </c>
      <c r="G1336">
        <v>51870</v>
      </c>
      <c r="H1336">
        <v>0</v>
      </c>
      <c r="I1336">
        <v>0</v>
      </c>
      <c r="J1336">
        <v>1</v>
      </c>
      <c r="K1336">
        <v>0</v>
      </c>
      <c r="L1336" t="s">
        <v>35</v>
      </c>
      <c r="M1336" t="s">
        <v>35</v>
      </c>
      <c r="N1336" t="s">
        <v>35</v>
      </c>
      <c r="O1336" t="s">
        <v>35</v>
      </c>
      <c r="P1336" t="s">
        <v>35</v>
      </c>
      <c r="Q1336" t="s">
        <v>35</v>
      </c>
      <c r="R1336" t="s">
        <v>35</v>
      </c>
      <c r="S1336">
        <v>1</v>
      </c>
      <c r="T1336">
        <v>0</v>
      </c>
      <c r="U1336">
        <v>0</v>
      </c>
      <c r="V1336">
        <v>0</v>
      </c>
      <c r="W1336">
        <v>0</v>
      </c>
      <c r="X1336">
        <v>1</v>
      </c>
      <c r="Y1336">
        <v>0</v>
      </c>
      <c r="Z1336">
        <v>0</v>
      </c>
      <c r="AA1336">
        <v>0</v>
      </c>
      <c r="AB1336">
        <v>0</v>
      </c>
      <c r="AC1336">
        <v>0</v>
      </c>
      <c r="AD1336">
        <v>0</v>
      </c>
      <c r="AE1336">
        <v>1</v>
      </c>
    </row>
    <row r="1337" spans="1:31" x14ac:dyDescent="0.2">
      <c r="A1337" t="s">
        <v>400</v>
      </c>
      <c r="B1337" t="s">
        <v>102</v>
      </c>
      <c r="C1337">
        <v>28</v>
      </c>
      <c r="D1337" t="s">
        <v>33</v>
      </c>
      <c r="E1337" t="s">
        <v>39</v>
      </c>
      <c r="F1337" t="s">
        <v>47</v>
      </c>
      <c r="G1337">
        <v>23543</v>
      </c>
      <c r="H1337">
        <v>1</v>
      </c>
      <c r="I1337">
        <v>0</v>
      </c>
      <c r="J1337">
        <v>0</v>
      </c>
      <c r="K1337">
        <v>0</v>
      </c>
      <c r="L1337" t="s">
        <v>95</v>
      </c>
      <c r="M1337" t="s">
        <v>48</v>
      </c>
      <c r="N1337" t="s">
        <v>79</v>
      </c>
      <c r="O1337" t="s">
        <v>68</v>
      </c>
      <c r="P1337" t="s">
        <v>46</v>
      </c>
      <c r="Q1337" t="s">
        <v>45</v>
      </c>
      <c r="R1337">
        <v>1</v>
      </c>
      <c r="S1337">
        <v>0</v>
      </c>
      <c r="T1337">
        <v>1</v>
      </c>
      <c r="U1337">
        <v>0</v>
      </c>
      <c r="V1337">
        <v>1</v>
      </c>
      <c r="W1337">
        <v>0</v>
      </c>
      <c r="X1337">
        <v>1</v>
      </c>
      <c r="Y1337">
        <v>1</v>
      </c>
      <c r="Z1337">
        <v>0</v>
      </c>
      <c r="AA1337">
        <v>0</v>
      </c>
      <c r="AB1337">
        <v>0</v>
      </c>
      <c r="AC1337">
        <v>0</v>
      </c>
      <c r="AD1337">
        <v>0</v>
      </c>
      <c r="AE1337">
        <v>0</v>
      </c>
    </row>
    <row r="1338" spans="1:31" x14ac:dyDescent="0.2">
      <c r="A1338" t="s">
        <v>400</v>
      </c>
      <c r="B1338" t="s">
        <v>102</v>
      </c>
      <c r="C1338">
        <v>28</v>
      </c>
      <c r="D1338" t="s">
        <v>33</v>
      </c>
      <c r="E1338" t="s">
        <v>39</v>
      </c>
      <c r="F1338" t="s">
        <v>59</v>
      </c>
      <c r="G1338">
        <v>29816</v>
      </c>
      <c r="H1338">
        <v>0</v>
      </c>
      <c r="I1338">
        <v>0</v>
      </c>
      <c r="J1338">
        <v>1</v>
      </c>
      <c r="K1338">
        <v>0</v>
      </c>
      <c r="L1338" t="s">
        <v>62</v>
      </c>
      <c r="M1338" t="s">
        <v>99</v>
      </c>
      <c r="N1338" t="s">
        <v>60</v>
      </c>
      <c r="O1338" t="s">
        <v>45</v>
      </c>
      <c r="P1338" t="s">
        <v>67</v>
      </c>
      <c r="Q1338" t="s">
        <v>44</v>
      </c>
      <c r="R1338">
        <v>0</v>
      </c>
      <c r="S1338">
        <v>1</v>
      </c>
      <c r="T1338">
        <v>0</v>
      </c>
      <c r="U1338">
        <v>1</v>
      </c>
      <c r="V1338">
        <v>1</v>
      </c>
      <c r="W1338">
        <v>0</v>
      </c>
      <c r="X1338">
        <v>1</v>
      </c>
      <c r="Y1338">
        <v>0</v>
      </c>
      <c r="Z1338">
        <v>1</v>
      </c>
      <c r="AA1338">
        <v>0</v>
      </c>
      <c r="AB1338">
        <v>0</v>
      </c>
      <c r="AC1338">
        <v>0</v>
      </c>
      <c r="AD1338">
        <v>0</v>
      </c>
      <c r="AE1338">
        <v>0</v>
      </c>
    </row>
    <row r="1339" spans="1:31" x14ac:dyDescent="0.2">
      <c r="A1339" t="s">
        <v>400</v>
      </c>
      <c r="B1339" t="s">
        <v>102</v>
      </c>
      <c r="C1339">
        <v>28</v>
      </c>
      <c r="D1339" t="s">
        <v>33</v>
      </c>
      <c r="E1339" t="s">
        <v>52</v>
      </c>
      <c r="F1339" t="s">
        <v>74</v>
      </c>
      <c r="G1339">
        <v>25947</v>
      </c>
      <c r="H1339">
        <v>1</v>
      </c>
      <c r="I1339">
        <v>0</v>
      </c>
      <c r="J1339">
        <v>0</v>
      </c>
      <c r="K1339">
        <v>0</v>
      </c>
      <c r="L1339" t="s">
        <v>35</v>
      </c>
      <c r="M1339" t="s">
        <v>35</v>
      </c>
      <c r="N1339" t="s">
        <v>35</v>
      </c>
      <c r="O1339" t="s">
        <v>35</v>
      </c>
      <c r="P1339" t="s">
        <v>35</v>
      </c>
      <c r="Q1339" t="s">
        <v>35</v>
      </c>
      <c r="R1339" t="s">
        <v>35</v>
      </c>
      <c r="S1339">
        <v>1</v>
      </c>
      <c r="T1339">
        <v>0</v>
      </c>
      <c r="U1339">
        <v>1</v>
      </c>
      <c r="V1339">
        <v>1</v>
      </c>
      <c r="W1339">
        <v>0</v>
      </c>
      <c r="X1339">
        <v>1</v>
      </c>
      <c r="Y1339">
        <v>0</v>
      </c>
      <c r="Z1339">
        <v>1</v>
      </c>
      <c r="AA1339">
        <v>0</v>
      </c>
      <c r="AB1339">
        <v>0</v>
      </c>
      <c r="AC1339">
        <v>0</v>
      </c>
      <c r="AD1339">
        <v>0</v>
      </c>
      <c r="AE1339">
        <v>0</v>
      </c>
    </row>
    <row r="1340" spans="1:31" x14ac:dyDescent="0.2">
      <c r="A1340" t="s">
        <v>400</v>
      </c>
      <c r="B1340" t="s">
        <v>102</v>
      </c>
      <c r="C1340">
        <v>28</v>
      </c>
      <c r="D1340" t="s">
        <v>33</v>
      </c>
      <c r="E1340" t="s">
        <v>39</v>
      </c>
      <c r="F1340" t="s">
        <v>40</v>
      </c>
      <c r="G1340">
        <v>23777</v>
      </c>
      <c r="H1340">
        <v>0</v>
      </c>
      <c r="I1340">
        <v>0</v>
      </c>
      <c r="J1340">
        <v>1</v>
      </c>
      <c r="K1340">
        <v>0</v>
      </c>
      <c r="L1340" t="s">
        <v>42</v>
      </c>
      <c r="M1340" t="s">
        <v>81</v>
      </c>
      <c r="N1340" t="s">
        <v>41</v>
      </c>
      <c r="O1340" t="s">
        <v>45</v>
      </c>
      <c r="P1340" t="s">
        <v>67</v>
      </c>
      <c r="Q1340" t="s">
        <v>44</v>
      </c>
      <c r="R1340">
        <v>0</v>
      </c>
      <c r="S1340">
        <v>1</v>
      </c>
      <c r="T1340">
        <v>0</v>
      </c>
      <c r="U1340">
        <v>1</v>
      </c>
      <c r="V1340">
        <v>1</v>
      </c>
      <c r="W1340">
        <v>0</v>
      </c>
      <c r="X1340">
        <v>1</v>
      </c>
      <c r="Y1340">
        <v>0</v>
      </c>
      <c r="Z1340">
        <v>1</v>
      </c>
      <c r="AA1340">
        <v>0</v>
      </c>
      <c r="AB1340">
        <v>0</v>
      </c>
      <c r="AC1340">
        <v>0</v>
      </c>
      <c r="AD1340">
        <v>0</v>
      </c>
      <c r="AE1340">
        <v>0</v>
      </c>
    </row>
    <row r="1341" spans="1:31" x14ac:dyDescent="0.2">
      <c r="A1341" t="s">
        <v>400</v>
      </c>
      <c r="B1341" t="s">
        <v>102</v>
      </c>
      <c r="C1341">
        <v>28</v>
      </c>
      <c r="D1341" t="s">
        <v>33</v>
      </c>
      <c r="E1341" t="s">
        <v>52</v>
      </c>
      <c r="F1341" t="s">
        <v>58</v>
      </c>
      <c r="G1341">
        <v>34369</v>
      </c>
      <c r="H1341">
        <v>1</v>
      </c>
      <c r="I1341">
        <v>1</v>
      </c>
      <c r="J1341">
        <v>0</v>
      </c>
      <c r="K1341">
        <v>0</v>
      </c>
      <c r="L1341" t="s">
        <v>35</v>
      </c>
      <c r="M1341" t="s">
        <v>35</v>
      </c>
      <c r="N1341" t="s">
        <v>35</v>
      </c>
      <c r="O1341" t="s">
        <v>35</v>
      </c>
      <c r="P1341" t="s">
        <v>35</v>
      </c>
      <c r="Q1341" t="s">
        <v>35</v>
      </c>
      <c r="R1341" t="s">
        <v>35</v>
      </c>
      <c r="S1341">
        <v>1</v>
      </c>
      <c r="T1341">
        <v>0</v>
      </c>
      <c r="U1341">
        <v>1</v>
      </c>
      <c r="V1341">
        <v>1</v>
      </c>
      <c r="W1341">
        <v>0</v>
      </c>
      <c r="X1341">
        <v>1</v>
      </c>
      <c r="Y1341">
        <v>0</v>
      </c>
      <c r="Z1341">
        <v>1</v>
      </c>
      <c r="AA1341">
        <v>0</v>
      </c>
      <c r="AB1341">
        <v>0</v>
      </c>
      <c r="AC1341">
        <v>0</v>
      </c>
      <c r="AD1341">
        <v>0</v>
      </c>
      <c r="AE1341">
        <v>0</v>
      </c>
    </row>
    <row r="1342" spans="1:31" x14ac:dyDescent="0.2">
      <c r="A1342" t="s">
        <v>400</v>
      </c>
      <c r="B1342" t="s">
        <v>102</v>
      </c>
      <c r="C1342">
        <v>28</v>
      </c>
      <c r="D1342" t="s">
        <v>33</v>
      </c>
      <c r="E1342" t="s">
        <v>39</v>
      </c>
      <c r="F1342" t="s">
        <v>70</v>
      </c>
      <c r="G1342">
        <v>10589</v>
      </c>
      <c r="H1342">
        <v>0</v>
      </c>
      <c r="I1342">
        <v>1</v>
      </c>
      <c r="J1342">
        <v>0</v>
      </c>
      <c r="K1342">
        <v>0</v>
      </c>
      <c r="L1342" t="s">
        <v>86</v>
      </c>
      <c r="M1342" t="s">
        <v>73</v>
      </c>
      <c r="N1342" t="s">
        <v>72</v>
      </c>
      <c r="O1342" t="s">
        <v>46</v>
      </c>
      <c r="P1342" t="s">
        <v>44</v>
      </c>
      <c r="Q1342" t="s">
        <v>67</v>
      </c>
      <c r="R1342">
        <v>0</v>
      </c>
      <c r="S1342">
        <v>1</v>
      </c>
      <c r="T1342">
        <v>1</v>
      </c>
      <c r="U1342">
        <v>1</v>
      </c>
      <c r="V1342">
        <v>0</v>
      </c>
      <c r="W1342">
        <v>0</v>
      </c>
      <c r="X1342">
        <v>1</v>
      </c>
      <c r="Y1342">
        <v>0</v>
      </c>
      <c r="Z1342">
        <v>1</v>
      </c>
      <c r="AA1342">
        <v>0</v>
      </c>
      <c r="AB1342">
        <v>0</v>
      </c>
      <c r="AC1342">
        <v>0</v>
      </c>
      <c r="AD1342">
        <v>0</v>
      </c>
      <c r="AE1342">
        <v>0</v>
      </c>
    </row>
    <row r="1343" spans="1:31" x14ac:dyDescent="0.2">
      <c r="A1343" t="s">
        <v>400</v>
      </c>
      <c r="B1343" t="s">
        <v>102</v>
      </c>
      <c r="C1343">
        <v>28</v>
      </c>
      <c r="D1343" t="s">
        <v>33</v>
      </c>
      <c r="E1343" t="s">
        <v>39</v>
      </c>
      <c r="F1343" t="s">
        <v>54</v>
      </c>
      <c r="G1343">
        <v>5689</v>
      </c>
      <c r="H1343">
        <v>1</v>
      </c>
      <c r="I1343">
        <v>0</v>
      </c>
      <c r="J1343">
        <v>0</v>
      </c>
      <c r="K1343">
        <v>0</v>
      </c>
      <c r="L1343" t="s">
        <v>55</v>
      </c>
      <c r="M1343" t="s">
        <v>56</v>
      </c>
      <c r="N1343" t="s">
        <v>57</v>
      </c>
      <c r="O1343" t="s">
        <v>44</v>
      </c>
      <c r="P1343" t="s">
        <v>45</v>
      </c>
      <c r="Q1343" t="s">
        <v>46</v>
      </c>
      <c r="R1343">
        <v>0</v>
      </c>
      <c r="S1343">
        <v>1</v>
      </c>
      <c r="T1343">
        <v>1</v>
      </c>
      <c r="U1343">
        <v>0</v>
      </c>
      <c r="V1343">
        <v>1</v>
      </c>
      <c r="W1343">
        <v>0</v>
      </c>
      <c r="X1343">
        <v>1</v>
      </c>
      <c r="Y1343">
        <v>0</v>
      </c>
      <c r="Z1343">
        <v>1</v>
      </c>
      <c r="AA1343">
        <v>0</v>
      </c>
      <c r="AB1343">
        <v>0</v>
      </c>
      <c r="AC1343">
        <v>0</v>
      </c>
      <c r="AD1343">
        <v>0</v>
      </c>
      <c r="AE1343">
        <v>0</v>
      </c>
    </row>
    <row r="1344" spans="1:31" x14ac:dyDescent="0.2">
      <c r="A1344" t="s">
        <v>400</v>
      </c>
      <c r="B1344" t="s">
        <v>102</v>
      </c>
      <c r="C1344">
        <v>28</v>
      </c>
      <c r="D1344" t="s">
        <v>33</v>
      </c>
      <c r="E1344" t="s">
        <v>52</v>
      </c>
      <c r="F1344" t="s">
        <v>53</v>
      </c>
      <c r="G1344">
        <v>18293</v>
      </c>
      <c r="H1344">
        <v>1</v>
      </c>
      <c r="I1344">
        <v>0</v>
      </c>
      <c r="J1344">
        <v>0</v>
      </c>
      <c r="K1344">
        <v>0</v>
      </c>
      <c r="L1344" t="s">
        <v>35</v>
      </c>
      <c r="M1344" t="s">
        <v>35</v>
      </c>
      <c r="N1344" t="s">
        <v>35</v>
      </c>
      <c r="O1344" t="s">
        <v>35</v>
      </c>
      <c r="P1344" t="s">
        <v>35</v>
      </c>
      <c r="Q1344" t="s">
        <v>35</v>
      </c>
      <c r="R1344" t="s">
        <v>35</v>
      </c>
      <c r="S1344">
        <v>1</v>
      </c>
      <c r="T1344">
        <v>1</v>
      </c>
      <c r="U1344">
        <v>0</v>
      </c>
      <c r="V1344">
        <v>1</v>
      </c>
      <c r="W1344">
        <v>0</v>
      </c>
      <c r="X1344">
        <v>1</v>
      </c>
      <c r="Y1344">
        <v>0</v>
      </c>
      <c r="Z1344">
        <v>1</v>
      </c>
      <c r="AA1344">
        <v>0</v>
      </c>
      <c r="AB1344">
        <v>0</v>
      </c>
      <c r="AC1344">
        <v>0</v>
      </c>
      <c r="AD1344">
        <v>0</v>
      </c>
      <c r="AE1344">
        <v>0</v>
      </c>
    </row>
    <row r="1345" spans="1:31" x14ac:dyDescent="0.2">
      <c r="A1345" t="s">
        <v>400</v>
      </c>
      <c r="B1345" t="s">
        <v>102</v>
      </c>
      <c r="C1345">
        <v>28</v>
      </c>
      <c r="D1345" t="s">
        <v>33</v>
      </c>
      <c r="E1345" t="s">
        <v>75</v>
      </c>
      <c r="F1345" t="s">
        <v>35</v>
      </c>
      <c r="G1345">
        <v>44745</v>
      </c>
      <c r="H1345" t="s">
        <v>401</v>
      </c>
      <c r="I1345" t="s">
        <v>402</v>
      </c>
      <c r="K1345" t="s">
        <v>35</v>
      </c>
      <c r="L1345" t="s">
        <v>35</v>
      </c>
      <c r="M1345" t="s">
        <v>35</v>
      </c>
      <c r="N1345" t="s">
        <v>35</v>
      </c>
      <c r="O1345" t="s">
        <v>35</v>
      </c>
      <c r="P1345" t="s">
        <v>35</v>
      </c>
      <c r="Q1345" t="s">
        <v>35</v>
      </c>
      <c r="R1345" t="s">
        <v>35</v>
      </c>
      <c r="S1345" t="s">
        <v>35</v>
      </c>
      <c r="T1345" t="s">
        <v>35</v>
      </c>
      <c r="U1345" t="s">
        <v>35</v>
      </c>
      <c r="V1345" t="s">
        <v>35</v>
      </c>
      <c r="W1345" t="s">
        <v>35</v>
      </c>
      <c r="X1345" t="s">
        <v>35</v>
      </c>
      <c r="Y1345" t="s">
        <v>35</v>
      </c>
      <c r="Z1345" t="s">
        <v>35</v>
      </c>
      <c r="AA1345" t="s">
        <v>35</v>
      </c>
      <c r="AB1345" t="s">
        <v>35</v>
      </c>
      <c r="AC1345" t="s">
        <v>35</v>
      </c>
      <c r="AD1345" t="s">
        <v>35</v>
      </c>
      <c r="AE1345" t="s">
        <v>35</v>
      </c>
    </row>
    <row r="1346" spans="1:31" x14ac:dyDescent="0.2">
      <c r="A1346" t="s">
        <v>403</v>
      </c>
      <c r="B1346" t="s">
        <v>102</v>
      </c>
      <c r="C1346">
        <v>36</v>
      </c>
      <c r="D1346" t="s">
        <v>78</v>
      </c>
      <c r="E1346" t="s">
        <v>34</v>
      </c>
      <c r="F1346" t="s">
        <v>35</v>
      </c>
      <c r="G1346">
        <v>28631</v>
      </c>
      <c r="H1346" t="s">
        <v>35</v>
      </c>
      <c r="I1346" t="s">
        <v>35</v>
      </c>
      <c r="J1346" t="s">
        <v>35</v>
      </c>
      <c r="K1346" t="s">
        <v>35</v>
      </c>
      <c r="L1346" t="s">
        <v>35</v>
      </c>
      <c r="M1346" t="s">
        <v>35</v>
      </c>
      <c r="N1346" t="s">
        <v>35</v>
      </c>
      <c r="O1346" t="s">
        <v>35</v>
      </c>
      <c r="P1346" t="s">
        <v>35</v>
      </c>
      <c r="Q1346" t="s">
        <v>35</v>
      </c>
      <c r="R1346" t="s">
        <v>35</v>
      </c>
      <c r="S1346" t="s">
        <v>35</v>
      </c>
      <c r="T1346" t="s">
        <v>35</v>
      </c>
      <c r="U1346" t="s">
        <v>35</v>
      </c>
      <c r="V1346" t="s">
        <v>35</v>
      </c>
      <c r="W1346" t="s">
        <v>35</v>
      </c>
      <c r="X1346" t="s">
        <v>35</v>
      </c>
      <c r="Y1346" t="s">
        <v>35</v>
      </c>
      <c r="Z1346" t="s">
        <v>35</v>
      </c>
      <c r="AA1346" t="s">
        <v>35</v>
      </c>
      <c r="AB1346" t="s">
        <v>35</v>
      </c>
      <c r="AC1346" t="s">
        <v>35</v>
      </c>
      <c r="AD1346" t="s">
        <v>35</v>
      </c>
      <c r="AE1346" t="s">
        <v>35</v>
      </c>
    </row>
    <row r="1347" spans="1:31" x14ac:dyDescent="0.2">
      <c r="A1347" t="s">
        <v>403</v>
      </c>
      <c r="B1347" t="s">
        <v>102</v>
      </c>
      <c r="C1347">
        <v>36</v>
      </c>
      <c r="D1347" t="s">
        <v>78</v>
      </c>
      <c r="E1347" t="s">
        <v>36</v>
      </c>
      <c r="F1347" t="s">
        <v>38</v>
      </c>
      <c r="G1347">
        <v>25645</v>
      </c>
      <c r="H1347">
        <v>0</v>
      </c>
      <c r="I1347">
        <v>0</v>
      </c>
      <c r="J1347">
        <v>0</v>
      </c>
      <c r="K1347">
        <v>1</v>
      </c>
      <c r="L1347" t="s">
        <v>35</v>
      </c>
      <c r="M1347" t="s">
        <v>35</v>
      </c>
      <c r="N1347" t="s">
        <v>35</v>
      </c>
      <c r="O1347" t="s">
        <v>35</v>
      </c>
      <c r="P1347" t="s">
        <v>35</v>
      </c>
      <c r="Q1347" t="s">
        <v>35</v>
      </c>
      <c r="R1347" t="s">
        <v>35</v>
      </c>
      <c r="S1347" t="s">
        <v>35</v>
      </c>
      <c r="T1347" t="s">
        <v>35</v>
      </c>
      <c r="U1347" t="s">
        <v>35</v>
      </c>
      <c r="V1347" t="s">
        <v>35</v>
      </c>
      <c r="W1347" t="s">
        <v>35</v>
      </c>
      <c r="X1347" t="s">
        <v>35</v>
      </c>
      <c r="Y1347" t="s">
        <v>35</v>
      </c>
      <c r="Z1347" t="s">
        <v>35</v>
      </c>
      <c r="AA1347" t="s">
        <v>35</v>
      </c>
      <c r="AB1347" t="s">
        <v>35</v>
      </c>
      <c r="AC1347" t="s">
        <v>35</v>
      </c>
      <c r="AD1347" t="s">
        <v>35</v>
      </c>
      <c r="AE1347" t="s">
        <v>35</v>
      </c>
    </row>
    <row r="1348" spans="1:31" x14ac:dyDescent="0.2">
      <c r="A1348" t="s">
        <v>403</v>
      </c>
      <c r="B1348" t="s">
        <v>102</v>
      </c>
      <c r="C1348">
        <v>36</v>
      </c>
      <c r="D1348" t="s">
        <v>78</v>
      </c>
      <c r="E1348" t="s">
        <v>36</v>
      </c>
      <c r="F1348" t="s">
        <v>37</v>
      </c>
      <c r="G1348">
        <v>38557</v>
      </c>
      <c r="H1348">
        <v>0</v>
      </c>
      <c r="I1348">
        <v>0</v>
      </c>
      <c r="J1348">
        <v>1</v>
      </c>
      <c r="K1348">
        <v>0</v>
      </c>
      <c r="L1348" t="s">
        <v>35</v>
      </c>
      <c r="M1348" t="s">
        <v>35</v>
      </c>
      <c r="N1348" t="s">
        <v>35</v>
      </c>
      <c r="O1348" t="s">
        <v>35</v>
      </c>
      <c r="P1348" t="s">
        <v>35</v>
      </c>
      <c r="Q1348" t="s">
        <v>35</v>
      </c>
      <c r="R1348" t="s">
        <v>35</v>
      </c>
      <c r="S1348" t="s">
        <v>35</v>
      </c>
      <c r="T1348" t="s">
        <v>35</v>
      </c>
      <c r="U1348" t="s">
        <v>35</v>
      </c>
      <c r="V1348" t="s">
        <v>35</v>
      </c>
      <c r="W1348" t="s">
        <v>35</v>
      </c>
      <c r="X1348" t="s">
        <v>35</v>
      </c>
      <c r="Y1348" t="s">
        <v>35</v>
      </c>
      <c r="Z1348" t="s">
        <v>35</v>
      </c>
      <c r="AA1348" t="s">
        <v>35</v>
      </c>
      <c r="AB1348" t="s">
        <v>35</v>
      </c>
      <c r="AC1348" t="s">
        <v>35</v>
      </c>
      <c r="AD1348" t="s">
        <v>35</v>
      </c>
      <c r="AE1348" t="s">
        <v>35</v>
      </c>
    </row>
    <row r="1349" spans="1:31" x14ac:dyDescent="0.2">
      <c r="A1349" t="s">
        <v>403</v>
      </c>
      <c r="B1349" t="s">
        <v>102</v>
      </c>
      <c r="C1349">
        <v>36</v>
      </c>
      <c r="D1349" t="s">
        <v>78</v>
      </c>
      <c r="E1349" t="s">
        <v>39</v>
      </c>
      <c r="F1349" t="s">
        <v>70</v>
      </c>
      <c r="G1349">
        <v>44004</v>
      </c>
      <c r="H1349">
        <v>0</v>
      </c>
      <c r="I1349">
        <v>0</v>
      </c>
      <c r="J1349">
        <v>0</v>
      </c>
      <c r="K1349">
        <v>1</v>
      </c>
      <c r="L1349" t="s">
        <v>72</v>
      </c>
      <c r="M1349" t="s">
        <v>71</v>
      </c>
      <c r="N1349" t="s">
        <v>73</v>
      </c>
      <c r="O1349" t="s">
        <v>67</v>
      </c>
      <c r="P1349" t="s">
        <v>45</v>
      </c>
      <c r="Q1349" t="s">
        <v>44</v>
      </c>
      <c r="R1349">
        <v>0</v>
      </c>
      <c r="S1349">
        <v>1</v>
      </c>
      <c r="T1349">
        <v>0</v>
      </c>
      <c r="U1349">
        <v>1</v>
      </c>
      <c r="V1349">
        <v>1</v>
      </c>
      <c r="W1349">
        <v>0</v>
      </c>
      <c r="X1349">
        <v>1</v>
      </c>
      <c r="Y1349">
        <v>0</v>
      </c>
      <c r="Z1349">
        <v>0</v>
      </c>
      <c r="AA1349">
        <v>0</v>
      </c>
      <c r="AB1349">
        <v>0</v>
      </c>
      <c r="AC1349">
        <v>0</v>
      </c>
      <c r="AD1349">
        <v>0</v>
      </c>
      <c r="AE1349">
        <v>1</v>
      </c>
    </row>
    <row r="1350" spans="1:31" x14ac:dyDescent="0.2">
      <c r="A1350" t="s">
        <v>403</v>
      </c>
      <c r="B1350" t="s">
        <v>102</v>
      </c>
      <c r="C1350">
        <v>36</v>
      </c>
      <c r="D1350" t="s">
        <v>78</v>
      </c>
      <c r="E1350" t="s">
        <v>39</v>
      </c>
      <c r="F1350" t="s">
        <v>54</v>
      </c>
      <c r="G1350">
        <v>17380</v>
      </c>
      <c r="H1350">
        <v>0</v>
      </c>
      <c r="I1350">
        <v>0</v>
      </c>
      <c r="J1350">
        <v>0</v>
      </c>
      <c r="K1350">
        <v>1</v>
      </c>
      <c r="L1350" t="s">
        <v>57</v>
      </c>
      <c r="M1350" t="s">
        <v>122</v>
      </c>
      <c r="N1350" t="s">
        <v>56</v>
      </c>
      <c r="O1350" t="s">
        <v>46</v>
      </c>
      <c r="P1350" t="s">
        <v>68</v>
      </c>
      <c r="Q1350" t="s">
        <v>45</v>
      </c>
      <c r="R1350">
        <v>1</v>
      </c>
      <c r="S1350">
        <v>0</v>
      </c>
      <c r="T1350">
        <v>1</v>
      </c>
      <c r="U1350">
        <v>0</v>
      </c>
      <c r="V1350">
        <v>1</v>
      </c>
      <c r="W1350">
        <v>0</v>
      </c>
      <c r="X1350">
        <v>1</v>
      </c>
      <c r="Y1350">
        <v>0</v>
      </c>
      <c r="Z1350">
        <v>0</v>
      </c>
      <c r="AA1350">
        <v>0</v>
      </c>
      <c r="AB1350">
        <v>0</v>
      </c>
      <c r="AC1350">
        <v>0</v>
      </c>
      <c r="AD1350">
        <v>0</v>
      </c>
      <c r="AE1350">
        <v>1</v>
      </c>
    </row>
    <row r="1351" spans="1:31" x14ac:dyDescent="0.2">
      <c r="A1351" t="s">
        <v>403</v>
      </c>
      <c r="B1351" t="s">
        <v>102</v>
      </c>
      <c r="C1351">
        <v>36</v>
      </c>
      <c r="D1351" t="s">
        <v>78</v>
      </c>
      <c r="E1351" t="s">
        <v>52</v>
      </c>
      <c r="F1351" t="s">
        <v>74</v>
      </c>
      <c r="G1351">
        <v>18670</v>
      </c>
      <c r="H1351">
        <v>1</v>
      </c>
      <c r="I1351">
        <v>0</v>
      </c>
      <c r="J1351">
        <v>0</v>
      </c>
      <c r="K1351">
        <v>0</v>
      </c>
      <c r="L1351" t="s">
        <v>35</v>
      </c>
      <c r="M1351" t="s">
        <v>35</v>
      </c>
      <c r="N1351" t="s">
        <v>35</v>
      </c>
      <c r="O1351" t="s">
        <v>35</v>
      </c>
      <c r="P1351" t="s">
        <v>35</v>
      </c>
      <c r="Q1351" t="s">
        <v>35</v>
      </c>
      <c r="R1351" t="s">
        <v>35</v>
      </c>
      <c r="S1351">
        <v>0</v>
      </c>
      <c r="T1351">
        <v>1</v>
      </c>
      <c r="U1351">
        <v>0</v>
      </c>
      <c r="V1351">
        <v>1</v>
      </c>
      <c r="W1351">
        <v>0</v>
      </c>
      <c r="X1351">
        <v>1</v>
      </c>
      <c r="Y1351">
        <v>0</v>
      </c>
      <c r="Z1351">
        <v>0</v>
      </c>
      <c r="AA1351">
        <v>0</v>
      </c>
      <c r="AB1351">
        <v>0</v>
      </c>
      <c r="AC1351">
        <v>0</v>
      </c>
      <c r="AD1351">
        <v>0</v>
      </c>
      <c r="AE1351">
        <v>1</v>
      </c>
    </row>
    <row r="1352" spans="1:31" x14ac:dyDescent="0.2">
      <c r="A1352" t="s">
        <v>403</v>
      </c>
      <c r="B1352" t="s">
        <v>102</v>
      </c>
      <c r="C1352">
        <v>36</v>
      </c>
      <c r="D1352" t="s">
        <v>78</v>
      </c>
      <c r="E1352" t="s">
        <v>39</v>
      </c>
      <c r="F1352" t="s">
        <v>59</v>
      </c>
      <c r="G1352">
        <v>21860</v>
      </c>
      <c r="H1352">
        <v>0</v>
      </c>
      <c r="I1352">
        <v>0</v>
      </c>
      <c r="J1352">
        <v>0</v>
      </c>
      <c r="K1352">
        <v>1</v>
      </c>
      <c r="L1352" t="s">
        <v>60</v>
      </c>
      <c r="M1352" t="s">
        <v>61</v>
      </c>
      <c r="N1352" t="s">
        <v>94</v>
      </c>
      <c r="O1352" t="s">
        <v>44</v>
      </c>
      <c r="P1352" t="s">
        <v>46</v>
      </c>
      <c r="Q1352" t="s">
        <v>68</v>
      </c>
      <c r="R1352">
        <v>1</v>
      </c>
      <c r="S1352">
        <v>1</v>
      </c>
      <c r="T1352">
        <v>1</v>
      </c>
      <c r="U1352">
        <v>0</v>
      </c>
      <c r="V1352">
        <v>0</v>
      </c>
      <c r="W1352">
        <v>0</v>
      </c>
      <c r="X1352">
        <v>1</v>
      </c>
      <c r="Y1352">
        <v>0</v>
      </c>
      <c r="Z1352">
        <v>0</v>
      </c>
      <c r="AA1352">
        <v>0</v>
      </c>
      <c r="AB1352">
        <v>0</v>
      </c>
      <c r="AC1352">
        <v>0</v>
      </c>
      <c r="AD1352">
        <v>0</v>
      </c>
      <c r="AE1352">
        <v>1</v>
      </c>
    </row>
    <row r="1353" spans="1:31" x14ac:dyDescent="0.2">
      <c r="A1353" t="s">
        <v>403</v>
      </c>
      <c r="B1353" t="s">
        <v>102</v>
      </c>
      <c r="C1353">
        <v>36</v>
      </c>
      <c r="D1353" t="s">
        <v>78</v>
      </c>
      <c r="E1353" t="s">
        <v>52</v>
      </c>
      <c r="F1353" t="s">
        <v>69</v>
      </c>
      <c r="G1353">
        <v>34494</v>
      </c>
      <c r="H1353">
        <v>0</v>
      </c>
      <c r="I1353">
        <v>1</v>
      </c>
      <c r="J1353">
        <v>1</v>
      </c>
      <c r="K1353">
        <v>0</v>
      </c>
      <c r="L1353" t="s">
        <v>35</v>
      </c>
      <c r="M1353" t="s">
        <v>35</v>
      </c>
      <c r="N1353" t="s">
        <v>35</v>
      </c>
      <c r="O1353" t="s">
        <v>35</v>
      </c>
      <c r="P1353" t="s">
        <v>35</v>
      </c>
      <c r="Q1353" t="s">
        <v>35</v>
      </c>
      <c r="R1353" t="s">
        <v>35</v>
      </c>
      <c r="S1353">
        <v>1</v>
      </c>
      <c r="T1353">
        <v>1</v>
      </c>
      <c r="U1353">
        <v>0</v>
      </c>
      <c r="V1353">
        <v>0</v>
      </c>
      <c r="W1353">
        <v>0</v>
      </c>
      <c r="X1353">
        <v>1</v>
      </c>
      <c r="Y1353">
        <v>0</v>
      </c>
      <c r="Z1353">
        <v>0</v>
      </c>
      <c r="AA1353">
        <v>0</v>
      </c>
      <c r="AB1353">
        <v>0</v>
      </c>
      <c r="AC1353">
        <v>0</v>
      </c>
      <c r="AD1353">
        <v>0</v>
      </c>
      <c r="AE1353">
        <v>1</v>
      </c>
    </row>
    <row r="1354" spans="1:31" x14ac:dyDescent="0.2">
      <c r="A1354" t="s">
        <v>403</v>
      </c>
      <c r="B1354" t="s">
        <v>102</v>
      </c>
      <c r="C1354">
        <v>36</v>
      </c>
      <c r="D1354" t="s">
        <v>78</v>
      </c>
      <c r="E1354" t="s">
        <v>39</v>
      </c>
      <c r="F1354" t="s">
        <v>40</v>
      </c>
      <c r="G1354">
        <v>18901</v>
      </c>
      <c r="H1354">
        <v>0</v>
      </c>
      <c r="I1354">
        <v>0</v>
      </c>
      <c r="J1354">
        <v>0</v>
      </c>
      <c r="K1354">
        <v>1</v>
      </c>
      <c r="L1354" t="s">
        <v>41</v>
      </c>
      <c r="M1354" t="s">
        <v>42</v>
      </c>
      <c r="N1354" t="s">
        <v>82</v>
      </c>
      <c r="O1354" t="s">
        <v>44</v>
      </c>
      <c r="P1354" t="s">
        <v>45</v>
      </c>
      <c r="Q1354" t="s">
        <v>68</v>
      </c>
      <c r="R1354">
        <v>1</v>
      </c>
      <c r="S1354">
        <v>1</v>
      </c>
      <c r="T1354">
        <v>0</v>
      </c>
      <c r="U1354">
        <v>0</v>
      </c>
      <c r="V1354">
        <v>1</v>
      </c>
      <c r="W1354">
        <v>0</v>
      </c>
      <c r="X1354">
        <v>1</v>
      </c>
      <c r="Y1354">
        <v>0</v>
      </c>
      <c r="Z1354">
        <v>0</v>
      </c>
      <c r="AA1354">
        <v>0</v>
      </c>
      <c r="AB1354">
        <v>0</v>
      </c>
      <c r="AC1354">
        <v>0</v>
      </c>
      <c r="AD1354">
        <v>0</v>
      </c>
      <c r="AE1354">
        <v>1</v>
      </c>
    </row>
    <row r="1355" spans="1:31" x14ac:dyDescent="0.2">
      <c r="A1355" t="s">
        <v>403</v>
      </c>
      <c r="B1355" t="s">
        <v>102</v>
      </c>
      <c r="C1355">
        <v>36</v>
      </c>
      <c r="D1355" t="s">
        <v>78</v>
      </c>
      <c r="E1355" t="s">
        <v>39</v>
      </c>
      <c r="F1355" t="s">
        <v>47</v>
      </c>
      <c r="G1355">
        <v>13732</v>
      </c>
      <c r="H1355">
        <v>0</v>
      </c>
      <c r="I1355">
        <v>0</v>
      </c>
      <c r="J1355">
        <v>0</v>
      </c>
      <c r="K1355">
        <v>1</v>
      </c>
      <c r="L1355" t="s">
        <v>80</v>
      </c>
      <c r="M1355" t="s">
        <v>48</v>
      </c>
      <c r="N1355" t="s">
        <v>49</v>
      </c>
      <c r="O1355" t="s">
        <v>67</v>
      </c>
      <c r="P1355" t="s">
        <v>46</v>
      </c>
      <c r="Q1355" t="s">
        <v>44</v>
      </c>
      <c r="R1355">
        <v>0</v>
      </c>
      <c r="S1355">
        <v>1</v>
      </c>
      <c r="T1355">
        <v>1</v>
      </c>
      <c r="U1355">
        <v>1</v>
      </c>
      <c r="V1355">
        <v>0</v>
      </c>
      <c r="W1355">
        <v>0</v>
      </c>
      <c r="X1355">
        <v>1</v>
      </c>
      <c r="Y1355">
        <v>0</v>
      </c>
      <c r="Z1355">
        <v>0</v>
      </c>
      <c r="AA1355">
        <v>0</v>
      </c>
      <c r="AB1355">
        <v>0</v>
      </c>
      <c r="AC1355">
        <v>0</v>
      </c>
      <c r="AD1355">
        <v>0</v>
      </c>
      <c r="AE1355">
        <v>1</v>
      </c>
    </row>
    <row r="1356" spans="1:31" x14ac:dyDescent="0.2">
      <c r="A1356" t="s">
        <v>403</v>
      </c>
      <c r="B1356" t="s">
        <v>102</v>
      </c>
      <c r="C1356">
        <v>36</v>
      </c>
      <c r="D1356" t="s">
        <v>78</v>
      </c>
      <c r="E1356" t="s">
        <v>52</v>
      </c>
      <c r="F1356" t="s">
        <v>58</v>
      </c>
      <c r="G1356">
        <v>19679</v>
      </c>
      <c r="H1356">
        <v>1</v>
      </c>
      <c r="I1356">
        <v>1</v>
      </c>
      <c r="J1356">
        <v>0</v>
      </c>
      <c r="K1356">
        <v>0</v>
      </c>
      <c r="L1356" t="s">
        <v>35</v>
      </c>
      <c r="M1356" t="s">
        <v>35</v>
      </c>
      <c r="N1356" t="s">
        <v>35</v>
      </c>
      <c r="O1356" t="s">
        <v>35</v>
      </c>
      <c r="P1356" t="s">
        <v>35</v>
      </c>
      <c r="Q1356" t="s">
        <v>35</v>
      </c>
      <c r="R1356" t="s">
        <v>35</v>
      </c>
      <c r="S1356">
        <v>1</v>
      </c>
      <c r="T1356">
        <v>1</v>
      </c>
      <c r="U1356">
        <v>1</v>
      </c>
      <c r="V1356">
        <v>0</v>
      </c>
      <c r="W1356">
        <v>0</v>
      </c>
      <c r="X1356">
        <v>1</v>
      </c>
      <c r="Y1356">
        <v>0</v>
      </c>
      <c r="Z1356">
        <v>0</v>
      </c>
      <c r="AA1356">
        <v>0</v>
      </c>
      <c r="AB1356">
        <v>0</v>
      </c>
      <c r="AC1356">
        <v>0</v>
      </c>
      <c r="AD1356">
        <v>0</v>
      </c>
      <c r="AE1356">
        <v>1</v>
      </c>
    </row>
    <row r="1357" spans="1:31" x14ac:dyDescent="0.2">
      <c r="A1357" t="s">
        <v>403</v>
      </c>
      <c r="B1357" t="s">
        <v>102</v>
      </c>
      <c r="C1357">
        <v>36</v>
      </c>
      <c r="D1357" t="s">
        <v>78</v>
      </c>
      <c r="E1357" t="s">
        <v>39</v>
      </c>
      <c r="F1357" t="s">
        <v>63</v>
      </c>
      <c r="G1357">
        <v>17857</v>
      </c>
      <c r="H1357">
        <v>0</v>
      </c>
      <c r="I1357">
        <v>0</v>
      </c>
      <c r="J1357">
        <v>0</v>
      </c>
      <c r="K1357">
        <v>1</v>
      </c>
      <c r="L1357" t="s">
        <v>85</v>
      </c>
      <c r="M1357" t="s">
        <v>66</v>
      </c>
      <c r="N1357" t="s">
        <v>90</v>
      </c>
      <c r="O1357" t="s">
        <v>51</v>
      </c>
      <c r="P1357" t="s">
        <v>45</v>
      </c>
      <c r="Q1357" t="s">
        <v>44</v>
      </c>
      <c r="R1357">
        <v>0</v>
      </c>
      <c r="S1357">
        <v>1</v>
      </c>
      <c r="T1357">
        <v>0</v>
      </c>
      <c r="U1357">
        <v>0</v>
      </c>
      <c r="V1357">
        <v>1</v>
      </c>
      <c r="W1357">
        <v>0</v>
      </c>
      <c r="X1357">
        <v>1</v>
      </c>
      <c r="Y1357">
        <v>0</v>
      </c>
      <c r="Z1357">
        <v>0</v>
      </c>
      <c r="AA1357">
        <v>0</v>
      </c>
      <c r="AB1357">
        <v>0</v>
      </c>
      <c r="AC1357">
        <v>0</v>
      </c>
      <c r="AD1357">
        <v>0</v>
      </c>
      <c r="AE1357">
        <v>1</v>
      </c>
    </row>
    <row r="1358" spans="1:31" x14ac:dyDescent="0.2">
      <c r="A1358" t="s">
        <v>403</v>
      </c>
      <c r="B1358" t="s">
        <v>102</v>
      </c>
      <c r="C1358">
        <v>36</v>
      </c>
      <c r="D1358" t="s">
        <v>78</v>
      </c>
      <c r="E1358" t="s">
        <v>52</v>
      </c>
      <c r="F1358" t="s">
        <v>53</v>
      </c>
      <c r="G1358">
        <v>23998</v>
      </c>
      <c r="H1358">
        <v>0</v>
      </c>
      <c r="I1358">
        <v>0</v>
      </c>
      <c r="J1358">
        <v>1</v>
      </c>
      <c r="K1358">
        <v>0</v>
      </c>
      <c r="L1358" t="s">
        <v>35</v>
      </c>
      <c r="M1358" t="s">
        <v>35</v>
      </c>
      <c r="N1358" t="s">
        <v>35</v>
      </c>
      <c r="O1358" t="s">
        <v>35</v>
      </c>
      <c r="P1358" t="s">
        <v>35</v>
      </c>
      <c r="Q1358" t="s">
        <v>35</v>
      </c>
      <c r="R1358" t="s">
        <v>35</v>
      </c>
      <c r="S1358">
        <v>1</v>
      </c>
      <c r="T1358">
        <v>0</v>
      </c>
      <c r="U1358">
        <v>0</v>
      </c>
      <c r="V1358">
        <v>1</v>
      </c>
      <c r="W1358">
        <v>0</v>
      </c>
      <c r="X1358">
        <v>1</v>
      </c>
      <c r="Y1358">
        <v>0</v>
      </c>
      <c r="Z1358">
        <v>0</v>
      </c>
      <c r="AA1358">
        <v>0</v>
      </c>
      <c r="AB1358">
        <v>0</v>
      </c>
      <c r="AC1358">
        <v>0</v>
      </c>
      <c r="AD1358">
        <v>0</v>
      </c>
      <c r="AE1358">
        <v>1</v>
      </c>
    </row>
    <row r="1359" spans="1:31" x14ac:dyDescent="0.2">
      <c r="A1359" t="s">
        <v>403</v>
      </c>
      <c r="B1359" t="s">
        <v>102</v>
      </c>
      <c r="C1359">
        <v>36</v>
      </c>
      <c r="D1359" t="s">
        <v>78</v>
      </c>
      <c r="E1359" t="s">
        <v>75</v>
      </c>
      <c r="F1359" t="s">
        <v>35</v>
      </c>
      <c r="G1359">
        <v>60709</v>
      </c>
      <c r="H1359" t="s">
        <v>404</v>
      </c>
      <c r="I1359" t="s">
        <v>405</v>
      </c>
      <c r="J1359" t="s">
        <v>100</v>
      </c>
      <c r="K1359" t="s">
        <v>35</v>
      </c>
      <c r="L1359" t="s">
        <v>35</v>
      </c>
      <c r="M1359" t="s">
        <v>35</v>
      </c>
      <c r="N1359" t="s">
        <v>35</v>
      </c>
      <c r="O1359" t="s">
        <v>35</v>
      </c>
      <c r="P1359" t="s">
        <v>35</v>
      </c>
      <c r="Q1359" t="s">
        <v>35</v>
      </c>
      <c r="R1359" t="s">
        <v>35</v>
      </c>
      <c r="S1359" t="s">
        <v>35</v>
      </c>
      <c r="T1359" t="s">
        <v>35</v>
      </c>
      <c r="U1359" t="s">
        <v>35</v>
      </c>
      <c r="V1359" t="s">
        <v>35</v>
      </c>
      <c r="W1359" t="s">
        <v>35</v>
      </c>
      <c r="X1359" t="s">
        <v>35</v>
      </c>
      <c r="Y1359" t="s">
        <v>35</v>
      </c>
      <c r="Z1359" t="s">
        <v>35</v>
      </c>
      <c r="AA1359" t="s">
        <v>35</v>
      </c>
      <c r="AB1359" t="s">
        <v>35</v>
      </c>
      <c r="AC1359" t="s">
        <v>35</v>
      </c>
      <c r="AD1359" t="s">
        <v>35</v>
      </c>
      <c r="AE1359" t="s">
        <v>35</v>
      </c>
    </row>
    <row r="1360" spans="1:31" x14ac:dyDescent="0.2">
      <c r="A1360" t="s">
        <v>406</v>
      </c>
      <c r="B1360" t="s">
        <v>102</v>
      </c>
      <c r="C1360">
        <v>24</v>
      </c>
      <c r="D1360" t="s">
        <v>78</v>
      </c>
      <c r="E1360" t="s">
        <v>34</v>
      </c>
      <c r="F1360" t="s">
        <v>35</v>
      </c>
      <c r="G1360">
        <v>25316</v>
      </c>
      <c r="H1360" t="s">
        <v>35</v>
      </c>
      <c r="I1360" t="s">
        <v>35</v>
      </c>
      <c r="J1360" t="s">
        <v>35</v>
      </c>
      <c r="K1360" t="s">
        <v>35</v>
      </c>
      <c r="L1360" t="s">
        <v>35</v>
      </c>
      <c r="M1360" t="s">
        <v>35</v>
      </c>
      <c r="N1360" t="s">
        <v>35</v>
      </c>
      <c r="O1360" t="s">
        <v>35</v>
      </c>
      <c r="P1360" t="s">
        <v>35</v>
      </c>
      <c r="Q1360" t="s">
        <v>35</v>
      </c>
      <c r="R1360" t="s">
        <v>35</v>
      </c>
      <c r="S1360" t="s">
        <v>35</v>
      </c>
      <c r="T1360" t="s">
        <v>35</v>
      </c>
      <c r="U1360" t="s">
        <v>35</v>
      </c>
      <c r="V1360" t="s">
        <v>35</v>
      </c>
      <c r="W1360" t="s">
        <v>35</v>
      </c>
      <c r="X1360" t="s">
        <v>35</v>
      </c>
      <c r="Y1360" t="s">
        <v>35</v>
      </c>
      <c r="Z1360" t="s">
        <v>35</v>
      </c>
      <c r="AA1360" t="s">
        <v>35</v>
      </c>
      <c r="AB1360" t="s">
        <v>35</v>
      </c>
      <c r="AC1360" t="s">
        <v>35</v>
      </c>
      <c r="AD1360" t="s">
        <v>35</v>
      </c>
      <c r="AE1360" t="s">
        <v>35</v>
      </c>
    </row>
    <row r="1361" spans="1:31" x14ac:dyDescent="0.2">
      <c r="A1361" t="s">
        <v>406</v>
      </c>
      <c r="B1361" t="s">
        <v>102</v>
      </c>
      <c r="C1361">
        <v>24</v>
      </c>
      <c r="D1361" t="s">
        <v>78</v>
      </c>
      <c r="E1361" t="s">
        <v>36</v>
      </c>
      <c r="F1361" t="s">
        <v>37</v>
      </c>
      <c r="G1361">
        <v>33578</v>
      </c>
      <c r="H1361">
        <v>0</v>
      </c>
      <c r="I1361">
        <v>0</v>
      </c>
      <c r="J1361">
        <v>1</v>
      </c>
      <c r="K1361">
        <v>0</v>
      </c>
      <c r="L1361" t="s">
        <v>35</v>
      </c>
      <c r="M1361" t="s">
        <v>35</v>
      </c>
      <c r="N1361" t="s">
        <v>35</v>
      </c>
      <c r="O1361" t="s">
        <v>35</v>
      </c>
      <c r="P1361" t="s">
        <v>35</v>
      </c>
      <c r="Q1361" t="s">
        <v>35</v>
      </c>
      <c r="R1361" t="s">
        <v>35</v>
      </c>
      <c r="S1361" t="s">
        <v>35</v>
      </c>
      <c r="T1361" t="s">
        <v>35</v>
      </c>
      <c r="U1361" t="s">
        <v>35</v>
      </c>
      <c r="V1361" t="s">
        <v>35</v>
      </c>
      <c r="W1361" t="s">
        <v>35</v>
      </c>
      <c r="X1361" t="s">
        <v>35</v>
      </c>
      <c r="Y1361" t="s">
        <v>35</v>
      </c>
      <c r="Z1361" t="s">
        <v>35</v>
      </c>
      <c r="AA1361" t="s">
        <v>35</v>
      </c>
      <c r="AB1361" t="s">
        <v>35</v>
      </c>
      <c r="AC1361" t="s">
        <v>35</v>
      </c>
      <c r="AD1361" t="s">
        <v>35</v>
      </c>
      <c r="AE1361" t="s">
        <v>35</v>
      </c>
    </row>
    <row r="1362" spans="1:31" x14ac:dyDescent="0.2">
      <c r="A1362" t="s">
        <v>406</v>
      </c>
      <c r="B1362" t="s">
        <v>102</v>
      </c>
      <c r="C1362">
        <v>24</v>
      </c>
      <c r="D1362" t="s">
        <v>78</v>
      </c>
      <c r="E1362" t="s">
        <v>36</v>
      </c>
      <c r="F1362" t="s">
        <v>38</v>
      </c>
      <c r="G1362">
        <v>29929</v>
      </c>
      <c r="H1362">
        <v>0</v>
      </c>
      <c r="I1362">
        <v>0</v>
      </c>
      <c r="J1362">
        <v>0</v>
      </c>
      <c r="K1362">
        <v>1</v>
      </c>
      <c r="L1362" t="s">
        <v>35</v>
      </c>
      <c r="M1362" t="s">
        <v>35</v>
      </c>
      <c r="N1362" t="s">
        <v>35</v>
      </c>
      <c r="O1362" t="s">
        <v>35</v>
      </c>
      <c r="P1362" t="s">
        <v>35</v>
      </c>
      <c r="Q1362" t="s">
        <v>35</v>
      </c>
      <c r="R1362" t="s">
        <v>35</v>
      </c>
      <c r="S1362" t="s">
        <v>35</v>
      </c>
      <c r="T1362" t="s">
        <v>35</v>
      </c>
      <c r="U1362" t="s">
        <v>35</v>
      </c>
      <c r="V1362" t="s">
        <v>35</v>
      </c>
      <c r="W1362" t="s">
        <v>35</v>
      </c>
      <c r="X1362" t="s">
        <v>35</v>
      </c>
      <c r="Y1362" t="s">
        <v>35</v>
      </c>
      <c r="Z1362" t="s">
        <v>35</v>
      </c>
      <c r="AA1362" t="s">
        <v>35</v>
      </c>
      <c r="AB1362" t="s">
        <v>35</v>
      </c>
      <c r="AC1362" t="s">
        <v>35</v>
      </c>
      <c r="AD1362" t="s">
        <v>35</v>
      </c>
      <c r="AE1362" t="s">
        <v>35</v>
      </c>
    </row>
    <row r="1363" spans="1:31" x14ac:dyDescent="0.2">
      <c r="A1363" t="s">
        <v>406</v>
      </c>
      <c r="B1363" t="s">
        <v>102</v>
      </c>
      <c r="C1363">
        <v>24</v>
      </c>
      <c r="D1363" t="s">
        <v>78</v>
      </c>
      <c r="E1363" t="s">
        <v>39</v>
      </c>
      <c r="F1363" t="s">
        <v>54</v>
      </c>
      <c r="G1363">
        <v>56081</v>
      </c>
      <c r="H1363">
        <v>1</v>
      </c>
      <c r="I1363">
        <v>1</v>
      </c>
      <c r="J1363">
        <v>1</v>
      </c>
      <c r="K1363">
        <v>0</v>
      </c>
      <c r="L1363" t="s">
        <v>89</v>
      </c>
      <c r="M1363" t="s">
        <v>56</v>
      </c>
      <c r="N1363" t="s">
        <v>55</v>
      </c>
      <c r="O1363" t="s">
        <v>67</v>
      </c>
      <c r="P1363" t="s">
        <v>45</v>
      </c>
      <c r="Q1363" t="s">
        <v>44</v>
      </c>
      <c r="R1363">
        <v>0</v>
      </c>
      <c r="S1363">
        <v>1</v>
      </c>
      <c r="T1363">
        <v>0</v>
      </c>
      <c r="U1363">
        <v>1</v>
      </c>
      <c r="V1363">
        <v>1</v>
      </c>
      <c r="W1363">
        <v>0</v>
      </c>
      <c r="X1363">
        <v>1</v>
      </c>
      <c r="Y1363">
        <v>0</v>
      </c>
      <c r="Z1363">
        <v>1</v>
      </c>
      <c r="AA1363">
        <v>0</v>
      </c>
      <c r="AB1363">
        <v>1</v>
      </c>
      <c r="AC1363">
        <v>1</v>
      </c>
      <c r="AD1363">
        <v>0</v>
      </c>
      <c r="AE1363">
        <v>0</v>
      </c>
    </row>
    <row r="1364" spans="1:31" x14ac:dyDescent="0.2">
      <c r="A1364" t="s">
        <v>406</v>
      </c>
      <c r="B1364" t="s">
        <v>102</v>
      </c>
      <c r="C1364">
        <v>24</v>
      </c>
      <c r="D1364" t="s">
        <v>78</v>
      </c>
      <c r="E1364" t="s">
        <v>39</v>
      </c>
      <c r="F1364" t="s">
        <v>63</v>
      </c>
      <c r="G1364">
        <v>25844</v>
      </c>
      <c r="H1364">
        <v>0</v>
      </c>
      <c r="I1364">
        <v>1</v>
      </c>
      <c r="J1364">
        <v>0</v>
      </c>
      <c r="K1364">
        <v>0</v>
      </c>
      <c r="L1364" t="s">
        <v>85</v>
      </c>
      <c r="M1364" t="s">
        <v>90</v>
      </c>
      <c r="N1364" t="s">
        <v>66</v>
      </c>
      <c r="O1364" t="s">
        <v>51</v>
      </c>
      <c r="P1364" t="s">
        <v>44</v>
      </c>
      <c r="Q1364" t="s">
        <v>45</v>
      </c>
      <c r="R1364">
        <v>0</v>
      </c>
      <c r="S1364">
        <v>1</v>
      </c>
      <c r="T1364">
        <v>0</v>
      </c>
      <c r="U1364">
        <v>0</v>
      </c>
      <c r="V1364">
        <v>1</v>
      </c>
      <c r="W1364">
        <v>0</v>
      </c>
      <c r="X1364">
        <v>1</v>
      </c>
      <c r="Y1364">
        <v>0</v>
      </c>
      <c r="Z1364">
        <v>1</v>
      </c>
      <c r="AA1364">
        <v>0</v>
      </c>
      <c r="AB1364">
        <v>0</v>
      </c>
      <c r="AC1364">
        <v>0</v>
      </c>
      <c r="AD1364">
        <v>0</v>
      </c>
      <c r="AE1364">
        <v>0</v>
      </c>
    </row>
    <row r="1365" spans="1:31" x14ac:dyDescent="0.2">
      <c r="A1365" t="s">
        <v>406</v>
      </c>
      <c r="B1365" t="s">
        <v>102</v>
      </c>
      <c r="C1365">
        <v>24</v>
      </c>
      <c r="D1365" t="s">
        <v>78</v>
      </c>
      <c r="E1365" t="s">
        <v>52</v>
      </c>
      <c r="F1365" t="s">
        <v>58</v>
      </c>
      <c r="G1365">
        <v>19141</v>
      </c>
      <c r="H1365">
        <v>1</v>
      </c>
      <c r="I1365">
        <v>1</v>
      </c>
      <c r="J1365">
        <v>0</v>
      </c>
      <c r="K1365">
        <v>0</v>
      </c>
      <c r="L1365" t="s">
        <v>35</v>
      </c>
      <c r="M1365" t="s">
        <v>35</v>
      </c>
      <c r="N1365" t="s">
        <v>35</v>
      </c>
      <c r="O1365" t="s">
        <v>35</v>
      </c>
      <c r="P1365" t="s">
        <v>35</v>
      </c>
      <c r="Q1365" t="s">
        <v>35</v>
      </c>
      <c r="R1365" t="s">
        <v>35</v>
      </c>
      <c r="S1365">
        <v>1</v>
      </c>
      <c r="T1365">
        <v>0</v>
      </c>
      <c r="U1365">
        <v>0</v>
      </c>
      <c r="V1365">
        <v>1</v>
      </c>
      <c r="W1365">
        <v>0</v>
      </c>
      <c r="X1365">
        <v>1</v>
      </c>
      <c r="Y1365">
        <v>0</v>
      </c>
      <c r="Z1365">
        <v>1</v>
      </c>
      <c r="AA1365">
        <v>0</v>
      </c>
      <c r="AB1365">
        <v>0</v>
      </c>
      <c r="AC1365">
        <v>0</v>
      </c>
      <c r="AD1365">
        <v>0</v>
      </c>
      <c r="AE1365">
        <v>0</v>
      </c>
    </row>
    <row r="1366" spans="1:31" x14ac:dyDescent="0.2">
      <c r="A1366" t="s">
        <v>406</v>
      </c>
      <c r="B1366" t="s">
        <v>102</v>
      </c>
      <c r="C1366">
        <v>24</v>
      </c>
      <c r="D1366" t="s">
        <v>78</v>
      </c>
      <c r="E1366" t="s">
        <v>39</v>
      </c>
      <c r="F1366" t="s">
        <v>70</v>
      </c>
      <c r="G1366">
        <v>22659</v>
      </c>
      <c r="H1366">
        <v>0</v>
      </c>
      <c r="I1366">
        <v>1</v>
      </c>
      <c r="J1366">
        <v>0</v>
      </c>
      <c r="K1366">
        <v>0</v>
      </c>
      <c r="L1366" t="s">
        <v>71</v>
      </c>
      <c r="M1366" t="s">
        <v>73</v>
      </c>
      <c r="N1366" t="s">
        <v>92</v>
      </c>
      <c r="O1366" t="s">
        <v>45</v>
      </c>
      <c r="P1366" t="s">
        <v>44</v>
      </c>
      <c r="Q1366" t="s">
        <v>51</v>
      </c>
      <c r="R1366">
        <v>0</v>
      </c>
      <c r="S1366">
        <v>1</v>
      </c>
      <c r="T1366">
        <v>0</v>
      </c>
      <c r="U1366">
        <v>0</v>
      </c>
      <c r="V1366">
        <v>1</v>
      </c>
      <c r="W1366">
        <v>0</v>
      </c>
      <c r="X1366">
        <v>1</v>
      </c>
      <c r="Y1366">
        <v>0</v>
      </c>
      <c r="Z1366">
        <v>1</v>
      </c>
      <c r="AA1366">
        <v>0</v>
      </c>
      <c r="AB1366">
        <v>0</v>
      </c>
      <c r="AC1366">
        <v>0</v>
      </c>
      <c r="AD1366">
        <v>0</v>
      </c>
      <c r="AE1366">
        <v>0</v>
      </c>
    </row>
    <row r="1367" spans="1:31" x14ac:dyDescent="0.2">
      <c r="A1367" t="s">
        <v>406</v>
      </c>
      <c r="B1367" t="s">
        <v>102</v>
      </c>
      <c r="C1367">
        <v>24</v>
      </c>
      <c r="D1367" t="s">
        <v>78</v>
      </c>
      <c r="E1367" t="s">
        <v>39</v>
      </c>
      <c r="F1367" t="s">
        <v>40</v>
      </c>
      <c r="G1367">
        <v>21627</v>
      </c>
      <c r="H1367">
        <v>1</v>
      </c>
      <c r="I1367">
        <v>1</v>
      </c>
      <c r="J1367">
        <v>1</v>
      </c>
      <c r="K1367">
        <v>0</v>
      </c>
      <c r="L1367" t="s">
        <v>43</v>
      </c>
      <c r="M1367" t="s">
        <v>91</v>
      </c>
      <c r="N1367" t="s">
        <v>82</v>
      </c>
      <c r="O1367" t="s">
        <v>46</v>
      </c>
      <c r="P1367" t="s">
        <v>51</v>
      </c>
      <c r="Q1367" t="s">
        <v>68</v>
      </c>
      <c r="R1367">
        <v>1</v>
      </c>
      <c r="S1367">
        <v>0</v>
      </c>
      <c r="T1367">
        <v>1</v>
      </c>
      <c r="U1367">
        <v>0</v>
      </c>
      <c r="V1367">
        <v>0</v>
      </c>
      <c r="W1367">
        <v>0</v>
      </c>
      <c r="X1367">
        <v>1</v>
      </c>
      <c r="Y1367">
        <v>1</v>
      </c>
      <c r="Z1367">
        <v>0</v>
      </c>
      <c r="AA1367">
        <v>1</v>
      </c>
      <c r="AB1367">
        <v>0</v>
      </c>
      <c r="AC1367">
        <v>0</v>
      </c>
      <c r="AD1367">
        <v>0</v>
      </c>
      <c r="AE1367">
        <v>0</v>
      </c>
    </row>
    <row r="1368" spans="1:31" x14ac:dyDescent="0.2">
      <c r="A1368" t="s">
        <v>406</v>
      </c>
      <c r="B1368" t="s">
        <v>102</v>
      </c>
      <c r="C1368">
        <v>24</v>
      </c>
      <c r="D1368" t="s">
        <v>78</v>
      </c>
      <c r="E1368" t="s">
        <v>52</v>
      </c>
      <c r="F1368" t="s">
        <v>74</v>
      </c>
      <c r="G1368">
        <v>19715</v>
      </c>
      <c r="H1368">
        <v>1</v>
      </c>
      <c r="I1368">
        <v>0</v>
      </c>
      <c r="J1368">
        <v>0</v>
      </c>
      <c r="K1368">
        <v>0</v>
      </c>
      <c r="L1368" t="s">
        <v>35</v>
      </c>
      <c r="M1368" t="s">
        <v>35</v>
      </c>
      <c r="N1368" t="s">
        <v>35</v>
      </c>
      <c r="O1368" t="s">
        <v>35</v>
      </c>
      <c r="P1368" t="s">
        <v>35</v>
      </c>
      <c r="Q1368" t="s">
        <v>35</v>
      </c>
      <c r="R1368" t="s">
        <v>35</v>
      </c>
      <c r="S1368">
        <v>0</v>
      </c>
      <c r="T1368">
        <v>1</v>
      </c>
      <c r="U1368">
        <v>0</v>
      </c>
      <c r="V1368">
        <v>0</v>
      </c>
      <c r="W1368">
        <v>0</v>
      </c>
      <c r="X1368">
        <v>1</v>
      </c>
      <c r="Y1368">
        <v>1</v>
      </c>
      <c r="Z1368">
        <v>0</v>
      </c>
      <c r="AA1368">
        <v>1</v>
      </c>
      <c r="AB1368">
        <v>0</v>
      </c>
      <c r="AC1368">
        <v>0</v>
      </c>
      <c r="AD1368">
        <v>0</v>
      </c>
      <c r="AE1368">
        <v>0</v>
      </c>
    </row>
    <row r="1369" spans="1:31" x14ac:dyDescent="0.2">
      <c r="A1369" t="s">
        <v>406</v>
      </c>
      <c r="B1369" t="s">
        <v>102</v>
      </c>
      <c r="C1369">
        <v>24</v>
      </c>
      <c r="D1369" t="s">
        <v>78</v>
      </c>
      <c r="E1369" t="s">
        <v>39</v>
      </c>
      <c r="F1369" t="s">
        <v>59</v>
      </c>
      <c r="G1369">
        <v>14741</v>
      </c>
      <c r="H1369">
        <v>0</v>
      </c>
      <c r="I1369">
        <v>0</v>
      </c>
      <c r="J1369">
        <v>0</v>
      </c>
      <c r="K1369">
        <v>1</v>
      </c>
      <c r="L1369" t="s">
        <v>61</v>
      </c>
      <c r="M1369" t="s">
        <v>99</v>
      </c>
      <c r="N1369" t="s">
        <v>62</v>
      </c>
      <c r="O1369" t="s">
        <v>46</v>
      </c>
      <c r="P1369" t="s">
        <v>67</v>
      </c>
      <c r="Q1369" t="s">
        <v>45</v>
      </c>
      <c r="R1369">
        <v>0</v>
      </c>
      <c r="S1369">
        <v>0</v>
      </c>
      <c r="T1369">
        <v>1</v>
      </c>
      <c r="U1369">
        <v>1</v>
      </c>
      <c r="V1369">
        <v>1</v>
      </c>
      <c r="W1369">
        <v>0</v>
      </c>
      <c r="X1369">
        <v>1</v>
      </c>
      <c r="Y1369">
        <v>0</v>
      </c>
      <c r="Z1369">
        <v>0</v>
      </c>
      <c r="AA1369">
        <v>0</v>
      </c>
      <c r="AB1369">
        <v>0</v>
      </c>
      <c r="AC1369">
        <v>0</v>
      </c>
      <c r="AD1369">
        <v>0</v>
      </c>
      <c r="AE1369">
        <v>1</v>
      </c>
    </row>
    <row r="1370" spans="1:31" x14ac:dyDescent="0.2">
      <c r="A1370" t="s">
        <v>406</v>
      </c>
      <c r="B1370" t="s">
        <v>102</v>
      </c>
      <c r="C1370">
        <v>24</v>
      </c>
      <c r="D1370" t="s">
        <v>78</v>
      </c>
      <c r="E1370" t="s">
        <v>52</v>
      </c>
      <c r="F1370" t="s">
        <v>69</v>
      </c>
      <c r="G1370">
        <v>28636</v>
      </c>
      <c r="H1370">
        <v>0</v>
      </c>
      <c r="I1370">
        <v>0</v>
      </c>
      <c r="J1370">
        <v>1</v>
      </c>
      <c r="K1370">
        <v>0</v>
      </c>
      <c r="L1370" t="s">
        <v>35</v>
      </c>
      <c r="M1370" t="s">
        <v>35</v>
      </c>
      <c r="N1370" t="s">
        <v>35</v>
      </c>
      <c r="O1370" t="s">
        <v>35</v>
      </c>
      <c r="P1370" t="s">
        <v>35</v>
      </c>
      <c r="Q1370" t="s">
        <v>35</v>
      </c>
      <c r="R1370" t="s">
        <v>35</v>
      </c>
      <c r="S1370">
        <v>0</v>
      </c>
      <c r="T1370">
        <v>1</v>
      </c>
      <c r="U1370">
        <v>1</v>
      </c>
      <c r="V1370">
        <v>1</v>
      </c>
      <c r="W1370">
        <v>0</v>
      </c>
      <c r="X1370">
        <v>1</v>
      </c>
      <c r="Y1370">
        <v>0</v>
      </c>
      <c r="Z1370">
        <v>0</v>
      </c>
      <c r="AA1370">
        <v>0</v>
      </c>
      <c r="AB1370">
        <v>0</v>
      </c>
      <c r="AC1370">
        <v>0</v>
      </c>
      <c r="AD1370">
        <v>0</v>
      </c>
      <c r="AE1370">
        <v>1</v>
      </c>
    </row>
    <row r="1371" spans="1:31" x14ac:dyDescent="0.2">
      <c r="A1371" t="s">
        <v>406</v>
      </c>
      <c r="B1371" t="s">
        <v>102</v>
      </c>
      <c r="C1371">
        <v>24</v>
      </c>
      <c r="D1371" t="s">
        <v>78</v>
      </c>
      <c r="E1371" t="s">
        <v>39</v>
      </c>
      <c r="F1371" t="s">
        <v>47</v>
      </c>
      <c r="G1371">
        <v>14282</v>
      </c>
      <c r="H1371">
        <v>0</v>
      </c>
      <c r="I1371">
        <v>0</v>
      </c>
      <c r="J1371">
        <v>0</v>
      </c>
      <c r="K1371">
        <v>1</v>
      </c>
      <c r="L1371" t="s">
        <v>49</v>
      </c>
      <c r="M1371" t="s">
        <v>95</v>
      </c>
      <c r="N1371" t="s">
        <v>79</v>
      </c>
      <c r="O1371" t="s">
        <v>44</v>
      </c>
      <c r="P1371" t="s">
        <v>68</v>
      </c>
      <c r="Q1371" t="s">
        <v>45</v>
      </c>
      <c r="R1371">
        <v>1</v>
      </c>
      <c r="S1371">
        <v>1</v>
      </c>
      <c r="T1371">
        <v>0</v>
      </c>
      <c r="U1371">
        <v>0</v>
      </c>
      <c r="V1371">
        <v>1</v>
      </c>
      <c r="W1371">
        <v>0</v>
      </c>
      <c r="X1371">
        <v>1</v>
      </c>
      <c r="Y1371">
        <v>0</v>
      </c>
      <c r="Z1371">
        <v>0</v>
      </c>
      <c r="AA1371">
        <v>0</v>
      </c>
      <c r="AB1371">
        <v>0</v>
      </c>
      <c r="AC1371">
        <v>0</v>
      </c>
      <c r="AD1371">
        <v>0</v>
      </c>
      <c r="AE1371">
        <v>1</v>
      </c>
    </row>
    <row r="1372" spans="1:31" x14ac:dyDescent="0.2">
      <c r="A1372" t="s">
        <v>406</v>
      </c>
      <c r="B1372" t="s">
        <v>102</v>
      </c>
      <c r="C1372">
        <v>24</v>
      </c>
      <c r="D1372" t="s">
        <v>78</v>
      </c>
      <c r="E1372" t="s">
        <v>52</v>
      </c>
      <c r="F1372" t="s">
        <v>53</v>
      </c>
      <c r="G1372">
        <v>30800</v>
      </c>
      <c r="H1372">
        <v>0</v>
      </c>
      <c r="I1372">
        <v>1</v>
      </c>
      <c r="J1372">
        <v>0</v>
      </c>
      <c r="K1372">
        <v>0</v>
      </c>
      <c r="L1372" t="s">
        <v>35</v>
      </c>
      <c r="M1372" t="s">
        <v>35</v>
      </c>
      <c r="N1372" t="s">
        <v>35</v>
      </c>
      <c r="O1372" t="s">
        <v>35</v>
      </c>
      <c r="P1372" t="s">
        <v>35</v>
      </c>
      <c r="Q1372" t="s">
        <v>35</v>
      </c>
      <c r="R1372" t="s">
        <v>35</v>
      </c>
      <c r="S1372">
        <v>1</v>
      </c>
      <c r="T1372">
        <v>0</v>
      </c>
      <c r="U1372">
        <v>0</v>
      </c>
      <c r="V1372">
        <v>1</v>
      </c>
      <c r="W1372">
        <v>0</v>
      </c>
      <c r="X1372">
        <v>1</v>
      </c>
      <c r="Y1372">
        <v>0</v>
      </c>
      <c r="Z1372">
        <v>0</v>
      </c>
      <c r="AA1372">
        <v>0</v>
      </c>
      <c r="AB1372">
        <v>0</v>
      </c>
      <c r="AC1372">
        <v>0</v>
      </c>
      <c r="AD1372">
        <v>0</v>
      </c>
      <c r="AE1372">
        <v>1</v>
      </c>
    </row>
    <row r="1373" spans="1:31" x14ac:dyDescent="0.2">
      <c r="A1373" t="s">
        <v>406</v>
      </c>
      <c r="B1373" t="s">
        <v>102</v>
      </c>
      <c r="C1373">
        <v>24</v>
      </c>
      <c r="D1373" t="s">
        <v>78</v>
      </c>
      <c r="E1373" t="s">
        <v>75</v>
      </c>
      <c r="F1373" t="s">
        <v>35</v>
      </c>
      <c r="G1373">
        <v>46578</v>
      </c>
      <c r="H1373" t="s">
        <v>407</v>
      </c>
      <c r="I1373" t="s">
        <v>181</v>
      </c>
      <c r="J1373" t="s">
        <v>181</v>
      </c>
      <c r="K1373" t="s">
        <v>35</v>
      </c>
      <c r="L1373" t="s">
        <v>35</v>
      </c>
      <c r="M1373" t="s">
        <v>35</v>
      </c>
      <c r="N1373" t="s">
        <v>35</v>
      </c>
      <c r="O1373" t="s">
        <v>35</v>
      </c>
      <c r="P1373" t="s">
        <v>35</v>
      </c>
      <c r="Q1373" t="s">
        <v>35</v>
      </c>
      <c r="R1373" t="s">
        <v>35</v>
      </c>
      <c r="S1373" t="s">
        <v>35</v>
      </c>
      <c r="T1373" t="s">
        <v>35</v>
      </c>
      <c r="U1373" t="s">
        <v>35</v>
      </c>
      <c r="V1373" t="s">
        <v>35</v>
      </c>
      <c r="W1373" t="s">
        <v>35</v>
      </c>
      <c r="X1373" t="s">
        <v>35</v>
      </c>
      <c r="Y1373" t="s">
        <v>35</v>
      </c>
      <c r="Z1373" t="s">
        <v>35</v>
      </c>
      <c r="AA1373" t="s">
        <v>35</v>
      </c>
      <c r="AB1373" t="s">
        <v>35</v>
      </c>
      <c r="AC1373" t="s">
        <v>35</v>
      </c>
      <c r="AD1373" t="s">
        <v>35</v>
      </c>
      <c r="AE1373" t="s">
        <v>35</v>
      </c>
    </row>
  </sheetData>
  <autoFilter ref="A1:AE1"/>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I31"/>
  <sheetViews>
    <sheetView tabSelected="1" topLeftCell="B20" workbookViewId="0">
      <selection activeCell="J44" sqref="J44"/>
    </sheetView>
  </sheetViews>
  <sheetFormatPr baseColWidth="10" defaultRowHeight="16" x14ac:dyDescent="0.2"/>
  <cols>
    <col min="2" max="2" width="31.5" bestFit="1" customWidth="1"/>
    <col min="3" max="3" width="15.5" bestFit="1" customWidth="1"/>
    <col min="4" max="4" width="10.5" bestFit="1" customWidth="1"/>
    <col min="5" max="5" width="11" bestFit="1" customWidth="1"/>
    <col min="6" max="6" width="10.1640625" bestFit="1" customWidth="1"/>
    <col min="7" max="7" width="8.5" bestFit="1" customWidth="1"/>
    <col min="8" max="8" width="10" bestFit="1" customWidth="1"/>
    <col min="9" max="16" width="10.83203125" bestFit="1" customWidth="1"/>
  </cols>
  <sheetData>
    <row r="4" spans="2:9" x14ac:dyDescent="0.2">
      <c r="C4" s="2" t="s">
        <v>409</v>
      </c>
    </row>
    <row r="5" spans="2:9" x14ac:dyDescent="0.2">
      <c r="B5" s="2" t="s">
        <v>408</v>
      </c>
      <c r="C5" t="s">
        <v>40</v>
      </c>
      <c r="D5" t="s">
        <v>54</v>
      </c>
      <c r="E5" t="s">
        <v>47</v>
      </c>
      <c r="F5" t="s">
        <v>63</v>
      </c>
      <c r="G5" t="s">
        <v>59</v>
      </c>
      <c r="H5" t="s">
        <v>70</v>
      </c>
      <c r="I5" t="s">
        <v>410</v>
      </c>
    </row>
    <row r="6" spans="2:9" x14ac:dyDescent="0.2">
      <c r="B6" s="3" t="s">
        <v>411</v>
      </c>
      <c r="C6" s="1">
        <v>35</v>
      </c>
      <c r="D6" s="1">
        <v>27</v>
      </c>
      <c r="E6" s="1">
        <v>33</v>
      </c>
      <c r="F6" s="1">
        <v>33</v>
      </c>
      <c r="G6" s="1">
        <v>33</v>
      </c>
      <c r="H6" s="1">
        <v>31</v>
      </c>
      <c r="I6" s="1">
        <v>192</v>
      </c>
    </row>
    <row r="7" spans="2:9" x14ac:dyDescent="0.2">
      <c r="B7" s="3" t="s">
        <v>412</v>
      </c>
      <c r="C7" s="1">
        <v>54</v>
      </c>
      <c r="D7" s="1">
        <v>66</v>
      </c>
      <c r="E7" s="1">
        <v>63</v>
      </c>
      <c r="F7" s="1">
        <v>52</v>
      </c>
      <c r="G7" s="1">
        <v>62</v>
      </c>
      <c r="H7" s="1">
        <v>58</v>
      </c>
      <c r="I7" s="1">
        <v>355</v>
      </c>
    </row>
    <row r="8" spans="2:9" x14ac:dyDescent="0.2">
      <c r="B8" s="3" t="s">
        <v>413</v>
      </c>
      <c r="C8" s="1">
        <v>64</v>
      </c>
      <c r="D8" s="1">
        <v>62</v>
      </c>
      <c r="E8" s="1">
        <v>45</v>
      </c>
      <c r="F8" s="1">
        <v>61</v>
      </c>
      <c r="G8" s="1">
        <v>50</v>
      </c>
      <c r="H8" s="1">
        <v>57</v>
      </c>
      <c r="I8" s="1">
        <v>339</v>
      </c>
    </row>
    <row r="9" spans="2:9" x14ac:dyDescent="0.2">
      <c r="B9" s="3" t="s">
        <v>414</v>
      </c>
      <c r="C9" s="1">
        <v>57</v>
      </c>
      <c r="D9" s="1">
        <v>52</v>
      </c>
      <c r="E9" s="1">
        <v>55</v>
      </c>
      <c r="F9" s="1">
        <v>45</v>
      </c>
      <c r="G9" s="1">
        <v>53</v>
      </c>
      <c r="H9" s="1">
        <v>60</v>
      </c>
      <c r="I9" s="1">
        <v>322</v>
      </c>
    </row>
    <row r="10" spans="2:9" x14ac:dyDescent="0.2">
      <c r="B10" s="3" t="s">
        <v>415</v>
      </c>
      <c r="C10" s="1">
        <v>53</v>
      </c>
      <c r="D10" s="1">
        <v>58</v>
      </c>
      <c r="E10" s="1">
        <v>63</v>
      </c>
      <c r="F10" s="1">
        <v>63</v>
      </c>
      <c r="G10" s="1">
        <v>61</v>
      </c>
      <c r="H10" s="1">
        <v>57</v>
      </c>
      <c r="I10" s="1">
        <v>355</v>
      </c>
    </row>
    <row r="11" spans="2:9" x14ac:dyDescent="0.2">
      <c r="B11" s="3" t="s">
        <v>416</v>
      </c>
      <c r="C11" s="1">
        <v>0</v>
      </c>
      <c r="D11" s="1">
        <v>0</v>
      </c>
      <c r="E11" s="1">
        <v>0</v>
      </c>
      <c r="F11" s="1">
        <v>0</v>
      </c>
      <c r="G11" s="1">
        <v>0</v>
      </c>
      <c r="H11" s="1">
        <v>0</v>
      </c>
      <c r="I11" s="1">
        <v>0</v>
      </c>
    </row>
    <row r="12" spans="2:9" x14ac:dyDescent="0.2">
      <c r="B12" s="3" t="s">
        <v>417</v>
      </c>
      <c r="C12" s="1">
        <v>98</v>
      </c>
      <c r="D12" s="1">
        <v>98</v>
      </c>
      <c r="E12" s="1">
        <v>98</v>
      </c>
      <c r="F12" s="1">
        <v>98</v>
      </c>
      <c r="G12" s="1">
        <v>98</v>
      </c>
      <c r="H12" s="1">
        <v>98</v>
      </c>
      <c r="I12" s="1">
        <v>588</v>
      </c>
    </row>
    <row r="13" spans="2:9" x14ac:dyDescent="0.2">
      <c r="B13" s="3" t="s">
        <v>418</v>
      </c>
      <c r="C13" s="1">
        <v>19</v>
      </c>
      <c r="D13" s="1">
        <v>15</v>
      </c>
      <c r="E13" s="1">
        <v>12</v>
      </c>
      <c r="F13" s="1">
        <v>18</v>
      </c>
      <c r="G13" s="1">
        <v>19</v>
      </c>
      <c r="H13" s="1">
        <v>20</v>
      </c>
      <c r="I13" s="1">
        <v>103</v>
      </c>
    </row>
    <row r="14" spans="2:9" x14ac:dyDescent="0.2">
      <c r="B14" s="3" t="s">
        <v>419</v>
      </c>
      <c r="C14" s="1">
        <v>36</v>
      </c>
      <c r="D14" s="1">
        <v>46</v>
      </c>
      <c r="E14" s="1">
        <v>29</v>
      </c>
      <c r="F14" s="1">
        <v>32</v>
      </c>
      <c r="G14" s="1">
        <v>38</v>
      </c>
      <c r="H14" s="1">
        <v>35</v>
      </c>
      <c r="I14" s="1">
        <v>216</v>
      </c>
    </row>
    <row r="15" spans="2:9" x14ac:dyDescent="0.2">
      <c r="B15" s="3" t="s">
        <v>420</v>
      </c>
      <c r="C15" s="1">
        <v>21</v>
      </c>
      <c r="D15" s="1">
        <v>26</v>
      </c>
      <c r="E15" s="1">
        <v>15</v>
      </c>
      <c r="F15" s="1">
        <v>24</v>
      </c>
      <c r="G15" s="1">
        <v>18</v>
      </c>
      <c r="H15" s="1">
        <v>20</v>
      </c>
      <c r="I15" s="1">
        <v>124</v>
      </c>
    </row>
    <row r="16" spans="2:9" x14ac:dyDescent="0.2">
      <c r="B16" s="3" t="s">
        <v>421</v>
      </c>
      <c r="C16" s="1">
        <v>33</v>
      </c>
      <c r="D16" s="1">
        <v>39</v>
      </c>
      <c r="E16" s="1">
        <v>22</v>
      </c>
      <c r="F16" s="1">
        <v>20</v>
      </c>
      <c r="G16" s="1">
        <v>26</v>
      </c>
      <c r="H16" s="1">
        <v>37</v>
      </c>
      <c r="I16" s="1">
        <v>177</v>
      </c>
    </row>
    <row r="17" spans="2:9" x14ac:dyDescent="0.2">
      <c r="B17" s="3" t="s">
        <v>422</v>
      </c>
      <c r="C17" s="1">
        <v>27</v>
      </c>
      <c r="D17" s="1">
        <v>17</v>
      </c>
      <c r="E17" s="1">
        <v>19</v>
      </c>
      <c r="F17" s="1">
        <v>24</v>
      </c>
      <c r="G17" s="1">
        <v>23</v>
      </c>
      <c r="H17" s="1">
        <v>23</v>
      </c>
      <c r="I17" s="1">
        <v>133</v>
      </c>
    </row>
    <row r="18" spans="2:9" x14ac:dyDescent="0.2">
      <c r="B18" s="3" t="s">
        <v>423</v>
      </c>
      <c r="C18" s="1">
        <v>0</v>
      </c>
      <c r="D18" s="1">
        <v>0</v>
      </c>
      <c r="E18" s="1">
        <v>0</v>
      </c>
      <c r="F18" s="1">
        <v>0</v>
      </c>
      <c r="G18" s="1">
        <v>0</v>
      </c>
      <c r="H18" s="1">
        <v>0</v>
      </c>
      <c r="I18" s="1">
        <v>0</v>
      </c>
    </row>
    <row r="19" spans="2:9" x14ac:dyDescent="0.2">
      <c r="B19" s="3" t="s">
        <v>424</v>
      </c>
      <c r="C19" s="1">
        <v>18</v>
      </c>
      <c r="D19" s="1">
        <v>14</v>
      </c>
      <c r="E19" s="1">
        <v>39</v>
      </c>
      <c r="F19" s="1">
        <v>18</v>
      </c>
      <c r="G19" s="1">
        <v>22</v>
      </c>
      <c r="H19" s="1">
        <v>15</v>
      </c>
      <c r="I19" s="1">
        <v>126</v>
      </c>
    </row>
    <row r="23" spans="2:9" x14ac:dyDescent="0.2">
      <c r="C23" t="s">
        <v>68</v>
      </c>
      <c r="D23" t="s">
        <v>44</v>
      </c>
      <c r="E23" t="s">
        <v>46</v>
      </c>
      <c r="F23" t="s">
        <v>67</v>
      </c>
      <c r="G23" t="s">
        <v>45</v>
      </c>
      <c r="H23" t="s">
        <v>51</v>
      </c>
    </row>
    <row r="24" spans="2:9" x14ac:dyDescent="0.2">
      <c r="B24" t="s">
        <v>425</v>
      </c>
      <c r="C24">
        <f>GETPIVOTDATA("Sum of exhaustive_chosen",$B$4,"story","test_books")/GETPIVOTDATA("Sum of mention_one_high_seen",$B$4,"story","test_books")</f>
        <v>0.35185185185185186</v>
      </c>
      <c r="D24">
        <f>GETPIVOTDATA("Sum of mention_one_high_chosen",$B$4,"story","test_books")/GETPIVOTDATA("Sum of mention_one_high_seen",$B$4,"story","test_books")</f>
        <v>0.66666666666666663</v>
      </c>
      <c r="E24">
        <f>GETPIVOTDATA("Sum of mention_one_low_chosen",$B$4,"story","test_books")/GETPIVOTDATA("Sum of mention_one_low_seen",$B$4,"story","test_books")</f>
        <v>0.328125</v>
      </c>
      <c r="F24">
        <f>GETPIVOTDATA("Sum of mention_some_high_chosen",$B$4,"story","test_books")/GETPIVOTDATA("Sum of mention_some_high_seen",$B$4,"story","test_books")</f>
        <v>0.57894736842105265</v>
      </c>
      <c r="G24">
        <f>GETPIVOTDATA("Sum of mention_some_low_chosen",$B$4,"story","test_books")/GETPIVOTDATA("Sum of mention_some_low_seen",$B$4,"story","test_books")</f>
        <v>0.50943396226415094</v>
      </c>
    </row>
    <row r="25" spans="2:9" x14ac:dyDescent="0.2">
      <c r="B25" t="s">
        <v>426</v>
      </c>
      <c r="C25">
        <f>GETPIVOTDATA("Sum of exhaustive_chosen",$B$4,"story","test_coffee")/GETPIVOTDATA("Sum of exhaustive_seen",$B$4,"story","test_coffee")</f>
        <v>0.55555555555555558</v>
      </c>
      <c r="D25">
        <f>GETPIVOTDATA("Sum of mention_one_high_chosen",$B$4,"story","test_coffee")/GETPIVOTDATA("Sum of mention_one_high_seen",$B$4,"story","test_coffee")</f>
        <v>0.69696969696969702</v>
      </c>
      <c r="E25">
        <f>GETPIVOTDATA("Sum of mention_one_low_chosen",$B$4,"story","test_coffee")/GETPIVOTDATA("Sum of mention_one_low_seen",$B$4,"story","test_coffee")</f>
        <v>0.41935483870967744</v>
      </c>
      <c r="F25">
        <f>GETPIVOTDATA("Sum of mention_some_high_chosen",$B$4,"story","test_coffee")/GETPIVOTDATA("Sum of mention_some_high_seen",$B$4,"story","test_coffee")</f>
        <v>0.75</v>
      </c>
      <c r="G25">
        <f>GETPIVOTDATA("Sum of mention_some_low_chosen",$B$4,"story","test_coffee")/GETPIVOTDATA("Sum of mention_some_low_seen",$B$4,"story","test_coffee")</f>
        <v>0.29310344827586204</v>
      </c>
    </row>
    <row r="26" spans="2:9" x14ac:dyDescent="0.2">
      <c r="B26" t="s">
        <v>427</v>
      </c>
      <c r="C26">
        <f>GETPIVOTDATA("Sum of exhaustive_chosen",$B$4,"story","test_dentist")/GETPIVOTDATA("Sum of exhaustive_seen",$B$4,"story","test_dentist")</f>
        <v>0.36363636363636365</v>
      </c>
      <c r="D26">
        <f>GETPIVOTDATA("Sum of mention_one_high_chosen",$B$4,"story","test_dentist")/GETPIVOTDATA("Sum of mention_one_high_seen",$B$4,"story","test_dentist")</f>
        <v>0.46031746031746029</v>
      </c>
      <c r="E26">
        <f>GETPIVOTDATA("Sum of mention_one_low_chosen",$B$4,"story","test_dentist")/GETPIVOTDATA("Sum of mention_one_low_seen",$B$4,"story","test_dentist")</f>
        <v>0.33333333333333331</v>
      </c>
      <c r="F26">
        <f>GETPIVOTDATA("Sum of mention_some_high_chosen",$B$4,"story","test_dentist")/GETPIVOTDATA("Sum of mention_some_high_seen",$B$4,"story","test_dentist")</f>
        <v>0.4</v>
      </c>
      <c r="G26">
        <f>GETPIVOTDATA("Sum of mention_some_low_chosen",$B$4,"story","test_dentist")/GETPIVOTDATA("Sum of mention_some_low_seen",$B$4,"story","test_dentist")</f>
        <v>0.30158730158730157</v>
      </c>
    </row>
    <row r="27" spans="2:9" x14ac:dyDescent="0.2">
      <c r="B27" t="s">
        <v>430</v>
      </c>
      <c r="C27">
        <f>GETPIVOTDATA("Sum of exhaustive_chosen",$B$4,"story","test_florist")/GETPIVOTDATA("Sum of exhaustive_seen",$B$4,"story","test_florist")</f>
        <v>0.54545454545454541</v>
      </c>
      <c r="D27">
        <f>GETPIVOTDATA("Sum of mention_one_high_chosen",$B$4,"story","test_florist")/GETPIVOTDATA("Sum of mention_one_high_seen",$B$4,"story","test_florist")</f>
        <v>0.61538461538461542</v>
      </c>
      <c r="E27">
        <f>GETPIVOTDATA("Sum of mention_one_low_chosen",$B$4,"story","test_florist")/GETPIVOTDATA("Sum of mention_one_low_seen",$B$4,"story","test_florist")</f>
        <v>0.39344262295081966</v>
      </c>
      <c r="F27">
        <f>GETPIVOTDATA("Sum of mention_some_high_chosen",$B$4,"story","test_florist")/GETPIVOTDATA("Sum of mention_some_high_seen",$B$4,"story","test_florist")</f>
        <v>0.44444444444444442</v>
      </c>
      <c r="G27">
        <f>GETPIVOTDATA("Sum of mention_some_low_chosen",$B$4,"story","test_florist")/GETPIVOTDATA("Sum of mention_some_low_seen",$B$4,"story","test_florist")</f>
        <v>0.38095238095238093</v>
      </c>
    </row>
    <row r="28" spans="2:9" x14ac:dyDescent="0.2">
      <c r="B28" t="s">
        <v>428</v>
      </c>
      <c r="C28">
        <f>GETPIVOTDATA("Sum of exhaustive_chosen",$B$4,"story","test_hair")/GETPIVOTDATA("Sum of exhaustive_seen",$B$4,"story","test_hair")</f>
        <v>0.5757575757575758</v>
      </c>
      <c r="D28">
        <f>GETPIVOTDATA("Sum of mention_one_high_chosen",$B$4,"story","test_hair")/GETPIVOTDATA("Sum of mention_one_high_seen",$B$4,"story","test_hair")</f>
        <v>0.61290322580645162</v>
      </c>
      <c r="E28">
        <f>GETPIVOTDATA("Sum of mention_one_low_chosen",$B$4,"story","test_hair")/GETPIVOTDATA("Sum of mention_one_low_seen",$B$4,"story","test_hair")</f>
        <v>0.36</v>
      </c>
      <c r="F28">
        <f>GETPIVOTDATA("Sum of mention_some_high_chosen",$B$4,"story","test_hair")/GETPIVOTDATA("Sum of mention_some_high_seen",$B$4,"story","test_hair")</f>
        <v>0.49056603773584906</v>
      </c>
      <c r="G28">
        <f>GETPIVOTDATA("Sum of mention_some_low_chosen",$B$4,"story","test_hair")/GETPIVOTDATA("Sum of mention_some_low_seen",$B$4,"story","test_hair")</f>
        <v>0.37704918032786883</v>
      </c>
    </row>
    <row r="29" spans="2:9" x14ac:dyDescent="0.2">
      <c r="B29" t="s">
        <v>429</v>
      </c>
      <c r="C29">
        <f>GETPIVOTDATA("Sum of exhaustive_chosen",$B$4,"story","test_shoes")/GETPIVOTDATA("Sum of exhaustive_seen",$B$4,"story","test_shoes")</f>
        <v>0.64516129032258063</v>
      </c>
      <c r="D29">
        <f>GETPIVOTDATA("Sum of mention_one_high_chosen",$B$4,"story","test_shoes")/GETPIVOTDATA("Sum of mention_one_high_seen",$B$4,"story","test_shoes")</f>
        <v>0.60344827586206895</v>
      </c>
      <c r="E29">
        <f>GETPIVOTDATA("Sum of mention_one_low_chosen",$B$4,"story","test_shoes")/GETPIVOTDATA("Sum of mention_one_low_seen",$B$4,"story","test_shoes")</f>
        <v>0.35087719298245612</v>
      </c>
      <c r="F29">
        <f>GETPIVOTDATA("Sum of mention_some_high_chosen",$B$4,"story","test_shoes")/GETPIVOTDATA("Sum of mention_some_high_seen",$B$4,"story","test_shoes")</f>
        <v>0.6166666666666667</v>
      </c>
      <c r="G29">
        <f>GETPIVOTDATA("Sum of mention_some_low_chosen",$B$4,"story","test_shoes")/GETPIVOTDATA("Sum of mention_some_low_seen",$B$4,"story","test_shoes")</f>
        <v>0.40350877192982454</v>
      </c>
    </row>
    <row r="30" spans="2:9" x14ac:dyDescent="0.2">
      <c r="C30" t="s">
        <v>68</v>
      </c>
      <c r="D30" t="s">
        <v>44</v>
      </c>
      <c r="E30" t="s">
        <v>46</v>
      </c>
      <c r="F30" t="s">
        <v>67</v>
      </c>
      <c r="G30" t="s">
        <v>45</v>
      </c>
    </row>
    <row r="31" spans="2:9" x14ac:dyDescent="0.2">
      <c r="B31" t="s">
        <v>431</v>
      </c>
      <c r="C31">
        <f>AVERAGE(C24:C29)</f>
        <v>0.5062361970964121</v>
      </c>
      <c r="D31">
        <f t="shared" ref="D31:G31" si="0">AVERAGE(D24:D29)</f>
        <v>0.60928165683449331</v>
      </c>
      <c r="E31">
        <f t="shared" si="0"/>
        <v>0.36418883132938112</v>
      </c>
      <c r="F31">
        <f t="shared" si="0"/>
        <v>0.54677075287800214</v>
      </c>
      <c r="G31">
        <f t="shared" si="0"/>
        <v>0.37760584088956484</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present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2018-08-22T13:29:28Z</dcterms:created>
  <dcterms:modified xsi:type="dcterms:W3CDTF">2018-08-22T14:15:41Z</dcterms:modified>
</cp:coreProperties>
</file>